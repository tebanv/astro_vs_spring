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Nombre científicos" sheetId="1" r:id="rId5"/>
    <sheet state="visible" name="Registros retirados" sheetId="2" r:id="rId6"/>
    <sheet state="visible" name="Paulina" sheetId="3" r:id="rId7"/>
    <sheet state="visible" name="RN" sheetId="4" r:id="rId8"/>
    <sheet state="visible" name="Tablas" sheetId="5" r:id="rId9"/>
    <sheet state="visible" name="Nombres cientificos con #" sheetId="6" r:id="rId10"/>
    <sheet state="visible" name="Nombres comunes con #" sheetId="7" r:id="rId11"/>
    <sheet state="visible" name="Generos y Familia" sheetId="8" r:id="rId12"/>
    <sheet state="visible" name="Validación" sheetId="9" r:id="rId13"/>
    <sheet state="visible" name="Fuente de consulta" sheetId="10" r:id="rId14"/>
  </sheets>
  <definedNames>
    <definedName hidden="1" localSheetId="0" name="_xlnm._FilterDatabase">'Diccionario Nombre científicos'!$A$1:$X$1334</definedName>
  </definedNames>
  <calcPr/>
  <pivotCaches>
    <pivotCache cacheId="0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ID#AAABaNOOGLw
Usuario    (2024-12-11 15:33:27)
Empareja Nombre cientifico con Nombre común</t>
      </text>
    </comment>
  </commentList>
</comments>
</file>

<file path=xl/sharedStrings.xml><?xml version="1.0" encoding="utf-8"?>
<sst xmlns="http://schemas.openxmlformats.org/spreadsheetml/2006/main" count="21544" uniqueCount="6331">
  <si>
    <t>Asignado a</t>
  </si>
  <si>
    <t>Contrato de Origen</t>
  </si>
  <si>
    <t>Item</t>
  </si>
  <si>
    <t>Nombre Científico corregido</t>
  </si>
  <si>
    <t>Nombre común</t>
  </si>
  <si>
    <t>Familia</t>
  </si>
  <si>
    <t>_# Emparejamiento</t>
  </si>
  <si>
    <t>_# de familia</t>
  </si>
  <si>
    <t>Nombre científico sin #</t>
  </si>
  <si>
    <t>Nombre Científico con #</t>
  </si>
  <si>
    <t>Nombre común sin #</t>
  </si>
  <si>
    <t>Nombre común con #</t>
  </si>
  <si>
    <t>Origen</t>
  </si>
  <si>
    <t>¿Hay reportes en Colombia?</t>
  </si>
  <si>
    <t>Hábito</t>
  </si>
  <si>
    <t>Género sin #</t>
  </si>
  <si>
    <t>Altura en desarrollo pleno (m)</t>
  </si>
  <si>
    <t>Fuente (altura)</t>
  </si>
  <si>
    <t>Diametro en desarrollo pleno (cm)</t>
  </si>
  <si>
    <t>Fuente</t>
  </si>
  <si>
    <t>Tasa de crecimiento (Rápida, Media, Lenta- No encontrada)</t>
  </si>
  <si>
    <t>Densidad promedio de la madera ( o no encontrada) (g/cm3)</t>
  </si>
  <si>
    <t>Tamaño de los frutos (mm)</t>
  </si>
  <si>
    <t>Observaciones</t>
  </si>
  <si>
    <t>Leiner Victoria</t>
  </si>
  <si>
    <t>Todos</t>
  </si>
  <si>
    <t>Indeterminado</t>
  </si>
  <si>
    <t>00 Indeterminado</t>
  </si>
  <si>
    <t>No</t>
  </si>
  <si>
    <t>Consultar</t>
  </si>
  <si>
    <t>LAURA RENGIFO</t>
  </si>
  <si>
    <t>Podas Sur</t>
  </si>
  <si>
    <t>Abarema jupunba</t>
  </si>
  <si>
    <t>Frijolillo; Rayo; Guacamayo Blanco; Carbonero; Arenillo de Monte Chocho</t>
  </si>
  <si>
    <t>Fabaceae</t>
  </si>
  <si>
    <t>Nativa</t>
  </si>
  <si>
    <t>Si</t>
  </si>
  <si>
    <t>Árbol</t>
  </si>
  <si>
    <t>Abarema</t>
  </si>
  <si>
    <t>(UEIA, 2014)</t>
  </si>
  <si>
    <t>Media</t>
  </si>
  <si>
    <t>Diámetro y/o altura aproximado por género</t>
  </si>
  <si>
    <t>Abarema sp</t>
  </si>
  <si>
    <t>Abelmoschus moschatus</t>
  </si>
  <si>
    <t>Hibisco</t>
  </si>
  <si>
    <t>Malvaceae</t>
  </si>
  <si>
    <t>Introducida</t>
  </si>
  <si>
    <t>Arbusto</t>
  </si>
  <si>
    <t>Abelmoschus</t>
  </si>
  <si>
    <t>Abutilon insigne</t>
  </si>
  <si>
    <t>Abutilon</t>
  </si>
  <si>
    <t>Abutilon pictum</t>
  </si>
  <si>
    <t>Faroolito Japones</t>
  </si>
  <si>
    <t>(UEIA &amp; USFS, 2018)</t>
  </si>
  <si>
    <t>30</t>
  </si>
  <si>
    <t>Rápida</t>
  </si>
  <si>
    <t>Abutilon sp</t>
  </si>
  <si>
    <t>Acacia angustissima</t>
  </si>
  <si>
    <t>Dormilón</t>
  </si>
  <si>
    <t>Acacia</t>
  </si>
  <si>
    <t>Acacia baileyana</t>
  </si>
  <si>
    <t>Acacia (Baileyana)</t>
  </si>
  <si>
    <t>70</t>
  </si>
  <si>
    <t>Clus Cartago</t>
  </si>
  <si>
    <t>Acacia caven</t>
  </si>
  <si>
    <t>Aromo</t>
  </si>
  <si>
    <t>(Benedetti, 2012)</t>
  </si>
  <si>
    <t>30-100</t>
  </si>
  <si>
    <t>Acacia decurrens</t>
  </si>
  <si>
    <t>Acacia Roja (Decurrens)</t>
  </si>
  <si>
    <t>60</t>
  </si>
  <si>
    <t>Acacia farnesiana</t>
  </si>
  <si>
    <t>Acacia de Desierto; Acacia Farnesiana</t>
  </si>
  <si>
    <t>Lenta</t>
  </si>
  <si>
    <t>Acacia mangium</t>
  </si>
  <si>
    <t>Acacia Mangium</t>
  </si>
  <si>
    <t>Acacia melanoxylon</t>
  </si>
  <si>
    <t>Acacia Japonesa; Acacia Negra</t>
  </si>
  <si>
    <t>70-100</t>
  </si>
  <si>
    <t>Acacia muricata</t>
  </si>
  <si>
    <t>Acalypha amentacea</t>
  </si>
  <si>
    <t>Acalifa Repollo; Carlota</t>
  </si>
  <si>
    <t>Euphorbiaceae</t>
  </si>
  <si>
    <t>Acalypha</t>
  </si>
  <si>
    <t>Acalypha diversifolia</t>
  </si>
  <si>
    <t>Carlota</t>
  </si>
  <si>
    <t>Acalypha hispida</t>
  </si>
  <si>
    <t>Cola de Zorro</t>
  </si>
  <si>
    <t>Acalypha macrostachya</t>
  </si>
  <si>
    <t>Ortiga</t>
  </si>
  <si>
    <t>Acalypha villosa</t>
  </si>
  <si>
    <t>Vara de Alcalde; Salvia de Monte</t>
  </si>
  <si>
    <t>Acalypha wilkesiana</t>
  </si>
  <si>
    <t>Acca sellowiana</t>
  </si>
  <si>
    <t>Guayaba Feijoa</t>
  </si>
  <si>
    <t>Myrtaceae</t>
  </si>
  <si>
    <t>Acca</t>
  </si>
  <si>
    <t>Achatocarpus nigricans</t>
  </si>
  <si>
    <t>Totocal O Limon Macho</t>
  </si>
  <si>
    <t>Achatocarpaceae</t>
  </si>
  <si>
    <t>Achatocarpus</t>
  </si>
  <si>
    <t>Iochroma arborescens</t>
  </si>
  <si>
    <t>Güitite; Tabalgue; Tomatoquina</t>
  </si>
  <si>
    <t>Solanaceae</t>
  </si>
  <si>
    <t>Acnistus</t>
  </si>
  <si>
    <t>(iNaturalistCO, 2024)</t>
  </si>
  <si>
    <t>25</t>
  </si>
  <si>
    <t>5-6</t>
  </si>
  <si>
    <t>Acosmium dasycarpum</t>
  </si>
  <si>
    <t>Tasaa</t>
  </si>
  <si>
    <t>Acosmium</t>
  </si>
  <si>
    <t>Acrocarpus fraxinifolius</t>
  </si>
  <si>
    <t>Cedro Rosado de la India</t>
  </si>
  <si>
    <t>Acrocarpus</t>
  </si>
  <si>
    <t>Acrocomia aculeata</t>
  </si>
  <si>
    <t>Palma Chonta; Corozo Baboso</t>
  </si>
  <si>
    <t>Arecaceae</t>
  </si>
  <si>
    <t>Palma</t>
  </si>
  <si>
    <t>Acrocomia</t>
  </si>
  <si>
    <t>29,6</t>
  </si>
  <si>
    <t>Adenanthera pavonina</t>
  </si>
  <si>
    <t>Coralito; Chocho</t>
  </si>
  <si>
    <t>Adenanthera</t>
  </si>
  <si>
    <t>Adenaria floribunda</t>
  </si>
  <si>
    <t>Chaparro</t>
  </si>
  <si>
    <t>Lythraceae</t>
  </si>
  <si>
    <t>Adenaria</t>
  </si>
  <si>
    <t>Adonidia merrillii</t>
  </si>
  <si>
    <t>Palma de Manila; Palma de Navidad</t>
  </si>
  <si>
    <t>Adonidia</t>
  </si>
  <si>
    <t>Aegiceras corniculatum</t>
  </si>
  <si>
    <t>Aegiceras Corniculatum</t>
  </si>
  <si>
    <t>Primulaceae</t>
  </si>
  <si>
    <t>Aegiceras</t>
  </si>
  <si>
    <t>Aegiphila integrifolia</t>
  </si>
  <si>
    <t>Pavo; Juan Blanco</t>
  </si>
  <si>
    <t>Lamiaceae</t>
  </si>
  <si>
    <t>Aegiphila</t>
  </si>
  <si>
    <t>Aegiphila mollis</t>
  </si>
  <si>
    <t>Contraculebra de Venezuela</t>
  </si>
  <si>
    <t>Aegiphila panamensis</t>
  </si>
  <si>
    <t>Loro</t>
  </si>
  <si>
    <t>Aegiphila sp</t>
  </si>
  <si>
    <t>Tabaquillo; Palo Blanco; Mantequillo; Sapo de Vieja</t>
  </si>
  <si>
    <t>15-20</t>
  </si>
  <si>
    <t>15</t>
  </si>
  <si>
    <t>Agave americana</t>
  </si>
  <si>
    <t>Motua; Chaguar; Maguey</t>
  </si>
  <si>
    <t>Asparagaceae</t>
  </si>
  <si>
    <t>Roseta</t>
  </si>
  <si>
    <t>Agave</t>
  </si>
  <si>
    <t>Agave attenuata</t>
  </si>
  <si>
    <t>Maguey del Dragón</t>
  </si>
  <si>
    <t>3</t>
  </si>
  <si>
    <t>Agave sp</t>
  </si>
  <si>
    <t>Pita; Pitera; Magüey</t>
  </si>
  <si>
    <t>Aiouea sp</t>
  </si>
  <si>
    <t>Laurel Feve</t>
  </si>
  <si>
    <t>Lauraceae</t>
  </si>
  <si>
    <t>Aiouea</t>
  </si>
  <si>
    <t>Aiphanes horrida</t>
  </si>
  <si>
    <t>Palma Corocito; Corozo Rojo; Chascaraiza; Mararay</t>
  </si>
  <si>
    <t>Aiphanes</t>
  </si>
  <si>
    <t>Aiphanes simplex</t>
  </si>
  <si>
    <t>Corozo; Perrero</t>
  </si>
  <si>
    <t>Lento</t>
  </si>
  <si>
    <t>Albizia carbonaria</t>
  </si>
  <si>
    <t>Pisquín; Carbonero</t>
  </si>
  <si>
    <t>Albizia</t>
  </si>
  <si>
    <t>Albizia guachapele</t>
  </si>
  <si>
    <t>Igua</t>
  </si>
  <si>
    <t>Albizia julibrissin</t>
  </si>
  <si>
    <t>Acacia de Constantinopla</t>
  </si>
  <si>
    <t>Albizia lebbeck</t>
  </si>
  <si>
    <t>Carbonero Dormilón; Bayeto</t>
  </si>
  <si>
    <t>Albizia niopoides</t>
  </si>
  <si>
    <t>Pisquin; Guacamayo</t>
  </si>
  <si>
    <t>Albizia saman</t>
  </si>
  <si>
    <t>Saman</t>
  </si>
  <si>
    <t>Albizia sp</t>
  </si>
  <si>
    <t>20-30</t>
  </si>
  <si>
    <t>Alchornea costaricensis</t>
  </si>
  <si>
    <t>Cafesito</t>
  </si>
  <si>
    <t>Alchornea</t>
  </si>
  <si>
    <t>Alchornea glandulosa</t>
  </si>
  <si>
    <t>Tostado</t>
  </si>
  <si>
    <t>Alchornea grandiflora</t>
  </si>
  <si>
    <t>Escobo</t>
  </si>
  <si>
    <t>Alchornea latifolia</t>
  </si>
  <si>
    <t>Escobo; Carcomo; Mazamorro</t>
  </si>
  <si>
    <t>Densidad aproximada por género</t>
  </si>
  <si>
    <t>Alchornea sp</t>
  </si>
  <si>
    <t>Escobo; Quiebrapatas</t>
  </si>
  <si>
    <t>Alchornea triplinervia</t>
  </si>
  <si>
    <t>Reventillo; Algodoncillo; Carcomo</t>
  </si>
  <si>
    <t>Alchornea verticillata</t>
  </si>
  <si>
    <t>Escobo (A otra sp de genero)</t>
  </si>
  <si>
    <t>0,4-0,47</t>
  </si>
  <si>
    <t>Aleurites fordii</t>
  </si>
  <si>
    <t>Tung Asiatico</t>
  </si>
  <si>
    <t>Aleurites</t>
  </si>
  <si>
    <t>Alfaroa colombiana</t>
  </si>
  <si>
    <t>Alfaroa</t>
  </si>
  <si>
    <t>Juglandaceae</t>
  </si>
  <si>
    <t>Allamanda blanchetii</t>
  </si>
  <si>
    <t>Trompeta; Jalapa Morada</t>
  </si>
  <si>
    <t>Apocynaceae</t>
  </si>
  <si>
    <t>Allamanda</t>
  </si>
  <si>
    <t>Allamanda cathartica</t>
  </si>
  <si>
    <t>Copa de Oro</t>
  </si>
  <si>
    <t>Allamanda schottii</t>
  </si>
  <si>
    <t>Flor de Mantequilla</t>
  </si>
  <si>
    <t>Allophylus sp</t>
  </si>
  <si>
    <t>Cedrillo</t>
  </si>
  <si>
    <t>Sapindaceae</t>
  </si>
  <si>
    <t>Allophylus</t>
  </si>
  <si>
    <t>Alnus acuminata</t>
  </si>
  <si>
    <t>Aliso</t>
  </si>
  <si>
    <t>Betulaceae</t>
  </si>
  <si>
    <t>Alnus</t>
  </si>
  <si>
    <t>1,5-3</t>
  </si>
  <si>
    <t>Aloe arborescens</t>
  </si>
  <si>
    <t>Sábila Candelabro Africano</t>
  </si>
  <si>
    <t>Asphodelaceae</t>
  </si>
  <si>
    <t>Aloe</t>
  </si>
  <si>
    <t>Aloysia citrodora</t>
  </si>
  <si>
    <t>Cedron</t>
  </si>
  <si>
    <t>Verbenaceae</t>
  </si>
  <si>
    <t>Aloysia</t>
  </si>
  <si>
    <t>20</t>
  </si>
  <si>
    <t>Alpinia purpurata</t>
  </si>
  <si>
    <t>Yínyer; Yinye; Sanjuanico</t>
  </si>
  <si>
    <t>Zingiberaceae</t>
  </si>
  <si>
    <t>Alpinia</t>
  </si>
  <si>
    <t>Alstonia scholaris</t>
  </si>
  <si>
    <t>Falso Ocobo; Palo de Sombra</t>
  </si>
  <si>
    <t>Alstonia</t>
  </si>
  <si>
    <t>Alternanthera brasiliana</t>
  </si>
  <si>
    <t>Tebrol del Interior; Planta Percal; Alternatera</t>
  </si>
  <si>
    <t>Amaranthaceae</t>
  </si>
  <si>
    <t>Alternanthera</t>
  </si>
  <si>
    <t>Amherstia nobilis</t>
  </si>
  <si>
    <t>Amherstia</t>
  </si>
  <si>
    <t>Ampelocera sp</t>
  </si>
  <si>
    <t>Ampeloceras</t>
  </si>
  <si>
    <t>Ampelocera</t>
  </si>
  <si>
    <t>Amphitecna apiculata</t>
  </si>
  <si>
    <t>Jicarillo</t>
  </si>
  <si>
    <t>Bignoniaceae</t>
  </si>
  <si>
    <t>Amphitecna</t>
  </si>
  <si>
    <t>Amphitecna isthmica</t>
  </si>
  <si>
    <t>Calabacillo (A otra sp de genero)</t>
  </si>
  <si>
    <t>Amphitecna latifolia</t>
  </si>
  <si>
    <t>Calabazo</t>
  </si>
  <si>
    <t>Amphitecna sp</t>
  </si>
  <si>
    <t>Calabacillo; Totumito (A otra sp de genero)</t>
  </si>
  <si>
    <t>Anacardium excelsum</t>
  </si>
  <si>
    <t>Caracolí</t>
  </si>
  <si>
    <t>Anacardiaceae</t>
  </si>
  <si>
    <t>Anacardium</t>
  </si>
  <si>
    <t>Anacardium occidentale</t>
  </si>
  <si>
    <t>Marañón</t>
  </si>
  <si>
    <t>Andira chigorodensis</t>
  </si>
  <si>
    <t>Andira Chigorodensis</t>
  </si>
  <si>
    <t>Andira</t>
  </si>
  <si>
    <t>Andira inermis</t>
  </si>
  <si>
    <t>Borombolo; Congo de Agua</t>
  </si>
  <si>
    <t>Andira sp</t>
  </si>
  <si>
    <t>Borombolo; Congo de Agua (sp)</t>
  </si>
  <si>
    <t>Aniba riparia</t>
  </si>
  <si>
    <t>Comino Crespo (A otra sp de genero)</t>
  </si>
  <si>
    <t>Aniba</t>
  </si>
  <si>
    <t>Aniba coto</t>
  </si>
  <si>
    <t>Laurel</t>
  </si>
  <si>
    <t>0,49-0,71</t>
  </si>
  <si>
    <t>Aniba muca</t>
  </si>
  <si>
    <t>Laurel Peque?O</t>
  </si>
  <si>
    <t>Aniba perutilis</t>
  </si>
  <si>
    <t>Comino</t>
  </si>
  <si>
    <t>0,55 - 0,71</t>
  </si>
  <si>
    <t>Aniba puchury-minor</t>
  </si>
  <si>
    <t>Laurel Uncibe</t>
  </si>
  <si>
    <t>Aniba sp</t>
  </si>
  <si>
    <t>Comino (sp)</t>
  </si>
  <si>
    <t>Annona acuminata</t>
  </si>
  <si>
    <t>Majagua</t>
  </si>
  <si>
    <t>Annonaceae</t>
  </si>
  <si>
    <t>Annona</t>
  </si>
  <si>
    <t>Annona cherimola</t>
  </si>
  <si>
    <t>Chirimoyo; Chirimoya; Anón de Monte; Chirimoya de Monte</t>
  </si>
  <si>
    <t>50</t>
  </si>
  <si>
    <t>100-200</t>
  </si>
  <si>
    <t>Annona glabra</t>
  </si>
  <si>
    <t>Guanabanilla</t>
  </si>
  <si>
    <t>70-150</t>
  </si>
  <si>
    <t>Annona montana</t>
  </si>
  <si>
    <t>Guanbana Cimarrona</t>
  </si>
  <si>
    <t>Annona muricata</t>
  </si>
  <si>
    <t>Guanábano</t>
  </si>
  <si>
    <t>195</t>
  </si>
  <si>
    <t>Annona quinduensis</t>
  </si>
  <si>
    <t>Anon de Monte</t>
  </si>
  <si>
    <t>Annona rensoniana</t>
  </si>
  <si>
    <t>Anon de Monte; Anon Rolinia; Majagua</t>
  </si>
  <si>
    <t>Annona reticulata</t>
  </si>
  <si>
    <t>Chirimolla</t>
  </si>
  <si>
    <t>Annona squamosa</t>
  </si>
  <si>
    <t>Anon</t>
  </si>
  <si>
    <t>Neolamarckia cadamba</t>
  </si>
  <si>
    <t>Laran; Cadamba</t>
  </si>
  <si>
    <t>Rubiaceae</t>
  </si>
  <si>
    <t>Neolamarckia</t>
  </si>
  <si>
    <t>Apeiba glabra</t>
  </si>
  <si>
    <t>Peine de Mono</t>
  </si>
  <si>
    <t>Apeiba</t>
  </si>
  <si>
    <t>Apeiba membranacea</t>
  </si>
  <si>
    <t>Apeiba tibourbou</t>
  </si>
  <si>
    <t>Peine de Mono (Tibourbou)</t>
  </si>
  <si>
    <t>Aphelandra crenata</t>
  </si>
  <si>
    <t>Cola de Gallo</t>
  </si>
  <si>
    <t>Acanthaceae</t>
  </si>
  <si>
    <t>Aphelandra</t>
  </si>
  <si>
    <t>Aralia chinensis</t>
  </si>
  <si>
    <t>Árbol de Angélica China; Dimorphanthus</t>
  </si>
  <si>
    <t>Araliaceae</t>
  </si>
  <si>
    <t>Aralia</t>
  </si>
  <si>
    <t>Araucaria angustifolia</t>
  </si>
  <si>
    <t>Araucaria</t>
  </si>
  <si>
    <t>Araucariaceae</t>
  </si>
  <si>
    <t>30-70</t>
  </si>
  <si>
    <t>Araucaria bidwillii</t>
  </si>
  <si>
    <t>300</t>
  </si>
  <si>
    <t>Araucaria heterophylla</t>
  </si>
  <si>
    <t>Araucaria; Araucaria Real; Pino de la Isla de Norfolk</t>
  </si>
  <si>
    <t>120</t>
  </si>
  <si>
    <t>Archontophoenix alexandrae</t>
  </si>
  <si>
    <t>Palma Alejandra; Reina Alejandra</t>
  </si>
  <si>
    <t>Archontophoenix</t>
  </si>
  <si>
    <t>12</t>
  </si>
  <si>
    <t>Archontophoenix cunninghamiana</t>
  </si>
  <si>
    <t>Palma Payanesa</t>
  </si>
  <si>
    <t>Ardisia arborea</t>
  </si>
  <si>
    <t>Ardisia Arborea</t>
  </si>
  <si>
    <t>Ardisia</t>
  </si>
  <si>
    <t>Ardisia crenata</t>
  </si>
  <si>
    <t>4-6</t>
  </si>
  <si>
    <t>Ardisia elliptica</t>
  </si>
  <si>
    <t>5</t>
  </si>
  <si>
    <t>Ardisia guianensis</t>
  </si>
  <si>
    <t>Ardisia Rio Claro; Ajicito de Diablo; Fresco; Mote</t>
  </si>
  <si>
    <t>Areca catechu</t>
  </si>
  <si>
    <t>Palma de Betel; Nuez de Betel</t>
  </si>
  <si>
    <t>Areca</t>
  </si>
  <si>
    <t>Areca sp</t>
  </si>
  <si>
    <t>Palmera Bambú</t>
  </si>
  <si>
    <t>Areca triandra</t>
  </si>
  <si>
    <t>Palma Bambu</t>
  </si>
  <si>
    <t>Arenga engleri</t>
  </si>
  <si>
    <t>Palma Arenga</t>
  </si>
  <si>
    <t>Arenga</t>
  </si>
  <si>
    <t>Artemisia arborescens</t>
  </si>
  <si>
    <t>Artemisia</t>
  </si>
  <si>
    <t>Asteraceae</t>
  </si>
  <si>
    <t>Artocarpus altilis</t>
  </si>
  <si>
    <t>Árbol del Pan</t>
  </si>
  <si>
    <t>Moraceae</t>
  </si>
  <si>
    <t>Artocarpus</t>
  </si>
  <si>
    <t>Artocarpus heterophyllus</t>
  </si>
  <si>
    <t>Árbol del Pan; Jaca</t>
  </si>
  <si>
    <t>250-500</t>
  </si>
  <si>
    <t>Artocarpus integer</t>
  </si>
  <si>
    <t>Arbol del Pan</t>
  </si>
  <si>
    <t>Artocarpus lacucha</t>
  </si>
  <si>
    <t>Asclepias curassavica</t>
  </si>
  <si>
    <t>Rejalgar; Bencenuco; Niñomuerto; Mataganado</t>
  </si>
  <si>
    <t>Asclepias</t>
  </si>
  <si>
    <t>Asparagus sp</t>
  </si>
  <si>
    <t>Esparraguera</t>
  </si>
  <si>
    <t>Asparagus</t>
  </si>
  <si>
    <t>10</t>
  </si>
  <si>
    <t>Aspidosperma sp</t>
  </si>
  <si>
    <t>Carreto</t>
  </si>
  <si>
    <t>Aspidosperma</t>
  </si>
  <si>
    <t>Aspidosperma spruceanum</t>
  </si>
  <si>
    <t>Astrocaryum malybo</t>
  </si>
  <si>
    <t>Palma Malibú; Lanceta; Ancharma; Palma Estera; Anchamba</t>
  </si>
  <si>
    <t>Astrocaryum</t>
  </si>
  <si>
    <t>Astronium graveolens</t>
  </si>
  <si>
    <t>Diomate; Gusanero</t>
  </si>
  <si>
    <t>Astronium</t>
  </si>
  <si>
    <t>Asystasia gangetica</t>
  </si>
  <si>
    <t>Tortuguita; Nevado</t>
  </si>
  <si>
    <t>Trepadora</t>
  </si>
  <si>
    <t>Asystasia</t>
  </si>
  <si>
    <t>Attalea amygdalina</t>
  </si>
  <si>
    <t>Palma Táparo; Palma Almendrón; Almendrón</t>
  </si>
  <si>
    <t>Attalea</t>
  </si>
  <si>
    <t>Attalea butyracea</t>
  </si>
  <si>
    <t>Palma de Vino; Palma de Cuesco; Palma Corozo de Puerco</t>
  </si>
  <si>
    <t>Attalea oleifera</t>
  </si>
  <si>
    <t>Taparo; Pindoba</t>
  </si>
  <si>
    <t>Aucuba japonica</t>
  </si>
  <si>
    <t>Laurel Manchado</t>
  </si>
  <si>
    <t>Garryaceae</t>
  </si>
  <si>
    <t>Aucuba</t>
  </si>
  <si>
    <t>Averrhoa carambola</t>
  </si>
  <si>
    <t>Carambolo; Tamarindo; Carambola</t>
  </si>
  <si>
    <t>Oxalidaceae</t>
  </si>
  <si>
    <t>Averrhoa</t>
  </si>
  <si>
    <t>Azadirachta indica</t>
  </si>
  <si>
    <t>Neem; Paraíso de la India</t>
  </si>
  <si>
    <t>Meliaceae</t>
  </si>
  <si>
    <t>Azadirachta</t>
  </si>
  <si>
    <t>Baccharis halimifolia</t>
  </si>
  <si>
    <t>Bacaris; Chilca; Carqueja</t>
  </si>
  <si>
    <t>Baccharis</t>
  </si>
  <si>
    <t>2-5</t>
  </si>
  <si>
    <t>(iNaturalistEc, 2024)</t>
  </si>
  <si>
    <t>0,8-1,3</t>
  </si>
  <si>
    <t>Baccharis latifolia</t>
  </si>
  <si>
    <t>Chilca; Chilco; Chilco Blanco</t>
  </si>
  <si>
    <t>2</t>
  </si>
  <si>
    <t>Baccharis macrantha</t>
  </si>
  <si>
    <t>Chilo; Cirro; Ciro</t>
  </si>
  <si>
    <t>Bactris gasipaes</t>
  </si>
  <si>
    <t>Palma Chontaduro</t>
  </si>
  <si>
    <t>Bactris</t>
  </si>
  <si>
    <t>Bactris pilosa</t>
  </si>
  <si>
    <t>Lata Blanca; Chacarrá</t>
  </si>
  <si>
    <t>Bambusa vulgaris</t>
  </si>
  <si>
    <t>Bambú; Guadua Amarilla</t>
  </si>
  <si>
    <t>Poaceae</t>
  </si>
  <si>
    <t>Bambú y guaduas</t>
  </si>
  <si>
    <t>Bambusa</t>
  </si>
  <si>
    <t>5-10</t>
  </si>
  <si>
    <t>0,4-0,9</t>
  </si>
  <si>
    <t>Bauhinia forficata</t>
  </si>
  <si>
    <t>Casco Buey</t>
  </si>
  <si>
    <t>Bauhinia</t>
  </si>
  <si>
    <t>Bauhinia kalbreyeri</t>
  </si>
  <si>
    <t>Casco de Vaca; Pata de Vaca; Pata de Buey; Casco de Buey</t>
  </si>
  <si>
    <t>12-15</t>
  </si>
  <si>
    <t>40</t>
  </si>
  <si>
    <t>100-250</t>
  </si>
  <si>
    <t>Bauhinia monandra</t>
  </si>
  <si>
    <t>Casco Buey; Casco de Vaca</t>
  </si>
  <si>
    <t>Bauhinia picta</t>
  </si>
  <si>
    <t>Casco de Vaca</t>
  </si>
  <si>
    <t>18</t>
  </si>
  <si>
    <t>Bauhinia purpurea</t>
  </si>
  <si>
    <t>Pata de Vaca; Patevaca; Patebuey; Casco de Vaca; Casco de Buey</t>
  </si>
  <si>
    <t>11</t>
  </si>
  <si>
    <t>Bauhinia sp</t>
  </si>
  <si>
    <t>Hernandiacea; Casco de Vaca</t>
  </si>
  <si>
    <t>11-20</t>
  </si>
  <si>
    <t>Bauhinia variegata</t>
  </si>
  <si>
    <t>Casco de Vaca; Árbol Orquídea</t>
  </si>
  <si>
    <t>80</t>
  </si>
  <si>
    <t>150-300</t>
  </si>
  <si>
    <t>Beaucarnea recurvata</t>
  </si>
  <si>
    <t>Palma Pony</t>
  </si>
  <si>
    <t>Beaucarnea</t>
  </si>
  <si>
    <t>Begonia coccinea</t>
  </si>
  <si>
    <t>Begonia Alas de Angel</t>
  </si>
  <si>
    <t>Begoniaceae</t>
  </si>
  <si>
    <t>Begonia</t>
  </si>
  <si>
    <t>Beilschmiedia pendula</t>
  </si>
  <si>
    <t>Laurel Negro; Aguacate Cimarrón</t>
  </si>
  <si>
    <t>Beilschmiedia</t>
  </si>
  <si>
    <t>Bellucia pentamera</t>
  </si>
  <si>
    <t>Coronillo; Guayaba de Mico</t>
  </si>
  <si>
    <t>Melastomataceae</t>
  </si>
  <si>
    <t>Bellucia</t>
  </si>
  <si>
    <t>Bellucia sp</t>
  </si>
  <si>
    <t>Billia rosea</t>
  </si>
  <si>
    <t>Bilia; Cucharo; Cariseco</t>
  </si>
  <si>
    <t>Billia</t>
  </si>
  <si>
    <t>50-100</t>
  </si>
  <si>
    <t>Bischofia javanica</t>
  </si>
  <si>
    <t>Biscofia; Toog; Cedro de Java</t>
  </si>
  <si>
    <t>Phyllanthaceae</t>
  </si>
  <si>
    <t>Bischofia</t>
  </si>
  <si>
    <t>10-20</t>
  </si>
  <si>
    <t>Bismarckia nobilis</t>
  </si>
  <si>
    <t>Palma Bismarck Plateada</t>
  </si>
  <si>
    <t>Bismarckia</t>
  </si>
  <si>
    <t>45</t>
  </si>
  <si>
    <t>30-48</t>
  </si>
  <si>
    <t>Bixa orellana</t>
  </si>
  <si>
    <t>Achiote; Achote; Bija</t>
  </si>
  <si>
    <t>Bixaceae</t>
  </si>
  <si>
    <t>Bixa</t>
  </si>
  <si>
    <t>30-50</t>
  </si>
  <si>
    <t>Blighia sapida</t>
  </si>
  <si>
    <t>Bien Me Sabe; Huevo de Gato</t>
  </si>
  <si>
    <t>Blighia</t>
  </si>
  <si>
    <t>Bocconia integrifolia</t>
  </si>
  <si>
    <t>Trompeto; Albacarrín; Sarno; Llora Sangre</t>
  </si>
  <si>
    <t>Papaveraceae</t>
  </si>
  <si>
    <t>Bocconia</t>
  </si>
  <si>
    <t>Boehmeria caudata</t>
  </si>
  <si>
    <t>Zanca de Mula; Ortiguillo</t>
  </si>
  <si>
    <t>Urticaceae</t>
  </si>
  <si>
    <t>Boehmeria</t>
  </si>
  <si>
    <t>Boehmeria japonica</t>
  </si>
  <si>
    <t>Zorrumbo; Cola de Gato</t>
  </si>
  <si>
    <t>Boehmeria virgata</t>
  </si>
  <si>
    <t>Boehmeria Virgata</t>
  </si>
  <si>
    <t>Bombax ceiba</t>
  </si>
  <si>
    <t>Cedro Caqueta; Ceiba Tolua; Algodonero Rojo</t>
  </si>
  <si>
    <t>Bombax</t>
  </si>
  <si>
    <t>Alibertia patinoi</t>
  </si>
  <si>
    <t>Borojó</t>
  </si>
  <si>
    <t>Alibertia</t>
  </si>
  <si>
    <t>Bougainvillea glabra</t>
  </si>
  <si>
    <t>Curazao; Veranera</t>
  </si>
  <si>
    <t>Nyctaginaceae</t>
  </si>
  <si>
    <t>Bougainvillea</t>
  </si>
  <si>
    <t>(Universidad de Málaga, 2021)</t>
  </si>
  <si>
    <t>Brachylaena sp</t>
  </si>
  <si>
    <t>Brachylaena</t>
  </si>
  <si>
    <t>Brasiliopuntia brasiliensis</t>
  </si>
  <si>
    <t>Chumbera Brasileña</t>
  </si>
  <si>
    <t>Cactaceae</t>
  </si>
  <si>
    <t>Xerófita</t>
  </si>
  <si>
    <t>Brasiliopuntia</t>
  </si>
  <si>
    <t>Cáctus</t>
  </si>
  <si>
    <t>Brassiophoenix schumanii</t>
  </si>
  <si>
    <t>Palma Brasiofenix</t>
  </si>
  <si>
    <t>Brassiophoenix</t>
  </si>
  <si>
    <t>Breonia chinensis</t>
  </si>
  <si>
    <t>Breonia</t>
  </si>
  <si>
    <t>Breynia disticha</t>
  </si>
  <si>
    <t>Nivosa; Carnaval</t>
  </si>
  <si>
    <t>Breynia</t>
  </si>
  <si>
    <t>Brosimum alicastrum</t>
  </si>
  <si>
    <t>Sande; Ramón; Nogal Maya</t>
  </si>
  <si>
    <t>Brosimum</t>
  </si>
  <si>
    <t>Broussonetia papyrifera</t>
  </si>
  <si>
    <t>Morera de Papel</t>
  </si>
  <si>
    <t>Broussonetia</t>
  </si>
  <si>
    <t>30-40</t>
  </si>
  <si>
    <t>Brownea ariza</t>
  </si>
  <si>
    <t>Arizá; Palo Cruz</t>
  </si>
  <si>
    <t>Brownea</t>
  </si>
  <si>
    <t>80-120</t>
  </si>
  <si>
    <t>Brownea grandiceps</t>
  </si>
  <si>
    <t>Arizá Grandiceps</t>
  </si>
  <si>
    <t>Brownea sp</t>
  </si>
  <si>
    <t>Arizá Blanco</t>
  </si>
  <si>
    <t>8-20</t>
  </si>
  <si>
    <t>Brownea stenantha</t>
  </si>
  <si>
    <t>Arizá; Florisanto; Clavellino</t>
  </si>
  <si>
    <t>Browneopsis excelsa</t>
  </si>
  <si>
    <t>Cruceto; Palo de Cruz</t>
  </si>
  <si>
    <t>Browneopsis</t>
  </si>
  <si>
    <t>Brugmansia arborea</t>
  </si>
  <si>
    <t>Borrachero; Floripondio; Trompeta de Ángel</t>
  </si>
  <si>
    <t>Brugmansia</t>
  </si>
  <si>
    <t>7</t>
  </si>
  <si>
    <t>Brugmansia sp</t>
  </si>
  <si>
    <t>Brunfelsia grandiflora</t>
  </si>
  <si>
    <t>Borrachero; Chiric Sanango; Chacruco; Picudo</t>
  </si>
  <si>
    <t>Brunfelsia</t>
  </si>
  <si>
    <t>Brunfelsia pauciflora</t>
  </si>
  <si>
    <t>Francesino</t>
  </si>
  <si>
    <t>20-40</t>
  </si>
  <si>
    <t>Brunfelsia sp</t>
  </si>
  <si>
    <t>Francesina</t>
  </si>
  <si>
    <t>Brunfelsia undulata</t>
  </si>
  <si>
    <t>Huele Noche</t>
  </si>
  <si>
    <t>Brunfelsia uniflora</t>
  </si>
  <si>
    <t>Terminalia pulcherrima</t>
  </si>
  <si>
    <t>Acabí; Guayabillo; Granadillo</t>
  </si>
  <si>
    <t>Combretaceae</t>
  </si>
  <si>
    <t>Terminalia</t>
  </si>
  <si>
    <t>Buchenavia reticulata sinónimo</t>
  </si>
  <si>
    <t>Terminalia tetraphylla</t>
  </si>
  <si>
    <t>Muli; Capacho</t>
  </si>
  <si>
    <t>Buchenavia tetraphylla sinónimo</t>
  </si>
  <si>
    <t>Terminalia buceras</t>
  </si>
  <si>
    <t>Olivo Negro; Júcaro de Playa</t>
  </si>
  <si>
    <t>Buddleja davidii</t>
  </si>
  <si>
    <t>Budelia; Butleya; Arbusto de las Mariposas; Ramillete</t>
  </si>
  <si>
    <t>Scrophulariaceae</t>
  </si>
  <si>
    <t>Buddleja</t>
  </si>
  <si>
    <t>Bulnesia arborea</t>
  </si>
  <si>
    <t>Guayacán de Bola</t>
  </si>
  <si>
    <t>Zygophyllaceae</t>
  </si>
  <si>
    <t>Bulnesia</t>
  </si>
  <si>
    <t>Plectrocarpa carrapo</t>
  </si>
  <si>
    <t>Guayacán; Guayacán de Bola; Guayacán Caparro</t>
  </si>
  <si>
    <t>Plectrocarpa</t>
  </si>
  <si>
    <t>Bulnesia carrapo sinónimo</t>
  </si>
  <si>
    <t>Bunchosia armeniaca</t>
  </si>
  <si>
    <t>Confite; Ciruelo</t>
  </si>
  <si>
    <t>Malpighiaceae</t>
  </si>
  <si>
    <t>Bunchosia</t>
  </si>
  <si>
    <t>Bunchosia nitida</t>
  </si>
  <si>
    <t>Ciruela de Fraile; Ciruelo Cimarrón; Cereza</t>
  </si>
  <si>
    <t>Bursera graveolens</t>
  </si>
  <si>
    <t>Carano; Crespín; Palo Santo; Aceitilla</t>
  </si>
  <si>
    <t>Burseraceae</t>
  </si>
  <si>
    <t>Bursera</t>
  </si>
  <si>
    <t>Bursera simaruba</t>
  </si>
  <si>
    <t>Indio Desnudo; Almacigo; Resbala Monos</t>
  </si>
  <si>
    <t>Bursera tomentosa</t>
  </si>
  <si>
    <t>Palosanto; Tatamaco; Bijo</t>
  </si>
  <si>
    <t>Buxus sempervirens</t>
  </si>
  <si>
    <t>Boj; Palma de Boj</t>
  </si>
  <si>
    <t>Buxaceae</t>
  </si>
  <si>
    <t>Buxus</t>
  </si>
  <si>
    <t>6</t>
  </si>
  <si>
    <t>Byrsonima arthropoda</t>
  </si>
  <si>
    <t>Nances Y Nanches</t>
  </si>
  <si>
    <t>Byrsonima</t>
  </si>
  <si>
    <t>Byrsonima crassifolia</t>
  </si>
  <si>
    <t>Noro; Paralejo; Nance</t>
  </si>
  <si>
    <t>Byrsonima spicata</t>
  </si>
  <si>
    <t>Noro; Tacasalejo; Doncella</t>
  </si>
  <si>
    <t>Libidibia coriaria</t>
  </si>
  <si>
    <t>Dividivi; Agallo; Ichí; Nacascalote</t>
  </si>
  <si>
    <t>Libidibia</t>
  </si>
  <si>
    <t>Caesalpinia coriaria sinónimo</t>
  </si>
  <si>
    <t>Libidibia punctata</t>
  </si>
  <si>
    <t>Ébano</t>
  </si>
  <si>
    <t>Caesalpinia ebano sinónimo</t>
  </si>
  <si>
    <t>Cenostigma pluviosum</t>
  </si>
  <si>
    <t>Acacia Amarilla; Palo Brasil</t>
  </si>
  <si>
    <t>Caesalpinia pulcherrima</t>
  </si>
  <si>
    <t>Clavellino; Flor de Navidad</t>
  </si>
  <si>
    <t>Caesalpinia</t>
  </si>
  <si>
    <t>4</t>
  </si>
  <si>
    <t>60-120</t>
  </si>
  <si>
    <t>Caesalpinia sp</t>
  </si>
  <si>
    <t>Tara spinosa</t>
  </si>
  <si>
    <t>Tara; Guarango</t>
  </si>
  <si>
    <t>Tara</t>
  </si>
  <si>
    <t>Cajanus cajan</t>
  </si>
  <si>
    <t>Guandúl</t>
  </si>
  <si>
    <t>Cajanus</t>
  </si>
  <si>
    <t>50-80</t>
  </si>
  <si>
    <t>Calliandra antioquiae</t>
  </si>
  <si>
    <t>Carbonero</t>
  </si>
  <si>
    <t>Calliandra</t>
  </si>
  <si>
    <t>Calliandra selloi</t>
  </si>
  <si>
    <t>Plumerillo Rosado</t>
  </si>
  <si>
    <t>Calliandra brevipes sinónimo</t>
  </si>
  <si>
    <t>Calliandra haematocephala</t>
  </si>
  <si>
    <t>Bellota; Carbonero Rojo</t>
  </si>
  <si>
    <t>60-100</t>
  </si>
  <si>
    <t>Calliandra magdalenae</t>
  </si>
  <si>
    <t>Calliandra medellinensis</t>
  </si>
  <si>
    <t>Calliandra pittieri</t>
  </si>
  <si>
    <t>Calliandra sp</t>
  </si>
  <si>
    <t>3-12</t>
  </si>
  <si>
    <t>Calliandra surinamensis</t>
  </si>
  <si>
    <t>Pavo Real; Carbonero Rojo; Rabo de Conejo; Saman de Jardín; Surinam</t>
  </si>
  <si>
    <t>Calliandra tergemina</t>
  </si>
  <si>
    <t>Calliandra trinervia</t>
  </si>
  <si>
    <t>Carbonero Rojo</t>
  </si>
  <si>
    <t>Calliandra tweedii</t>
  </si>
  <si>
    <t>Callicarpa macrophylla</t>
  </si>
  <si>
    <t>Callicarpa Macrophylla</t>
  </si>
  <si>
    <t>Callicarpa</t>
  </si>
  <si>
    <t>Melaleuca citrina</t>
  </si>
  <si>
    <t>Calistemon; Eucalipto Ornamental</t>
  </si>
  <si>
    <t>Melaleuca</t>
  </si>
  <si>
    <t>8</t>
  </si>
  <si>
    <t>Melaleuca glauca</t>
  </si>
  <si>
    <t>Escobillón Rojo; Calistemo Rojo</t>
  </si>
  <si>
    <t>Hesperocyparis glabra</t>
  </si>
  <si>
    <t>Callitropsis Glabra</t>
  </si>
  <si>
    <t>Cupressaceae</t>
  </si>
  <si>
    <t>Hesperocyparis</t>
  </si>
  <si>
    <t>Callitropsis glabra sinónimo, Pino</t>
  </si>
  <si>
    <t>Calocedrus decurrens</t>
  </si>
  <si>
    <t>Cedro Colorado</t>
  </si>
  <si>
    <t>Calocedrus</t>
  </si>
  <si>
    <t>Calophyllum brasiliense</t>
  </si>
  <si>
    <t>Aceite María; Aceite</t>
  </si>
  <si>
    <t>Calophyllaceae</t>
  </si>
  <si>
    <t>Calophyllum</t>
  </si>
  <si>
    <t>10-30</t>
  </si>
  <si>
    <t>Calophyllum calaba</t>
  </si>
  <si>
    <t>María; Santa María; Mamey Falso</t>
  </si>
  <si>
    <t>Calophyllum inophyllum</t>
  </si>
  <si>
    <t>Aceite</t>
  </si>
  <si>
    <t>0,43-0,8</t>
  </si>
  <si>
    <t>20-50</t>
  </si>
  <si>
    <t>Calophyllum soulattri</t>
  </si>
  <si>
    <t>Calophyllum Soulattri</t>
  </si>
  <si>
    <t>Calycophyllum candidissimum</t>
  </si>
  <si>
    <t>Guayabo Alazano; Dágame; Canelo</t>
  </si>
  <si>
    <t>Calycophyllum</t>
  </si>
  <si>
    <t>Calyptranthes sp</t>
  </si>
  <si>
    <t>Calytranthes sp</t>
  </si>
  <si>
    <t>Calyptranthes</t>
  </si>
  <si>
    <t>camellia japonica</t>
  </si>
  <si>
    <t>Camelia</t>
  </si>
  <si>
    <t>Theaceae</t>
  </si>
  <si>
    <t>Camellia sp</t>
  </si>
  <si>
    <t>Campomanesia lineatifolia</t>
  </si>
  <si>
    <t>Guayaba de Leche</t>
  </si>
  <si>
    <t>Campomanesia</t>
  </si>
  <si>
    <t>Cananga odorata</t>
  </si>
  <si>
    <t>Cadmio; Ylang Ylang</t>
  </si>
  <si>
    <t>Cananga</t>
  </si>
  <si>
    <t>Morisonia odoratissmia</t>
  </si>
  <si>
    <t>Naranjillo; Naranjuelo</t>
  </si>
  <si>
    <t>Capparaceae</t>
  </si>
  <si>
    <t>Morisonia</t>
  </si>
  <si>
    <t>Capsicum frutescens</t>
  </si>
  <si>
    <t>Ají</t>
  </si>
  <si>
    <t>Capsicum</t>
  </si>
  <si>
    <t>Capsicum sp</t>
  </si>
  <si>
    <t>Carapa guianensis</t>
  </si>
  <si>
    <t>Cedro Guino</t>
  </si>
  <si>
    <t>Carapa</t>
  </si>
  <si>
    <t>Carica papaya</t>
  </si>
  <si>
    <t>Papayo</t>
  </si>
  <si>
    <t>Caricaceae</t>
  </si>
  <si>
    <t>Carica</t>
  </si>
  <si>
    <t>100-500</t>
  </si>
  <si>
    <t>Carica sp</t>
  </si>
  <si>
    <t>Papauelo Silvestre</t>
  </si>
  <si>
    <t>Cariniana pyriformis</t>
  </si>
  <si>
    <t>Abarco</t>
  </si>
  <si>
    <t>Lecythidaceae</t>
  </si>
  <si>
    <t>Cariniana</t>
  </si>
  <si>
    <t>Carissa macrocarpa</t>
  </si>
  <si>
    <t>Espino</t>
  </si>
  <si>
    <t>Carissa</t>
  </si>
  <si>
    <t>Carludovica palmata</t>
  </si>
  <si>
    <t>Palma Iraca; Jipijapa</t>
  </si>
  <si>
    <t>Cyclantaceae</t>
  </si>
  <si>
    <t>Carludovica</t>
  </si>
  <si>
    <t>Carya illinoinensis</t>
  </si>
  <si>
    <t>Pacano; Pecán; Nuez Pecana</t>
  </si>
  <si>
    <t>Carya</t>
  </si>
  <si>
    <t>Caryocar glabrum</t>
  </si>
  <si>
    <t>Cagüí; Almendrón</t>
  </si>
  <si>
    <t>Caryocaraceae</t>
  </si>
  <si>
    <t>Caryocar</t>
  </si>
  <si>
    <t>Caryodaphnopsis cogolloi</t>
  </si>
  <si>
    <t>Yumbe</t>
  </si>
  <si>
    <t>Caryodaphnopsis</t>
  </si>
  <si>
    <t>Caryodendron orinocense</t>
  </si>
  <si>
    <t>Inchi; Almendro; Tacay</t>
  </si>
  <si>
    <t>Caryodendron</t>
  </si>
  <si>
    <t>Caryota mitis</t>
  </si>
  <si>
    <t>Palma Mariposa; Cola de Pescado</t>
  </si>
  <si>
    <t>Caryota</t>
  </si>
  <si>
    <t>Caryota sp</t>
  </si>
  <si>
    <t>ALEJANDRA REYES</t>
  </si>
  <si>
    <t>Caryota urens</t>
  </si>
  <si>
    <t>Palma Mariposa; Cola de Pescado (Urens)</t>
  </si>
  <si>
    <t>Cascabela gaumeri (Hemsl)</t>
  </si>
  <si>
    <t>Campanilla</t>
  </si>
  <si>
    <t>Cascabela</t>
  </si>
  <si>
    <t>Casearia aculeata</t>
  </si>
  <si>
    <t>Guapanto; Capulín Corona</t>
  </si>
  <si>
    <t>Salicaceae</t>
  </si>
  <si>
    <t>Casearia</t>
  </si>
  <si>
    <t>Casearia corymbosa</t>
  </si>
  <si>
    <t>Varablanca; Ondequera</t>
  </si>
  <si>
    <t>Casearia sp</t>
  </si>
  <si>
    <t>Casimiroa edulis</t>
  </si>
  <si>
    <t>Zapote Blanco; Mango Matasano</t>
  </si>
  <si>
    <t>Rutaceae</t>
  </si>
  <si>
    <t>Casimiroa</t>
  </si>
  <si>
    <t>Casimiroa sapota Oerst</t>
  </si>
  <si>
    <t>Zapote Blanco; Matasano</t>
  </si>
  <si>
    <t>Cassia fistula</t>
  </si>
  <si>
    <t>Lluvia de Oro</t>
  </si>
  <si>
    <t>Cassia</t>
  </si>
  <si>
    <t>Cassia grandis</t>
  </si>
  <si>
    <t>Cañafístula; Cañandonga</t>
  </si>
  <si>
    <t>Cassia javanica</t>
  </si>
  <si>
    <t>Acacia Rosada; Acacia Brasilera</t>
  </si>
  <si>
    <t>Senna spectabilis</t>
  </si>
  <si>
    <t>Velero</t>
  </si>
  <si>
    <t>Senna</t>
  </si>
  <si>
    <t>Castilla elastica</t>
  </si>
  <si>
    <t>Caucho; Hule</t>
  </si>
  <si>
    <t>Castilla</t>
  </si>
  <si>
    <t>Casuarina equisetifolia</t>
  </si>
  <si>
    <t>Casuariana; Pino Australiano; Pino de París; Agoho de Filipinas</t>
  </si>
  <si>
    <t>Casuarinaceae</t>
  </si>
  <si>
    <t>Casuarina</t>
  </si>
  <si>
    <t>5-8</t>
  </si>
  <si>
    <t>Catalpa longissima</t>
  </si>
  <si>
    <t>Crispeta; Catalpa</t>
  </si>
  <si>
    <t>Catalpa</t>
  </si>
  <si>
    <t>17</t>
  </si>
  <si>
    <t>Cavanillesia chicamochae</t>
  </si>
  <si>
    <t>Baobab; Barrigón</t>
  </si>
  <si>
    <t>Endemica</t>
  </si>
  <si>
    <t>Cavanillesia</t>
  </si>
  <si>
    <t>Cavanillesia platanifolia</t>
  </si>
  <si>
    <t>Volao; Cuipo; Bonga; Güipo</t>
  </si>
  <si>
    <t>Cavendishia bracteata</t>
  </si>
  <si>
    <t>Uvitos; Uva de Anís; Zarcillo; Colmillo</t>
  </si>
  <si>
    <t>Ericaceae</t>
  </si>
  <si>
    <t>Cavendishia</t>
  </si>
  <si>
    <t>Cavendishia pubescens</t>
  </si>
  <si>
    <t>Uvito; Uvito de Monte</t>
  </si>
  <si>
    <t>Cecropia angustifolia</t>
  </si>
  <si>
    <t>Yarumo Negro</t>
  </si>
  <si>
    <t>Cecropia</t>
  </si>
  <si>
    <t>Cecropia peltata</t>
  </si>
  <si>
    <t>Yarumo; Guarumo; Yarumo Blanco; Yagrumo</t>
  </si>
  <si>
    <t>Cecropia telenitida</t>
  </si>
  <si>
    <t>Yarumo Blanco</t>
  </si>
  <si>
    <t>Cedrela montana</t>
  </si>
  <si>
    <t>Cedro de Tierra Fría; Cedro de Montaña</t>
  </si>
  <si>
    <t>Cedrela</t>
  </si>
  <si>
    <t>35</t>
  </si>
  <si>
    <t>0,3-0,6</t>
  </si>
  <si>
    <t>Cedrela odorata</t>
  </si>
  <si>
    <t>Cedro Rosado; Cedro Americano; Cedro Amargo; Cedro</t>
  </si>
  <si>
    <t>100</t>
  </si>
  <si>
    <t>Cedrela salvadorensis</t>
  </si>
  <si>
    <t>Cedro Macho; Cedro Chino; Cedro Oloroso</t>
  </si>
  <si>
    <t>Cedrela sp</t>
  </si>
  <si>
    <t>Cedro</t>
  </si>
  <si>
    <t>25-35</t>
  </si>
  <si>
    <t>Ceiba pentandra</t>
  </si>
  <si>
    <t>Ceiba Bonga; Ceibo</t>
  </si>
  <si>
    <t>Ceiba</t>
  </si>
  <si>
    <t>Ceiba sp</t>
  </si>
  <si>
    <t>100-300</t>
  </si>
  <si>
    <t>0,2-0,4</t>
  </si>
  <si>
    <t>Ceiba speciosa</t>
  </si>
  <si>
    <t>Ceiba Rosada</t>
  </si>
  <si>
    <t>Celastrus orbiculatus</t>
  </si>
  <si>
    <t>Celastro</t>
  </si>
  <si>
    <t>Celastraceae</t>
  </si>
  <si>
    <t>Celastrus</t>
  </si>
  <si>
    <t>Celastrus scandens</t>
  </si>
  <si>
    <t>Falsa Dulcamara</t>
  </si>
  <si>
    <t>Enredadera</t>
  </si>
  <si>
    <t>Celastrus sp</t>
  </si>
  <si>
    <t>Centrolobium paraense Tul</t>
  </si>
  <si>
    <t>Falso Cedro</t>
  </si>
  <si>
    <t>Centrolobium</t>
  </si>
  <si>
    <t>Centrolobium yavizanum</t>
  </si>
  <si>
    <t>Guayacán Jobo; Balaústre</t>
  </si>
  <si>
    <t>Larga</t>
  </si>
  <si>
    <t>Ceratozamia fuscoviridis</t>
  </si>
  <si>
    <t>Palmas Cicadas</t>
  </si>
  <si>
    <t>Zamiaceae</t>
  </si>
  <si>
    <t>Ceratozamia</t>
  </si>
  <si>
    <t>En peligro crítico</t>
  </si>
  <si>
    <t>Cereus hexagonus</t>
  </si>
  <si>
    <t>Cirio; Vela</t>
  </si>
  <si>
    <t>Cereus</t>
  </si>
  <si>
    <t>Cactus</t>
  </si>
  <si>
    <t>cereus sp</t>
  </si>
  <si>
    <t>Cereus sp</t>
  </si>
  <si>
    <t>cereus</t>
  </si>
  <si>
    <t>Cereus uruguayanus</t>
  </si>
  <si>
    <t>Cacto Candelabro</t>
  </si>
  <si>
    <t>Reemplazado por Cereus hildmannianus uruguayanus- cactus</t>
  </si>
  <si>
    <t>Ceroxylon quindiuense</t>
  </si>
  <si>
    <t>Palma de Cera</t>
  </si>
  <si>
    <t>Ceroxylon</t>
  </si>
  <si>
    <t>150</t>
  </si>
  <si>
    <t>Cespedesia macrophylla</t>
  </si>
  <si>
    <t>Pacó</t>
  </si>
  <si>
    <t>Ochnaceae</t>
  </si>
  <si>
    <t>Cespedesia</t>
  </si>
  <si>
    <t>Cestrum nocturnum</t>
  </si>
  <si>
    <t>Dama de Noche; Galán de Noche</t>
  </si>
  <si>
    <t>Cestrum</t>
  </si>
  <si>
    <t>cestrum racemosum</t>
  </si>
  <si>
    <t>Zorrillo</t>
  </si>
  <si>
    <t>cestrum</t>
  </si>
  <si>
    <t>Cestrum schlechtendalii</t>
  </si>
  <si>
    <t>Cestrum sp</t>
  </si>
  <si>
    <t>Duraznillo Negro; Cestrum Verde; Palqui (A otra sp de genero)</t>
  </si>
  <si>
    <t>Chamaecyparis pisifera</t>
  </si>
  <si>
    <t>Ciprés de Sawara; Ciprés de Hondo</t>
  </si>
  <si>
    <t>Chamaecyparis</t>
  </si>
  <si>
    <t>Chamaedorea linearis</t>
  </si>
  <si>
    <t>Palma Caña de San Pablo; Caña de Víbora</t>
  </si>
  <si>
    <t>Chamaedorea</t>
  </si>
  <si>
    <t>Chamaedorea metallica</t>
  </si>
  <si>
    <t>Palma Metálica</t>
  </si>
  <si>
    <t>Chamaedorea pinnatifrons</t>
  </si>
  <si>
    <t>Palma Molinillo</t>
  </si>
  <si>
    <t>Chamaedorea seifrizii</t>
  </si>
  <si>
    <t>Palma Bambú; Palma de Miami; Camedorea</t>
  </si>
  <si>
    <t>Chamaedorea sp</t>
  </si>
  <si>
    <t>Hoja de Pacaya</t>
  </si>
  <si>
    <t>Chamaedorea tepejilote</t>
  </si>
  <si>
    <t>Pacaya</t>
  </si>
  <si>
    <t>Chambeyronia macrocarpa</t>
  </si>
  <si>
    <t>Palma de Hoja Roja</t>
  </si>
  <si>
    <t>Chambeyronia</t>
  </si>
  <si>
    <t>Chelyocarpus dianeurus</t>
  </si>
  <si>
    <t>Noli</t>
  </si>
  <si>
    <t>Chelyocarpus</t>
  </si>
  <si>
    <t>Cinchona sp</t>
  </si>
  <si>
    <t>Quina</t>
  </si>
  <si>
    <t>Cinchona</t>
  </si>
  <si>
    <t>Chloroleucon tortum</t>
  </si>
  <si>
    <t>Jacaré; Yacarí; Parasiempre</t>
  </si>
  <si>
    <t>Chloroleucon</t>
  </si>
  <si>
    <t>Chromolaena odorata</t>
  </si>
  <si>
    <t>Albahaquilla</t>
  </si>
  <si>
    <t>Chromolaena</t>
  </si>
  <si>
    <t>Chrysobalanus icaco</t>
  </si>
  <si>
    <t>Icaco</t>
  </si>
  <si>
    <t>Chrysobalanaceae</t>
  </si>
  <si>
    <t>Chrysobalanus</t>
  </si>
  <si>
    <t>Chrysophyllum argenteum</t>
  </si>
  <si>
    <t>Cainito</t>
  </si>
  <si>
    <t>Sapotaceae</t>
  </si>
  <si>
    <t>Chrysophyllum</t>
  </si>
  <si>
    <t>Chrysophyllum cainito</t>
  </si>
  <si>
    <t>Caimito; Caimo Morado</t>
  </si>
  <si>
    <t>Cinnamomum triplinerve</t>
  </si>
  <si>
    <t>Laurel; Aguacatillo</t>
  </si>
  <si>
    <t>Cinnamomum</t>
  </si>
  <si>
    <t>Cinnamomum zeylanicum</t>
  </si>
  <si>
    <t>Canelo</t>
  </si>
  <si>
    <t>Citharexylum kunthianum</t>
  </si>
  <si>
    <t>Pendo; Palo Blanco; Casposo</t>
  </si>
  <si>
    <t>Citharexylum</t>
  </si>
  <si>
    <t>Citharexylum montanum</t>
  </si>
  <si>
    <t>Cajeto</t>
  </si>
  <si>
    <t>Citharexylum sp</t>
  </si>
  <si>
    <t>Cajeto; Palo de Guitarra</t>
  </si>
  <si>
    <t>10-35</t>
  </si>
  <si>
    <t>Citharexylum subflavescens</t>
  </si>
  <si>
    <t>Quimula; Cascarillo; Gavilán</t>
  </si>
  <si>
    <t>Citrus x microcarpa</t>
  </si>
  <si>
    <t>Calamondina; Planta de Naranjo Es Miniatura</t>
  </si>
  <si>
    <t>Citrus</t>
  </si>
  <si>
    <t>Citrus x sinensis</t>
  </si>
  <si>
    <t>Naranjo Dulce</t>
  </si>
  <si>
    <t>Citrus x latifolia</t>
  </si>
  <si>
    <t>Limon Tahiti</t>
  </si>
  <si>
    <t>Citrus x limonia</t>
  </si>
  <si>
    <t>Limon Mandarino</t>
  </si>
  <si>
    <t>Citrus aurantifolia</t>
  </si>
  <si>
    <t>Limon Criollo</t>
  </si>
  <si>
    <t>Citrus jambhiri</t>
  </si>
  <si>
    <t>Limon de Coctel;Limón Aspero</t>
  </si>
  <si>
    <t>Citrus maxima</t>
  </si>
  <si>
    <t>Pomelo Chino; Toronja; Toronjo; Pomelo; Pamplemusa</t>
  </si>
  <si>
    <t>Citrus medica</t>
  </si>
  <si>
    <t>Toronjo Dedos; Cridro</t>
  </si>
  <si>
    <t>9</t>
  </si>
  <si>
    <t>citrus x myrtifolia</t>
  </si>
  <si>
    <t>Naranjo Moruno</t>
  </si>
  <si>
    <t>citrus</t>
  </si>
  <si>
    <t>Citrus reticulata</t>
  </si>
  <si>
    <t>Mandarino Real</t>
  </si>
  <si>
    <t>Citrus sinensis</t>
  </si>
  <si>
    <t>Citrus sp</t>
  </si>
  <si>
    <t>Citrus trifoliata</t>
  </si>
  <si>
    <t>Naranjo Espinoso; Naranjo Trifoliado</t>
  </si>
  <si>
    <t>Citrus x aurantium</t>
  </si>
  <si>
    <t>Naranjo Agrio; Naranjo Amargo</t>
  </si>
  <si>
    <t>Clarisia racemosa</t>
  </si>
  <si>
    <t>Aji; Sande Mora</t>
  </si>
  <si>
    <t>Clarisia</t>
  </si>
  <si>
    <t>Clathrotropis brunnea</t>
  </si>
  <si>
    <t>Sapan</t>
  </si>
  <si>
    <t>Clathrotropis</t>
  </si>
  <si>
    <t>Clathrotropis macrocarpa</t>
  </si>
  <si>
    <t>Fariñero; Bizcocho; Masano; Fariñoso</t>
  </si>
  <si>
    <t>Clavija longifolia</t>
  </si>
  <si>
    <t>Durazno de Monte; Oreja de Burro</t>
  </si>
  <si>
    <t>Clavija</t>
  </si>
  <si>
    <t>Clavija sp</t>
  </si>
  <si>
    <t>Clerodendrum quadriloculare</t>
  </si>
  <si>
    <t>Cometa</t>
  </si>
  <si>
    <t>Clerodendrum</t>
  </si>
  <si>
    <t>Clerodendrum sp</t>
  </si>
  <si>
    <t>Gloria Enramada Sangrante; Corazón Sangrante</t>
  </si>
  <si>
    <t>Clethra sp</t>
  </si>
  <si>
    <t>Clethraceae</t>
  </si>
  <si>
    <t>Clethra</t>
  </si>
  <si>
    <t>Clibadium sp</t>
  </si>
  <si>
    <t>Clibadium</t>
  </si>
  <si>
    <t>Clibadium surinamense</t>
  </si>
  <si>
    <t>Salvia Amarga; Conami; Barbasco</t>
  </si>
  <si>
    <t>Clidemia umbrosa</t>
  </si>
  <si>
    <t>Camasay</t>
  </si>
  <si>
    <t>Clidemia</t>
  </si>
  <si>
    <t>Reemplazado por Miconia sciaphila</t>
  </si>
  <si>
    <t>Clitoria fairchildiana</t>
  </si>
  <si>
    <t>Barbasco; Sombrero</t>
  </si>
  <si>
    <t>Clitoria</t>
  </si>
  <si>
    <t>Clusia alata</t>
  </si>
  <si>
    <t>Chagualo</t>
  </si>
  <si>
    <t>Clusiaceae</t>
  </si>
  <si>
    <t>Clusia</t>
  </si>
  <si>
    <t>Clusia articulata</t>
  </si>
  <si>
    <t>Clusia multiflora</t>
  </si>
  <si>
    <t>14</t>
  </si>
  <si>
    <t>15-30</t>
  </si>
  <si>
    <t>Clusia orthoneura</t>
  </si>
  <si>
    <t>Flor de Cera</t>
  </si>
  <si>
    <t>Clusia sp</t>
  </si>
  <si>
    <t>Chagualo (A otra sp de genero)</t>
  </si>
  <si>
    <t>10-15</t>
  </si>
  <si>
    <t>Cnidoscolus aconitifolius</t>
  </si>
  <si>
    <t>Papayuelo</t>
  </si>
  <si>
    <t>Cnidoscolus</t>
  </si>
  <si>
    <t>Coccoloba acuminata</t>
  </si>
  <si>
    <t>Maíz Tostao; Maíz Cocho</t>
  </si>
  <si>
    <t>Polygonaceae</t>
  </si>
  <si>
    <t>Coccoloba</t>
  </si>
  <si>
    <t>Coccoloba sp</t>
  </si>
  <si>
    <t>Kino Americano</t>
  </si>
  <si>
    <t>Coccoloba uvifera</t>
  </si>
  <si>
    <t>Uvito de Playa</t>
  </si>
  <si>
    <t>Coccothrinax argentata</t>
  </si>
  <si>
    <t>Palma de Plata; Pactá</t>
  </si>
  <si>
    <t>Coccothrinax</t>
  </si>
  <si>
    <t>Cochlospermum orinocense</t>
  </si>
  <si>
    <t>Bototo; Majagua</t>
  </si>
  <si>
    <t>Cochlospermum</t>
  </si>
  <si>
    <t>Cochlospermum vitifolium</t>
  </si>
  <si>
    <t>Rosa Amarilla</t>
  </si>
  <si>
    <t>Cocos nucifera</t>
  </si>
  <si>
    <t>Palma de Coco; Cocotero</t>
  </si>
  <si>
    <t>Cocos</t>
  </si>
  <si>
    <t>Codiaeum variegatum</t>
  </si>
  <si>
    <t>Croto</t>
  </si>
  <si>
    <t>Codiaeum</t>
  </si>
  <si>
    <t>Coffea arabica</t>
  </si>
  <si>
    <t>Cafeto</t>
  </si>
  <si>
    <t>Coffea</t>
  </si>
  <si>
    <t>Cojoba arborea</t>
  </si>
  <si>
    <t>Carbonero Zorro; Dormilón</t>
  </si>
  <si>
    <t>Cojoba</t>
  </si>
  <si>
    <t>Coleus spp</t>
  </si>
  <si>
    <t>Coleus</t>
  </si>
  <si>
    <t>Colubrina arborescens</t>
  </si>
  <si>
    <t>Mabí; Abejuelo</t>
  </si>
  <si>
    <t>Rhamnaceae</t>
  </si>
  <si>
    <t>Colubrina</t>
  </si>
  <si>
    <t>Compsoneura sp</t>
  </si>
  <si>
    <t>Soto</t>
  </si>
  <si>
    <t>Myristicaceae</t>
  </si>
  <si>
    <t>Compsoneura</t>
  </si>
  <si>
    <t>Condaminea corymbosa</t>
  </si>
  <si>
    <t>Azuceno; Cascarillo; Quino Blanco</t>
  </si>
  <si>
    <t>Condaminea</t>
  </si>
  <si>
    <t>Conocarpus erectus</t>
  </si>
  <si>
    <t>Mangle Botoncillo</t>
  </si>
  <si>
    <t>Conocarpus</t>
  </si>
  <si>
    <t>Copaifera canime</t>
  </si>
  <si>
    <t>Canime; Aceite; Copaiba; Copayero</t>
  </si>
  <si>
    <t>Copaifera</t>
  </si>
  <si>
    <t>Copaifera sp</t>
  </si>
  <si>
    <t>Canines</t>
  </si>
  <si>
    <t>Cordia alliodora</t>
  </si>
  <si>
    <t>Nogal Cafetero</t>
  </si>
  <si>
    <t>Boraginaceae</t>
  </si>
  <si>
    <t>Cordia</t>
  </si>
  <si>
    <t>90</t>
  </si>
  <si>
    <t>Guayubirá</t>
  </si>
  <si>
    <t>Guayaibí; Guayaibí Blanco</t>
  </si>
  <si>
    <t>Cordia dentata</t>
  </si>
  <si>
    <t>Palo Noble; Uvito</t>
  </si>
  <si>
    <t>Cordia gerascanthus</t>
  </si>
  <si>
    <t>Moncoro</t>
  </si>
  <si>
    <t>Cordia sebestena</t>
  </si>
  <si>
    <t>Carambolí; Sanjoaquín; Nomeolvides; Gomo</t>
  </si>
  <si>
    <t>Cordia sp</t>
  </si>
  <si>
    <t>Nogal (A otra sp de genero)</t>
  </si>
  <si>
    <t>30-90</t>
  </si>
  <si>
    <t>0,46-0,74</t>
  </si>
  <si>
    <t>Cordia subcordata</t>
  </si>
  <si>
    <t>Árbol de Queroseno</t>
  </si>
  <si>
    <t>Cordyline australis</t>
  </si>
  <si>
    <t>Palma de Torbay</t>
  </si>
  <si>
    <t>Cordyline</t>
  </si>
  <si>
    <t>Cordyline fruticosa</t>
  </si>
  <si>
    <t>Carey; Palma de Cementerio; Flor de Difunto</t>
  </si>
  <si>
    <t>Cordyline rubra</t>
  </si>
  <si>
    <t>Drácena Roja</t>
  </si>
  <si>
    <t>Coriaria ruscifolia L</t>
  </si>
  <si>
    <t>Sansá; Matarratones</t>
  </si>
  <si>
    <t>Coriariaceae</t>
  </si>
  <si>
    <t>Coriaria</t>
  </si>
  <si>
    <t>Cornutia pyramidata</t>
  </si>
  <si>
    <t>Lengua de Vaca; Ahumapescado</t>
  </si>
  <si>
    <t>Cornutia</t>
  </si>
  <si>
    <t>Puede ser arbusto o árbol</t>
  </si>
  <si>
    <t>Corymbia ficifolia</t>
  </si>
  <si>
    <t>Eucalipto Pomarroso</t>
  </si>
  <si>
    <t>Corymbia</t>
  </si>
  <si>
    <t>Costus barbatus Suess</t>
  </si>
  <si>
    <t>Jengibre Espiral</t>
  </si>
  <si>
    <t>Costaceae</t>
  </si>
  <si>
    <t>Costus</t>
  </si>
  <si>
    <t>Cotoneaster coriaceus</t>
  </si>
  <si>
    <t>Griñolera Lechosa</t>
  </si>
  <si>
    <t>Rosaceae</t>
  </si>
  <si>
    <t>Cotoneaster</t>
  </si>
  <si>
    <t>Cotoneaster sp</t>
  </si>
  <si>
    <t>Holly; Cotonister</t>
  </si>
  <si>
    <t>5-7</t>
  </si>
  <si>
    <t>Couratari guianensis</t>
  </si>
  <si>
    <t>Cabuyo; Cachimbo; Coco Cabuyo; Congolo</t>
  </si>
  <si>
    <t>Couratari</t>
  </si>
  <si>
    <t>Vulnerabe globalmente</t>
  </si>
  <si>
    <t>Couroupita guianensis</t>
  </si>
  <si>
    <t>Bala de Cañón; Cocuelo; Ayahuma</t>
  </si>
  <si>
    <t>Couroupita</t>
  </si>
  <si>
    <t>Crataegus azarolus</t>
  </si>
  <si>
    <t>Acerolo; Acerola</t>
  </si>
  <si>
    <t>Crataegus</t>
  </si>
  <si>
    <t>Crateva tapia</t>
  </si>
  <si>
    <t>Cachimonda; Naranjuelo; Manzana de Playa</t>
  </si>
  <si>
    <t>Crateva</t>
  </si>
  <si>
    <t>Crescentia cujete</t>
  </si>
  <si>
    <t>Totumo; Mate</t>
  </si>
  <si>
    <t>Crescentia</t>
  </si>
  <si>
    <t>Croton magdalenensis</t>
  </si>
  <si>
    <t>Drago</t>
  </si>
  <si>
    <t>Croton</t>
  </si>
  <si>
    <t>Croton smithianus</t>
  </si>
  <si>
    <t>Gallinazo; Croton</t>
  </si>
  <si>
    <t>Croton sp</t>
  </si>
  <si>
    <t>Croton urucurana</t>
  </si>
  <si>
    <t>Sangre de Drago</t>
  </si>
  <si>
    <t>Cryosophila kalbreyeri</t>
  </si>
  <si>
    <t>Palma Escoba; Barbasco</t>
  </si>
  <si>
    <t>Cryosophila</t>
  </si>
  <si>
    <t>Cryptomeria japonica</t>
  </si>
  <si>
    <t>Cedro Japonés; Sugi</t>
  </si>
  <si>
    <t>Cryptomeria</t>
  </si>
  <si>
    <t>Cryptomeria japonica elegans</t>
  </si>
  <si>
    <t>Cunonia capensis</t>
  </si>
  <si>
    <t>Aliso Rojo Africano</t>
  </si>
  <si>
    <t>Cunonia</t>
  </si>
  <si>
    <t>Cupania americana</t>
  </si>
  <si>
    <t>Mestizo; Guacamayo</t>
  </si>
  <si>
    <t>Cupania</t>
  </si>
  <si>
    <t>Cupania cinerea Poepp</t>
  </si>
  <si>
    <t>Mestizo; Gaucharaco</t>
  </si>
  <si>
    <t>Cupressus glabra</t>
  </si>
  <si>
    <t>Pino Azul</t>
  </si>
  <si>
    <t>Cupressus</t>
  </si>
  <si>
    <t>Cupressus lusitanica</t>
  </si>
  <si>
    <t>Pino Ciprés; Cedro Blanco</t>
  </si>
  <si>
    <t>Cupressus sempervirens</t>
  </si>
  <si>
    <t>Pino Vela</t>
  </si>
  <si>
    <t>Curatella americana</t>
  </si>
  <si>
    <t>Chaparro; Peralejo; Paralejo Macho; Chaparro Bobo</t>
  </si>
  <si>
    <t>Dileniacea</t>
  </si>
  <si>
    <t>Curatella</t>
  </si>
  <si>
    <t>Cyathea delgadii</t>
  </si>
  <si>
    <t>Helecho Arboreo; Helecho Sarro; Sarro</t>
  </si>
  <si>
    <t>Cyatheaceae</t>
  </si>
  <si>
    <t>Palmera*</t>
  </si>
  <si>
    <t>Cyathea</t>
  </si>
  <si>
    <t>Helecho</t>
  </si>
  <si>
    <t>Cyathea meridensis</t>
  </si>
  <si>
    <t>Cyathea multiflora</t>
  </si>
  <si>
    <t>Cyathea sp</t>
  </si>
  <si>
    <t>Helecho Arboreo</t>
  </si>
  <si>
    <t>Cyca sp</t>
  </si>
  <si>
    <t>Cycadaceae</t>
  </si>
  <si>
    <t>Cyca</t>
  </si>
  <si>
    <t>Cycas circinalis</t>
  </si>
  <si>
    <t>Cica; Palma Helecho; Cica de Hoja Larga</t>
  </si>
  <si>
    <t>Cycas</t>
  </si>
  <si>
    <t>Cycas revoluta Thunb</t>
  </si>
  <si>
    <t>Palma de Segú; Palma Funebre</t>
  </si>
  <si>
    <t>1</t>
  </si>
  <si>
    <t>Cycas rumphii</t>
  </si>
  <si>
    <t>Palma Cyca</t>
  </si>
  <si>
    <t>Cycas thouarsii</t>
  </si>
  <si>
    <t>Helecho Arbóreo; Sarro; Helecho Macho; Helecho Arborecente</t>
  </si>
  <si>
    <t>Cyperus involucratus</t>
  </si>
  <si>
    <t>Papiro Sombrilla</t>
  </si>
  <si>
    <t>Cyperaceae</t>
  </si>
  <si>
    <t>Cyperus</t>
  </si>
  <si>
    <t>Reemplazado por Cyperus alternifolius ssp flabelliformis</t>
  </si>
  <si>
    <t>Cyperus papyrus L</t>
  </si>
  <si>
    <t>Papiro</t>
  </si>
  <si>
    <t>Palustre</t>
  </si>
  <si>
    <t>Cyphomandra betacea</t>
  </si>
  <si>
    <t>Tamarillo; Tomate de Palo</t>
  </si>
  <si>
    <t>Cyphomandra</t>
  </si>
  <si>
    <t>Sustituido por Solanum betaceum</t>
  </si>
  <si>
    <t>Cyrtostachys renda</t>
  </si>
  <si>
    <t>Palma Roja</t>
  </si>
  <si>
    <t>Cyrtostachys</t>
  </si>
  <si>
    <t>Dahlia x pinnata</t>
  </si>
  <si>
    <t>Dalia</t>
  </si>
  <si>
    <t>Dahlia</t>
  </si>
  <si>
    <t>Delonix regia</t>
  </si>
  <si>
    <t>Acacia Roja; Flamboyán</t>
  </si>
  <si>
    <t>Delonix</t>
  </si>
  <si>
    <t>Delostoma integrifolium</t>
  </si>
  <si>
    <t>Teterete; Navajuelo</t>
  </si>
  <si>
    <t>Delostoma</t>
  </si>
  <si>
    <t>Delostoma sp</t>
  </si>
  <si>
    <t>Guayacan de Tierra Fria; Navajuelo</t>
  </si>
  <si>
    <t>Dendrocnide moroides</t>
  </si>
  <si>
    <t>Gimpi Gimpi O Yimpi Yimpi</t>
  </si>
  <si>
    <t>Dendrocnide</t>
  </si>
  <si>
    <t>Dendropanax arboreus</t>
  </si>
  <si>
    <t>Zapotillo</t>
  </si>
  <si>
    <t>Dendropanax</t>
  </si>
  <si>
    <t>Dendropanax sp</t>
  </si>
  <si>
    <t>Dialium guianensis</t>
  </si>
  <si>
    <t>Tamarindo de Monte</t>
  </si>
  <si>
    <t>Dialium</t>
  </si>
  <si>
    <t>Dianthera secunda</t>
  </si>
  <si>
    <t>Sangria; Singamochila</t>
  </si>
  <si>
    <t>Dianthera</t>
  </si>
  <si>
    <t>Dicksonia sellowiana</t>
  </si>
  <si>
    <t>Dicksoniaceae</t>
  </si>
  <si>
    <t>Dicksonia</t>
  </si>
  <si>
    <t>Dictyocaryum lamarckianum</t>
  </si>
  <si>
    <t>Macana; Barrigona Blanca; Mapora</t>
  </si>
  <si>
    <t>Dictyocaryum</t>
  </si>
  <si>
    <t>Dilodendron costaricense</t>
  </si>
  <si>
    <t>Loro; Iguano</t>
  </si>
  <si>
    <t>Dilodendron</t>
  </si>
  <si>
    <t>Dimocarpus longan</t>
  </si>
  <si>
    <t>Ojo de Dragón</t>
  </si>
  <si>
    <t>Dimocarpus</t>
  </si>
  <si>
    <t>Casi esta en riesgo globalmente</t>
  </si>
  <si>
    <t>Diospyros blancoi</t>
  </si>
  <si>
    <t>Siete Sabores</t>
  </si>
  <si>
    <t>Ebenaceae</t>
  </si>
  <si>
    <t>Diospyros</t>
  </si>
  <si>
    <t>Diospyros Artanthifolia</t>
  </si>
  <si>
    <t>Marfil</t>
  </si>
  <si>
    <t>Diospyros digyna Jacq</t>
  </si>
  <si>
    <t>Zapote Negro; Zapote Prieto; Ébano; Guayabota</t>
  </si>
  <si>
    <t>Reemplazado por Diospyros nigra</t>
  </si>
  <si>
    <t>Diospyros inconstans</t>
  </si>
  <si>
    <t>Limpiadientes; Diospiro; Juandedios; Limocillo; Granadillo</t>
  </si>
  <si>
    <t>Diospyros nigra</t>
  </si>
  <si>
    <t>Zapote Negro; Limpia Dientes</t>
  </si>
  <si>
    <t>Diospyros sp</t>
  </si>
  <si>
    <t>Zapote Negro</t>
  </si>
  <si>
    <t>Dipteryx oleifera</t>
  </si>
  <si>
    <t>Choibá; Palo de Piedra</t>
  </si>
  <si>
    <t>Dipteryx</t>
  </si>
  <si>
    <t>Dodonaea viscosa</t>
  </si>
  <si>
    <t>Hayuelo</t>
  </si>
  <si>
    <t>Dodonaea</t>
  </si>
  <si>
    <t>Dombeya wallichii</t>
  </si>
  <si>
    <t>Árbol de las Hortensias</t>
  </si>
  <si>
    <t>Dombeya</t>
  </si>
  <si>
    <t>Dovyalis hebecarpa</t>
  </si>
  <si>
    <t>Dovyalis</t>
  </si>
  <si>
    <t>Dracaena angustifolia</t>
  </si>
  <si>
    <t>Drago de Madagasca; Carey; Banderilla</t>
  </si>
  <si>
    <t>Dracaena</t>
  </si>
  <si>
    <t>Dracaena arborea</t>
  </si>
  <si>
    <t>Dracena; Cana de Maiz</t>
  </si>
  <si>
    <t>Dracaena braunii</t>
  </si>
  <si>
    <t>Bambú de la Suerte</t>
  </si>
  <si>
    <t>Dracaena concinna</t>
  </si>
  <si>
    <t>Árbol Dragon</t>
  </si>
  <si>
    <t>En peligro globalmente</t>
  </si>
  <si>
    <t>Dracaena deremensis</t>
  </si>
  <si>
    <t>Cinta Variegada</t>
  </si>
  <si>
    <t>Dracaena fragrans</t>
  </si>
  <si>
    <t>Árbol de la Felicidad</t>
  </si>
  <si>
    <t>Dracaena reflexa</t>
  </si>
  <si>
    <t>Dracaena (Reflexa); Canción de la India</t>
  </si>
  <si>
    <t>Dracaena rubra</t>
  </si>
  <si>
    <t>Palma de Carey; Drácena Roja</t>
  </si>
  <si>
    <t>Dracaena sp</t>
  </si>
  <si>
    <t>Palo de Brasil</t>
  </si>
  <si>
    <t>Dracaena compacta</t>
  </si>
  <si>
    <t>Tronco del Brasil</t>
  </si>
  <si>
    <t>Duranta erecta</t>
  </si>
  <si>
    <t>Duranta</t>
  </si>
  <si>
    <t>Duranta mutisii</t>
  </si>
  <si>
    <t>Duranta repens</t>
  </si>
  <si>
    <t>Duranta sp</t>
  </si>
  <si>
    <t>Dypsis decaryi</t>
  </si>
  <si>
    <t>Palma Triangular</t>
  </si>
  <si>
    <t>Dypsis</t>
  </si>
  <si>
    <t>Dypsis lutescens</t>
  </si>
  <si>
    <t>Palma Areca; Palma de Frutos de Oro</t>
  </si>
  <si>
    <t>Dypsis madagascariensis</t>
  </si>
  <si>
    <t>Palma de Madagascar</t>
  </si>
  <si>
    <t>Dysoxylum gaudichaudianum</t>
  </si>
  <si>
    <t>Caoba de Marfil</t>
  </si>
  <si>
    <t>Dysoxylum</t>
  </si>
  <si>
    <t>Dysoxylum macranthum</t>
  </si>
  <si>
    <t>Dysoxylum Macranthum</t>
  </si>
  <si>
    <t>Sustituido por Didymocheton macranthus</t>
  </si>
  <si>
    <t>Caesalpinia ebano</t>
  </si>
  <si>
    <t>Elaeis guineensis</t>
  </si>
  <si>
    <t>Palma Africana; Palma de Aceite</t>
  </si>
  <si>
    <t>Elaeis</t>
  </si>
  <si>
    <t>Elaeis oleifera</t>
  </si>
  <si>
    <t>Corozo; Nolí; Corozo de Manteca; Coroza</t>
  </si>
  <si>
    <t>Elaeocarpus angustifolius</t>
  </si>
  <si>
    <t>Cerezo Azul; Higo; Marmol Azul</t>
  </si>
  <si>
    <t>Elaeocarpaceae</t>
  </si>
  <si>
    <t>Elaeocarpus</t>
  </si>
  <si>
    <t>Sinónimo Elaeocarpus grandis</t>
  </si>
  <si>
    <t>Endlicheria sericea</t>
  </si>
  <si>
    <t>Laurel Indio Viejo</t>
  </si>
  <si>
    <t>Endlicheria</t>
  </si>
  <si>
    <t>Enterolobium cyclocarpum</t>
  </si>
  <si>
    <t>Piñón de Oreja; Orejero; Piñón</t>
  </si>
  <si>
    <t>Enterolobium</t>
  </si>
  <si>
    <t>Eperua sp</t>
  </si>
  <si>
    <t>Nazareno</t>
  </si>
  <si>
    <t>Eperua</t>
  </si>
  <si>
    <t>Eriobotrya japonica</t>
  </si>
  <si>
    <t>Níspero del Japón</t>
  </si>
  <si>
    <t>Eriobotrya</t>
  </si>
  <si>
    <t>Erythrina crista-galli</t>
  </si>
  <si>
    <t>Cresta de Gallo</t>
  </si>
  <si>
    <t>Erythrina</t>
  </si>
  <si>
    <t>Erythrina edulis</t>
  </si>
  <si>
    <t>Chachafruto; Poroto; Balu</t>
  </si>
  <si>
    <t>Erythrina fusca</t>
  </si>
  <si>
    <t>Búcaro</t>
  </si>
  <si>
    <t>200</t>
  </si>
  <si>
    <t>Erythrina poeppigiana</t>
  </si>
  <si>
    <t>Cámbulo; Cachimbo; Barbatuco</t>
  </si>
  <si>
    <t>250</t>
  </si>
  <si>
    <t>Erythrina rubrinervia</t>
  </si>
  <si>
    <t>Chocho; Siriguay</t>
  </si>
  <si>
    <t>Erythrina sp</t>
  </si>
  <si>
    <t>(Varón &amp; Morales, 2014)</t>
  </si>
  <si>
    <t>Erythrina speciosa</t>
  </si>
  <si>
    <t>Árbol Coral</t>
  </si>
  <si>
    <t>Erythrina variegata</t>
  </si>
  <si>
    <t>Búcaro Variegado; Colorin</t>
  </si>
  <si>
    <t>Erythroxylum coca</t>
  </si>
  <si>
    <t>Coca</t>
  </si>
  <si>
    <t>Erythroxylaceae</t>
  </si>
  <si>
    <t>Erythroxylum</t>
  </si>
  <si>
    <t>Escallonia pendula</t>
  </si>
  <si>
    <t>Loqueto; Mangle</t>
  </si>
  <si>
    <t>Escalloniaceae</t>
  </si>
  <si>
    <t>Escallonia</t>
  </si>
  <si>
    <t>10-40</t>
  </si>
  <si>
    <t>Eschweilera antioquensis</t>
  </si>
  <si>
    <t>Olleto; Catelisoto; Olla de Mono</t>
  </si>
  <si>
    <t>Eschweilera</t>
  </si>
  <si>
    <t>Eschweilera parviflora</t>
  </si>
  <si>
    <t>Fono; Carguero de Boa; Palo de Lombriz; Popay</t>
  </si>
  <si>
    <t>Eschweilera reversa</t>
  </si>
  <si>
    <t>Cargadero Blanco; Coco Blanco</t>
  </si>
  <si>
    <t>Eschweilera sp</t>
  </si>
  <si>
    <t>Castaño; Catelisoto</t>
  </si>
  <si>
    <t>Escobedia sp</t>
  </si>
  <si>
    <t>Orobanchaceae</t>
  </si>
  <si>
    <t>Escobedia</t>
  </si>
  <si>
    <t>MARIA FERNANDA LOPEZ</t>
  </si>
  <si>
    <t>Eucalyptus camaldulensis</t>
  </si>
  <si>
    <t>Eucalipto</t>
  </si>
  <si>
    <t>Eucalyptus</t>
  </si>
  <si>
    <t>Eucalyptus cinerea</t>
  </si>
  <si>
    <t>Eucalipto Plateado; Ocalita</t>
  </si>
  <si>
    <t>&gt;100</t>
  </si>
  <si>
    <t>Eucalyptus deglupta</t>
  </si>
  <si>
    <t>Eucalipto Arcoíris; Eucalipti Guayabo</t>
  </si>
  <si>
    <t>Eucalyptus grandis</t>
  </si>
  <si>
    <t>Eucalypto Rosado; Eucalipto</t>
  </si>
  <si>
    <t>49</t>
  </si>
  <si>
    <t>Eucalyptus polyanthemos</t>
  </si>
  <si>
    <t>Eucalipto Rojo</t>
  </si>
  <si>
    <t>Eucalyptus robusta</t>
  </si>
  <si>
    <t>Eucalipto Robusto</t>
  </si>
  <si>
    <t>Eucalyptus saligna</t>
  </si>
  <si>
    <t>Eucalyptus sp</t>
  </si>
  <si>
    <t>&gt;20</t>
  </si>
  <si>
    <t>Eugenia biflora</t>
  </si>
  <si>
    <t>Grosello; Grosella; Grosellero; Cereza; Ciruela; Arrayán</t>
  </si>
  <si>
    <t>Eugenia</t>
  </si>
  <si>
    <t>Eugenia flavescens</t>
  </si>
  <si>
    <t>Arrayán; Arrayán Limón</t>
  </si>
  <si>
    <t>Eugenia florida</t>
  </si>
  <si>
    <t>Flor Azul; Payo; Guayabillo</t>
  </si>
  <si>
    <t>Eugenia involucrata</t>
  </si>
  <si>
    <t>Cereza de Río Grande; Cerella ;Cerejeira</t>
  </si>
  <si>
    <t>Eugenia myrtifolia</t>
  </si>
  <si>
    <t>Eugenio</t>
  </si>
  <si>
    <t>Eugenia stipitata</t>
  </si>
  <si>
    <t>Arazá; Guayaba Brasileña; Arrayán</t>
  </si>
  <si>
    <t>Eugenia uniflora</t>
  </si>
  <si>
    <t>Pitanga; Grosella; Mirto; Cereza de Cayena; Uvo</t>
  </si>
  <si>
    <t>Euonymus fortunei</t>
  </si>
  <si>
    <t>Huso de la Fortuna</t>
  </si>
  <si>
    <t>Euonymus</t>
  </si>
  <si>
    <t>Euonymus japonicus</t>
  </si>
  <si>
    <t>El Huso Japonés; El Bonetero; El Evónimo</t>
  </si>
  <si>
    <t>Euphorbia cotinifolia</t>
  </si>
  <si>
    <t>Liberal; Lechero; Manzanillo; Caucho; Yuco</t>
  </si>
  <si>
    <t>Euphorbia</t>
  </si>
  <si>
    <t>Euphorbia grantii</t>
  </si>
  <si>
    <t>Euphorbia Grantii</t>
  </si>
  <si>
    <t>Euphorbia lactea</t>
  </si>
  <si>
    <t>Lechero; Lechero Espinoso; Carató</t>
  </si>
  <si>
    <t>Euphorbia pulcherrima</t>
  </si>
  <si>
    <t>Navidad; Sombrilla; Olayaherrera; Paragua; Carnaval</t>
  </si>
  <si>
    <t>Euphorbia tirucalli</t>
  </si>
  <si>
    <t>Letra China; Quebradura; Cactus; Coralito</t>
  </si>
  <si>
    <t>Euphorbia trigona</t>
  </si>
  <si>
    <t>Lechero; Cactus</t>
  </si>
  <si>
    <t>Euphorbia umbellata</t>
  </si>
  <si>
    <t>Lechero Africano; Lechero Verde</t>
  </si>
  <si>
    <t>Euterpe oleracea</t>
  </si>
  <si>
    <t>Naidi; Murrapo; Asaí de Pará; Manaca Brasilera; Tapafrío</t>
  </si>
  <si>
    <t>Euterpe</t>
  </si>
  <si>
    <t>Euterpe precatoria</t>
  </si>
  <si>
    <t>Palmicho; Palma Asaí; Asaí; Manaca; Palmito; Palmiche</t>
  </si>
  <si>
    <t>Feijoa sellowiana</t>
  </si>
  <si>
    <t>Feijoa; Guayaba Feijoa; Guayabo</t>
  </si>
  <si>
    <t>Feijoa</t>
  </si>
  <si>
    <t>Ficus americana</t>
  </si>
  <si>
    <t>Caucho Sabanero; Caucho; Lechero; Higuerón; Matapalo</t>
  </si>
  <si>
    <t>Ficus</t>
  </si>
  <si>
    <t>Sinonimo de Ficus andicola</t>
  </si>
  <si>
    <t>Ficus benjamina</t>
  </si>
  <si>
    <t>Laurel; Falso Laurel; Ficus Variegata</t>
  </si>
  <si>
    <t>8-10</t>
  </si>
  <si>
    <t>Ficus brevibracteata</t>
  </si>
  <si>
    <t>Higueron</t>
  </si>
  <si>
    <t>Ficus callosa</t>
  </si>
  <si>
    <t>Higuera</t>
  </si>
  <si>
    <t>Ficus carica</t>
  </si>
  <si>
    <t>Brevo; Breva; Higo; Higuera; Caucho de la India</t>
  </si>
  <si>
    <t>22</t>
  </si>
  <si>
    <t>Ficus citrifolia</t>
  </si>
  <si>
    <t>Ficus cuatrecasasiana</t>
  </si>
  <si>
    <t>Mata Palo</t>
  </si>
  <si>
    <t>Ficus dendrocida</t>
  </si>
  <si>
    <t>Caucho Matapalo; Matapalo; Suan; Abrazapalo; Higuerón; Caucho</t>
  </si>
  <si>
    <t>Ficus dulciaria</t>
  </si>
  <si>
    <t>Higuerón Guayabo; Higuerón; Breva de Monte</t>
  </si>
  <si>
    <t>Ficus elastica</t>
  </si>
  <si>
    <t>Caucho; Caucho de la India; Falso Caucho; Lechón</t>
  </si>
  <si>
    <t>Ficus hartwegii</t>
  </si>
  <si>
    <t>Caucho; Cauchito; Caucho Higuerón; Caucho Rosado; Lechero</t>
  </si>
  <si>
    <t>Ficus ingens</t>
  </si>
  <si>
    <t>Higo</t>
  </si>
  <si>
    <t>Ficus insipida</t>
  </si>
  <si>
    <t>Higuerón; Matapalo; Ojé; Copé; Caucho Glabrata; Caucho Incipida</t>
  </si>
  <si>
    <t>Ficus involuta</t>
  </si>
  <si>
    <t>Caucho; Higuero; Lechero</t>
  </si>
  <si>
    <t>Ficus longifolia</t>
  </si>
  <si>
    <t>Lechero; Matapalo Guayanés</t>
  </si>
  <si>
    <t>Ficus lyrata</t>
  </si>
  <si>
    <t>Pandurata; Caucho Lira; Lirata; Ficus Lira</t>
  </si>
  <si>
    <t>Ficus microcarpa</t>
  </si>
  <si>
    <t>Caucho Microcarpa; Caucho; Matapalo</t>
  </si>
  <si>
    <t>&gt;50</t>
  </si>
  <si>
    <t>Ficus obtusifolia</t>
  </si>
  <si>
    <t>Amate; Higuerón; Caucho; Matapalo; Herrerún; Lechero</t>
  </si>
  <si>
    <t>Ficus pertusa</t>
  </si>
  <si>
    <t>Matapalo; Caucho; Lechudo; Caucho Común</t>
  </si>
  <si>
    <t>Ficus religiosa</t>
  </si>
  <si>
    <t>Caucho de la India; Ficus; Caucho Acorazonado</t>
  </si>
  <si>
    <t>Ficus retusa</t>
  </si>
  <si>
    <t>Pivijay; Caucho</t>
  </si>
  <si>
    <t>Ficus sp</t>
  </si>
  <si>
    <t>Mata Palos; Higuerón; Lechudo</t>
  </si>
  <si>
    <t>50-200</t>
  </si>
  <si>
    <t>Ficus sur</t>
  </si>
  <si>
    <t>Caucho</t>
  </si>
  <si>
    <t>Ficus tequendamae</t>
  </si>
  <si>
    <t>Caucho Tequendama; Caucho</t>
  </si>
  <si>
    <t>Ficus tonduzii</t>
  </si>
  <si>
    <t>Higuerón; Caucho; Higuerón Grande; Caucho Tonduzii</t>
  </si>
  <si>
    <t>Ficus variegata</t>
  </si>
  <si>
    <t>Ficus Variegado</t>
  </si>
  <si>
    <t>Flacourtia indica</t>
  </si>
  <si>
    <t>Cerezo del Gobernador; Ciruela del Gobernador; Ciruelo del Gobernador; Uva Lisa</t>
  </si>
  <si>
    <t>Flacourtia</t>
  </si>
  <si>
    <t>Frangula caroliniana</t>
  </si>
  <si>
    <t>Frángula; Avellanillo; Hediondo; Alno Baccífero; Sangueño; Abiacán</t>
  </si>
  <si>
    <t>Frangula</t>
  </si>
  <si>
    <t>Rhamnus caroliniana</t>
  </si>
  <si>
    <t>Frangula goudotiana</t>
  </si>
  <si>
    <t>Ojo de Perdiz; Palo Amarillo; Cabo de Hacha</t>
  </si>
  <si>
    <t>Frangula sphaerosperma</t>
  </si>
  <si>
    <t>Cabo de Hacha</t>
  </si>
  <si>
    <t>Fraxinus americana</t>
  </si>
  <si>
    <t>Fresno Rojo; Fresno Blanco; Fresno Americano</t>
  </si>
  <si>
    <t>Oleaceae</t>
  </si>
  <si>
    <t>Fraxinus</t>
  </si>
  <si>
    <t>Fraxinus chinensis</t>
  </si>
  <si>
    <t>Urapan; Fresno</t>
  </si>
  <si>
    <t>Fraxinus udhei</t>
  </si>
  <si>
    <t>Fuchsia sp</t>
  </si>
  <si>
    <t>Fucsia</t>
  </si>
  <si>
    <t>Onagraceae</t>
  </si>
  <si>
    <t>Fuchsia</t>
  </si>
  <si>
    <t>4-5</t>
  </si>
  <si>
    <t>Galphimia gracilis</t>
  </si>
  <si>
    <t>Luvia de Oro; Flor Amarillo</t>
  </si>
  <si>
    <t>Galphimia</t>
  </si>
  <si>
    <t>Garcinia madruno</t>
  </si>
  <si>
    <t>Madroño; Madroña; Madruño</t>
  </si>
  <si>
    <t>Garcinia</t>
  </si>
  <si>
    <t>Garcinia mangostana</t>
  </si>
  <si>
    <t>Mangostino</t>
  </si>
  <si>
    <t>Garcinia sp</t>
  </si>
  <si>
    <t>Madroño</t>
  </si>
  <si>
    <t>Gardenia jasminoides</t>
  </si>
  <si>
    <t>Gardenia; Malabar; Jazmín del Cabo; Jazmín</t>
  </si>
  <si>
    <t>Gardenia</t>
  </si>
  <si>
    <t>Genipa americana</t>
  </si>
  <si>
    <t>Jagua; Caruto; Huito; Jaguo; Jigua</t>
  </si>
  <si>
    <t>Genipa</t>
  </si>
  <si>
    <t>55</t>
  </si>
  <si>
    <t>Geoffroea sp</t>
  </si>
  <si>
    <t>Silvadero</t>
  </si>
  <si>
    <t>Geoffroea</t>
  </si>
  <si>
    <t>Geoffroea spinosa</t>
  </si>
  <si>
    <t>Ebano Falso; Ébano Ornamental; Silbadero</t>
  </si>
  <si>
    <t>Geonoma interrupta</t>
  </si>
  <si>
    <t>Cortadera</t>
  </si>
  <si>
    <t>Geonoma</t>
  </si>
  <si>
    <t>Geonoma sp</t>
  </si>
  <si>
    <t>Palmicha; Palma Macuma</t>
  </si>
  <si>
    <t>Gliricidia sepium</t>
  </si>
  <si>
    <t>Mata Ratón</t>
  </si>
  <si>
    <t>Gliricidia</t>
  </si>
  <si>
    <t>Gmelina arborea</t>
  </si>
  <si>
    <t>Melina; Gumhar</t>
  </si>
  <si>
    <t>Gmelina</t>
  </si>
  <si>
    <t>Gossypium barbadense</t>
  </si>
  <si>
    <t>Algodon; Algodonero</t>
  </si>
  <si>
    <t>Gossypium</t>
  </si>
  <si>
    <t>Gossypium sp</t>
  </si>
  <si>
    <t>Algodon</t>
  </si>
  <si>
    <t>Graptophyllum pictum</t>
  </si>
  <si>
    <t>Planta de Caricatura</t>
  </si>
  <si>
    <t>Graptophyllum</t>
  </si>
  <si>
    <t>Grevillea banksii</t>
  </si>
  <si>
    <t>Grevileo de Jardín</t>
  </si>
  <si>
    <t>Proteaceae</t>
  </si>
  <si>
    <t>Grevillea</t>
  </si>
  <si>
    <t>Grevillea robusta</t>
  </si>
  <si>
    <t>Roble Australiano; Árbol de Seda; Rabo de Pavo; Grevilia; Roble de Australia</t>
  </si>
  <si>
    <t>Guadua angustifolia</t>
  </si>
  <si>
    <t>Guadua</t>
  </si>
  <si>
    <t>Guaiacum officinale</t>
  </si>
  <si>
    <t>Guayacán Azul; Guayacán; Guayaco; Florazul; Palosanto</t>
  </si>
  <si>
    <t>Guaiacum</t>
  </si>
  <si>
    <t>Guaiacum sp</t>
  </si>
  <si>
    <t>Guayacan Azul</t>
  </si>
  <si>
    <t>Guarea guidonia</t>
  </si>
  <si>
    <t>Trompillo; Cedrillo; Cedro Macho; Mestizo; Cartagüeño</t>
  </si>
  <si>
    <t>Guarea</t>
  </si>
  <si>
    <t>Guarea macrophylla</t>
  </si>
  <si>
    <t>Guarea sp</t>
  </si>
  <si>
    <t>Guatteria sp</t>
  </si>
  <si>
    <t>Cargadero</t>
  </si>
  <si>
    <t>Guatteria</t>
  </si>
  <si>
    <t>Guazuma ulmifolia</t>
  </si>
  <si>
    <t>Guácimo</t>
  </si>
  <si>
    <t>Guazuma</t>
  </si>
  <si>
    <t>Gustavia dubia</t>
  </si>
  <si>
    <t>Mula Muerta; Membrillo; Almanegra</t>
  </si>
  <si>
    <t>Gustavia</t>
  </si>
  <si>
    <t>Gustavia romeroi</t>
  </si>
  <si>
    <t>Mula Muerta; Coco Hediondo</t>
  </si>
  <si>
    <t>Gustavia speciosa</t>
  </si>
  <si>
    <t>Membrillo; Cocuelo Blanco; Chupo; Chupa</t>
  </si>
  <si>
    <t>Gustavia superba</t>
  </si>
  <si>
    <t>Pacó; Membrillo; Chupo</t>
  </si>
  <si>
    <t>Hamelia patens</t>
  </si>
  <si>
    <t>Coralillo; Bencenuco; Hamelia</t>
  </si>
  <si>
    <t>Hamelia</t>
  </si>
  <si>
    <t>Hampea sp</t>
  </si>
  <si>
    <t>Algodoncillo</t>
  </si>
  <si>
    <t>Hampea</t>
  </si>
  <si>
    <t>Handroanthus chrysanthus</t>
  </si>
  <si>
    <t>Guayacán Amarillo; Cañaguate; Guayacán; Chicalá; Polvillo</t>
  </si>
  <si>
    <t>Handroanthus</t>
  </si>
  <si>
    <t>Handroanthus chrysotrichus</t>
  </si>
  <si>
    <t>Guayacán Peludo; Guayacán</t>
  </si>
  <si>
    <t>Handroanthus ochraceus</t>
  </si>
  <si>
    <t>Polvillo; Chicalá; Floramarillo; Guayacán Polvillo; Guayacán; Guayacán Dorado</t>
  </si>
  <si>
    <t>Handroanthus serratifolius</t>
  </si>
  <si>
    <t>Chicalá; Floramarilla; Floramarillo; Curarire; Guayacán; Guayacán Polvillo</t>
  </si>
  <si>
    <t>Harpullia arborea</t>
  </si>
  <si>
    <t>Harpulia</t>
  </si>
  <si>
    <t>Harpullia</t>
  </si>
  <si>
    <t>Hasseltia floribunda</t>
  </si>
  <si>
    <t>Pechuga de Gallina; Hueso; Huesito; Coronillo</t>
  </si>
  <si>
    <t>Hasseltia</t>
  </si>
  <si>
    <t>Heliocarpus americanus</t>
  </si>
  <si>
    <t>Pestaña de Mula; Balso Blanco; Palo Bobo</t>
  </si>
  <si>
    <t>Heliocarpus</t>
  </si>
  <si>
    <t>16</t>
  </si>
  <si>
    <t>Heptapleurum actinophyllum</t>
  </si>
  <si>
    <t>Schefflera; Cheflera; Pategallina Hojigrande</t>
  </si>
  <si>
    <t>Heptapleurum</t>
  </si>
  <si>
    <t>Heptapleurum arboricola</t>
  </si>
  <si>
    <t>Cheflera Variegada; Cheflera Enana</t>
  </si>
  <si>
    <t>Herrania sp</t>
  </si>
  <si>
    <t>Cacaito</t>
  </si>
  <si>
    <t>Herrania</t>
  </si>
  <si>
    <t>Hevea brasiliensis</t>
  </si>
  <si>
    <t>Caucho de Pará; Caucho; Hule; Caucho Amazónico</t>
  </si>
  <si>
    <t>Hevea</t>
  </si>
  <si>
    <t>Hibiscus acetosella</t>
  </si>
  <si>
    <t>Roselle; Jamaica</t>
  </si>
  <si>
    <t>Hibiscus</t>
  </si>
  <si>
    <t>Hibiscus elatus</t>
  </si>
  <si>
    <t>Hibiscus fragilis</t>
  </si>
  <si>
    <t>Cayena Doble Flor</t>
  </si>
  <si>
    <t>Hibiscus mutabilis</t>
  </si>
  <si>
    <t>Rosa de Mayo; Algodón Rosa; Algodón; Cayeno; Malva</t>
  </si>
  <si>
    <t>Hibiscus rosa-sinensis</t>
  </si>
  <si>
    <t>San Joaquín; Cayeno; Sanjoaquín; Resucitado</t>
  </si>
  <si>
    <t>Hibiscus sabdariffa</t>
  </si>
  <si>
    <t>Planta de Jamaica</t>
  </si>
  <si>
    <t>Hibiscus schizopetalus</t>
  </si>
  <si>
    <t>San Joaquín Rojo; Cardenal; Rosa China; Canastilla; Farolito; Rojo Chiroso; Rosito de Canasta</t>
  </si>
  <si>
    <t>Hibiscus sp</t>
  </si>
  <si>
    <t>San Joaquin</t>
  </si>
  <si>
    <t>2-10</t>
  </si>
  <si>
    <t>Hibiscus syriacus</t>
  </si>
  <si>
    <t>San Joaquin Morado; Resucitado</t>
  </si>
  <si>
    <t>19</t>
  </si>
  <si>
    <t>Hieronyma alchorneoides</t>
  </si>
  <si>
    <t>Candelo; Palo Curtidor</t>
  </si>
  <si>
    <t>Hieronyma</t>
  </si>
  <si>
    <t>Himatanthus drasticus</t>
  </si>
  <si>
    <t>Plumel; Árbol de la Vida</t>
  </si>
  <si>
    <t>Himatanthus</t>
  </si>
  <si>
    <t>Himatanthus sp</t>
  </si>
  <si>
    <t>Hoheria sexstylosa</t>
  </si>
  <si>
    <t>Hoheria Sexstylosa</t>
  </si>
  <si>
    <t>Hoheria</t>
  </si>
  <si>
    <t>Holmskioldia sanguinea</t>
  </si>
  <si>
    <t>Sombrilla China</t>
  </si>
  <si>
    <t>Holmskioldia</t>
  </si>
  <si>
    <t>Howea forsteriana</t>
  </si>
  <si>
    <t>Palma de Kentia</t>
  </si>
  <si>
    <t>Howea</t>
  </si>
  <si>
    <t>Huberodendron patinoi</t>
  </si>
  <si>
    <t>Carrá; Naguare; Volador</t>
  </si>
  <si>
    <t>Huberodendron</t>
  </si>
  <si>
    <t>Hura crepitans</t>
  </si>
  <si>
    <t>Ceiba Bruja; Ceiba Amarilla; Tronador; Ceiba de Leche; Ceiba de Agua</t>
  </si>
  <si>
    <t>Hura</t>
  </si>
  <si>
    <t>Hymenaea courbaril</t>
  </si>
  <si>
    <t>Algarrobo; Algarrobillo; Ámbar; Copal; Courbail</t>
  </si>
  <si>
    <t>Hymenaea</t>
  </si>
  <si>
    <t>Hymenaea oblongifolia</t>
  </si>
  <si>
    <t>Algarrobillo; Algarrobo; Coca de Mico</t>
  </si>
  <si>
    <t>Hyophorbe lagenicaulis</t>
  </si>
  <si>
    <t>Palma Botella; Palma Botella Enana; Palma Botella Mascarena</t>
  </si>
  <si>
    <t>Hyophorbe</t>
  </si>
  <si>
    <t>Hyophorbe verschaffeltii</t>
  </si>
  <si>
    <t>Palma Huso; Palma de Cemento</t>
  </si>
  <si>
    <t>Ilex sp</t>
  </si>
  <si>
    <t>Cardenillo</t>
  </si>
  <si>
    <t>Aquifoliaceae</t>
  </si>
  <si>
    <t>Ilex</t>
  </si>
  <si>
    <t>Indigofera sp</t>
  </si>
  <si>
    <t>Añil</t>
  </si>
  <si>
    <t>Indigofera</t>
  </si>
  <si>
    <t>Inga acrocephala</t>
  </si>
  <si>
    <t>Guamo Churimo; Guamo; Guamo Machete</t>
  </si>
  <si>
    <t>Inga</t>
  </si>
  <si>
    <t>Inga alba</t>
  </si>
  <si>
    <t>Guamo; Guamo Churimo; Carbonero; Guamo Caliente; Churimo</t>
  </si>
  <si>
    <t>Inga chocoensis</t>
  </si>
  <si>
    <t>Guama</t>
  </si>
  <si>
    <t>Inga codonantha</t>
  </si>
  <si>
    <t>Guamo Santafereño</t>
  </si>
  <si>
    <t>Inga densiflora</t>
  </si>
  <si>
    <t>Guamo Macheto; Guamo; Guamo Machete</t>
  </si>
  <si>
    <t>Inga edulis</t>
  </si>
  <si>
    <t>Guamo Rabodemico; Guamo; Algarroba; Algarrobillo; Ámbar; Copal</t>
  </si>
  <si>
    <t>Inga laurina</t>
  </si>
  <si>
    <t>Inga spectabilis</t>
  </si>
  <si>
    <t>Guamo Macheto; Guamo Copero; Churimba; Guamo Machete</t>
  </si>
  <si>
    <t>Inga sp</t>
  </si>
  <si>
    <t>Inga; Guama</t>
  </si>
  <si>
    <t>5-40</t>
  </si>
  <si>
    <t>&gt;80</t>
  </si>
  <si>
    <t>Inga vera</t>
  </si>
  <si>
    <t>Guamba; Guama del Orinoco</t>
  </si>
  <si>
    <t>Ipomoea carnea</t>
  </si>
  <si>
    <t>Amapola Rosa</t>
  </si>
  <si>
    <t>Convolvulaceae</t>
  </si>
  <si>
    <t>Ipomoea</t>
  </si>
  <si>
    <t>Iriartea deltoidea</t>
  </si>
  <si>
    <t>Zancona; Palmito Dulce</t>
  </si>
  <si>
    <t>Iriartea</t>
  </si>
  <si>
    <t>Isertia haenkeana</t>
  </si>
  <si>
    <t>Coralillo; Tabaquillo; Guacharaco; Flor de Mayo</t>
  </si>
  <si>
    <t>Isertia</t>
  </si>
  <si>
    <t>Ixora coccinea</t>
  </si>
  <si>
    <t>Coral; Coralito; Coral de la India; Coral Rojo</t>
  </si>
  <si>
    <t>Ixora</t>
  </si>
  <si>
    <t>Ixora nicaraguensis</t>
  </si>
  <si>
    <t>Ixora sp</t>
  </si>
  <si>
    <t>Cruz de Malta; Coralillo; Santa Rita; Rangan; Kheme; Ponna</t>
  </si>
  <si>
    <t>Jacaranda caucana</t>
  </si>
  <si>
    <t>Gualanday; Chingalé; Flormorado</t>
  </si>
  <si>
    <t>Jacaranda</t>
  </si>
  <si>
    <t>Jacaranda copaia</t>
  </si>
  <si>
    <t>Chingalé; Pavito; Gualanday; Vainillo; Gualancho</t>
  </si>
  <si>
    <t>Jacaranda hesperia</t>
  </si>
  <si>
    <t>Gualanday Nativo; Chingalé; Gualanday</t>
  </si>
  <si>
    <t>Jacaranda mimosifolia</t>
  </si>
  <si>
    <t>Jacaranda; Gualanday</t>
  </si>
  <si>
    <t>Jacaranda obtusifolia</t>
  </si>
  <si>
    <t>Gualanday; Flormorado; Gualanday Caliente; Jacaranda; Palisandro</t>
  </si>
  <si>
    <t>Jasminum multiflorum</t>
  </si>
  <si>
    <t>Jazmín; Jazmín de Estrella</t>
  </si>
  <si>
    <t>Jasminum</t>
  </si>
  <si>
    <t>Jasminum nitidum</t>
  </si>
  <si>
    <t>Jazmín Estrella; Jazmin Alas de Ángel</t>
  </si>
  <si>
    <t>Jasminum sp</t>
  </si>
  <si>
    <t>Jazmin</t>
  </si>
  <si>
    <t>Jatropha curcas</t>
  </si>
  <si>
    <t>Piñon de Purga; Piñón; Coquillo; Frailecillo; Piñón de la India; Miñon</t>
  </si>
  <si>
    <t>Jatropha</t>
  </si>
  <si>
    <t>Jatropha gossypiifolia</t>
  </si>
  <si>
    <t>Jaquillo; Brailejón; Carretillo; Frailecillo</t>
  </si>
  <si>
    <t>Jatropha integerrima</t>
  </si>
  <si>
    <t>Peregrina; Flor Roja; Peregrina; Fuscia</t>
  </si>
  <si>
    <t>Jatropha multifida</t>
  </si>
  <si>
    <t>Planta Coral; Tártago; Avellano Purgante; Cabalongo</t>
  </si>
  <si>
    <t>Jatropha podagrica</t>
  </si>
  <si>
    <t>Yuco; Yuca; Corales; Novio; Patihinchado</t>
  </si>
  <si>
    <t>Juglans neotropica</t>
  </si>
  <si>
    <t>Nogal; Cedro Nogal; Cedro Negro</t>
  </si>
  <si>
    <t>Juglans</t>
  </si>
  <si>
    <t>Juglans nigra</t>
  </si>
  <si>
    <t>Nogal Americano</t>
  </si>
  <si>
    <t>Juglans regia</t>
  </si>
  <si>
    <t>Cedro Negro; Nogal del Castillo</t>
  </si>
  <si>
    <t>Juniperus communis</t>
  </si>
  <si>
    <t>Enebro Común</t>
  </si>
  <si>
    <t>Juniperus</t>
  </si>
  <si>
    <t>Juniperus conferta</t>
  </si>
  <si>
    <t>Juniperus Conferta</t>
  </si>
  <si>
    <t>Juniperus virginiana</t>
  </si>
  <si>
    <t>Enebro de Virginia</t>
  </si>
  <si>
    <t>Justicia adhatoda</t>
  </si>
  <si>
    <t>Justicia Adhatoda</t>
  </si>
  <si>
    <t>Justicia</t>
  </si>
  <si>
    <t>Justicia carnea</t>
  </si>
  <si>
    <t>Tango; Justicia</t>
  </si>
  <si>
    <t>Justicia secunda</t>
  </si>
  <si>
    <t>Sanguinaria; Singamochila; Yerba de la Sangre; Árnica; Sangre de Cristo; Cascajera</t>
  </si>
  <si>
    <t>Justicia sp</t>
  </si>
  <si>
    <t>Sanguinaria</t>
  </si>
  <si>
    <t>Kigelia africana</t>
  </si>
  <si>
    <t>Árbol de las Salchichas</t>
  </si>
  <si>
    <t>Kigelia</t>
  </si>
  <si>
    <t>Koelreuteria elegans</t>
  </si>
  <si>
    <t>Jabonero de la China</t>
  </si>
  <si>
    <t>Koelreuteria</t>
  </si>
  <si>
    <t>Koelreuteria paniculata</t>
  </si>
  <si>
    <t>Jabonero de la China; Arbol de Los Farolillos; Sombrilla Japones</t>
  </si>
  <si>
    <t>Laburnum anagyroides</t>
  </si>
  <si>
    <t>Lluvia de Oro; Falso Ébano</t>
  </si>
  <si>
    <t>Laburnum</t>
  </si>
  <si>
    <t>Laccospadix australasicus</t>
  </si>
  <si>
    <t>Palma de Atherton</t>
  </si>
  <si>
    <t>Laccospadix</t>
  </si>
  <si>
    <t>Lacistema aggregatum</t>
  </si>
  <si>
    <t>Huesito; Café de Monte; Cafecillo; Coral; Coralito; Laurel Rosado</t>
  </si>
  <si>
    <t>Lacistemataceae</t>
  </si>
  <si>
    <t>Lacistema</t>
  </si>
  <si>
    <t>Lacmellea edulis</t>
  </si>
  <si>
    <t>Leche Miel; Lechemiel; Palo Espino; Chicle; Chicle Con Espinas; Chicle Espinoso</t>
  </si>
  <si>
    <t>Lacmellea</t>
  </si>
  <si>
    <t>Laetia corymbulosa</t>
  </si>
  <si>
    <t>Dorado; Manteco; Lagunero</t>
  </si>
  <si>
    <t>Laetia</t>
  </si>
  <si>
    <t>Lafoensia acuminata</t>
  </si>
  <si>
    <t>Guayacán de Manizales; Mirto; Guayabo Manizaleño</t>
  </si>
  <si>
    <t>Lafoensia</t>
  </si>
  <si>
    <t>Lafoensia punicifolia</t>
  </si>
  <si>
    <t>Guayacán de Manizales; Guayacán del Cauca; Arrayán Escobo; Pelincú</t>
  </si>
  <si>
    <t>lafoensia sp</t>
  </si>
  <si>
    <t>Guayacan</t>
  </si>
  <si>
    <t>lafoensia</t>
  </si>
  <si>
    <t>Lafoensia speciosa</t>
  </si>
  <si>
    <t>Guayacan; Arrayan de Manizales</t>
  </si>
  <si>
    <t>Lagerstroemia indica</t>
  </si>
  <si>
    <t>Júpiter; Astromelio; Júpiter; Astromelia; Gólgota</t>
  </si>
  <si>
    <t>Lagerstroemia</t>
  </si>
  <si>
    <t>Lagerstroemia speciosa</t>
  </si>
  <si>
    <t>Flor de la Reina; Reina de las Flores; Astromelia; Embrujo de la India; Orgullo de la India</t>
  </si>
  <si>
    <t>Lantana aculeata</t>
  </si>
  <si>
    <t>Cinco Negritos</t>
  </si>
  <si>
    <t>Lantana</t>
  </si>
  <si>
    <t>Lantana viburnoides</t>
  </si>
  <si>
    <t>Lantana Viburnoides</t>
  </si>
  <si>
    <t>Lantana camara</t>
  </si>
  <si>
    <t>Camará; Lantana; Bandera Española; Cinco Negritos</t>
  </si>
  <si>
    <t>Latania loddigesii</t>
  </si>
  <si>
    <t>Palma Latania</t>
  </si>
  <si>
    <t>Latania</t>
  </si>
  <si>
    <t>Latania lontaroides</t>
  </si>
  <si>
    <t>Latania Roja</t>
  </si>
  <si>
    <t>media</t>
  </si>
  <si>
    <t>Laurus nobilis</t>
  </si>
  <si>
    <t>Laurel; Laurel Real; Canlón; Laurel Europeo</t>
  </si>
  <si>
    <t>Laurus</t>
  </si>
  <si>
    <t>Lecointea amazonica</t>
  </si>
  <si>
    <t>Carrapo; la Costilla Danto</t>
  </si>
  <si>
    <t>Lecointea</t>
  </si>
  <si>
    <t>Lecythis minor</t>
  </si>
  <si>
    <t>Olletico; Olla de Mono; Olleto; Cocuelo; Coquillo</t>
  </si>
  <si>
    <t>Lecythis</t>
  </si>
  <si>
    <t>Lecythis tuyrana</t>
  </si>
  <si>
    <t>Olla de Mono; Olleto; Olleta de Mono</t>
  </si>
  <si>
    <t>Leea guineensis</t>
  </si>
  <si>
    <t>Coccinea; Talyantan</t>
  </si>
  <si>
    <t>Vitaceae</t>
  </si>
  <si>
    <t>Leea</t>
  </si>
  <si>
    <t>Leea rubra</t>
  </si>
  <si>
    <t>Acebo Hawaiano Rojo</t>
  </si>
  <si>
    <t>Leptospermum scoparium</t>
  </si>
  <si>
    <t>Leptospermum; Arbol de Te</t>
  </si>
  <si>
    <t>Leptospermum</t>
  </si>
  <si>
    <t>Leucaena latisiliqua</t>
  </si>
  <si>
    <t>Guaje</t>
  </si>
  <si>
    <t>Leucaena</t>
  </si>
  <si>
    <t>Leucaena leucocephala</t>
  </si>
  <si>
    <t>Leucaena; Acacia Blanca; Panelo; Carbonero Blanco; Acacia Forrajera</t>
  </si>
  <si>
    <t>Leucothoe fontanesiana</t>
  </si>
  <si>
    <t>Leucothoe Fontanesiana</t>
  </si>
  <si>
    <t>Leucothoe</t>
  </si>
  <si>
    <t>Licania sp</t>
  </si>
  <si>
    <t>Licania</t>
  </si>
  <si>
    <t>8-50</t>
  </si>
  <si>
    <t>Licania tomentosa</t>
  </si>
  <si>
    <t>Oití; Árbol de Cúcuta; Aití</t>
  </si>
  <si>
    <t>Licaria triandra</t>
  </si>
  <si>
    <t>Laurel; Canelo; Tuabe Canelo; Jigua Canelo; Laurel; Laurel de Bola</t>
  </si>
  <si>
    <t>Licaria</t>
  </si>
  <si>
    <t>Licuala grandis</t>
  </si>
  <si>
    <t>Palma Totuma; Licuala; Palma Licuala</t>
  </si>
  <si>
    <t>Licuala</t>
  </si>
  <si>
    <t>Licuala spinosa</t>
  </si>
  <si>
    <t>Licuala de Manglar</t>
  </si>
  <si>
    <t>Ligustrum japonicum</t>
  </si>
  <si>
    <t>Aligustre; Alheña; Ligustro Común; Ligustro Europeo</t>
  </si>
  <si>
    <t>Ligustrum</t>
  </si>
  <si>
    <t>Ligustrum lucidum</t>
  </si>
  <si>
    <t>Jazmín de la China; Paraseto</t>
  </si>
  <si>
    <t>Ligustrum ovalifolium</t>
  </si>
  <si>
    <t>Ligustro</t>
  </si>
  <si>
    <t>Ligustrum sinense</t>
  </si>
  <si>
    <t>Paraseto; Aligustrina; Ligustrina; Ligustrín; Aligustre</t>
  </si>
  <si>
    <t>Ligustrum sp</t>
  </si>
  <si>
    <t>Paraseto</t>
  </si>
  <si>
    <t>Ligustrum vulgare</t>
  </si>
  <si>
    <t>Liquidambar styraciflua</t>
  </si>
  <si>
    <t>Alcornoque; Liquidambar; Estoraque</t>
  </si>
  <si>
    <t>Altingiaceae</t>
  </si>
  <si>
    <t>Liquidambar</t>
  </si>
  <si>
    <t>Litchi chinensis</t>
  </si>
  <si>
    <t>Mamoncillo Chino; Lychee; Lich</t>
  </si>
  <si>
    <t>Litchi</t>
  </si>
  <si>
    <t>Litsea monopetala</t>
  </si>
  <si>
    <t>Litsea Monopetala</t>
  </si>
  <si>
    <t>Litsea</t>
  </si>
  <si>
    <t>Livistona chinensis</t>
  </si>
  <si>
    <t>Palma Abanico de la China</t>
  </si>
  <si>
    <t>Livistona</t>
  </si>
  <si>
    <t>Livistona drudei</t>
  </si>
  <si>
    <t>Palma Abanico (Drudei)</t>
  </si>
  <si>
    <t>Livistona rotundifolia</t>
  </si>
  <si>
    <t>Palma Abanico (Rotundifolia)</t>
  </si>
  <si>
    <t>Lonchocarpus macrophyllus</t>
  </si>
  <si>
    <t>Barbasco; Matapez; Baurá; Palo de José</t>
  </si>
  <si>
    <t>Lonchocarpus</t>
  </si>
  <si>
    <t>Lonchocarpus sp</t>
  </si>
  <si>
    <t>Fresno</t>
  </si>
  <si>
    <t>Ludwigia peruviana</t>
  </si>
  <si>
    <t>Clavo de Laguna; Clavito; Clavo; Clavo Amarillo; Yerba de Rejo</t>
  </si>
  <si>
    <t>Ludwigia</t>
  </si>
  <si>
    <t>Luehea seemannii</t>
  </si>
  <si>
    <t>Guácimo Colorado; Malagano</t>
  </si>
  <si>
    <t>Luehea</t>
  </si>
  <si>
    <t>Lytocaryum weddellianum</t>
  </si>
  <si>
    <t>Palma Coquito</t>
  </si>
  <si>
    <t>Lytocaryum</t>
  </si>
  <si>
    <t>Macadamia integrifolia</t>
  </si>
  <si>
    <t>Macadamia</t>
  </si>
  <si>
    <t>Machaerium capote</t>
  </si>
  <si>
    <t>Pico de Loro; Capote; Sietecueros; Carbón; Chucunda</t>
  </si>
  <si>
    <t>Machaerium</t>
  </si>
  <si>
    <t>Machaerium sp</t>
  </si>
  <si>
    <t>Machetico</t>
  </si>
  <si>
    <t>Maclura tinctoria</t>
  </si>
  <si>
    <t>Ají Mora; Rabito de Mora; Dindé</t>
  </si>
  <si>
    <t>Maclura</t>
  </si>
  <si>
    <t>Macrocarpaea Macrophylla</t>
  </si>
  <si>
    <t>Tabaquillo</t>
  </si>
  <si>
    <t>Gentianaceae</t>
  </si>
  <si>
    <t>Macrocarpaea</t>
  </si>
  <si>
    <t>Macrolobium colombianum</t>
  </si>
  <si>
    <t>Guamillo; Encenillo; Cuero de Marrano</t>
  </si>
  <si>
    <t>Macrolobium</t>
  </si>
  <si>
    <t>Magnolia grandiflora</t>
  </si>
  <si>
    <t>Magnolia; Magnolio; Magnolia Blanca</t>
  </si>
  <si>
    <t>Magnoliaceae</t>
  </si>
  <si>
    <t>Magnolia</t>
  </si>
  <si>
    <t>Magnolia hernandezii</t>
  </si>
  <si>
    <t>Molinillo; Copachí; Guanábano de Monte</t>
  </si>
  <si>
    <t>Magnolia silvioi</t>
  </si>
  <si>
    <t>Magnolio (Silvioi)</t>
  </si>
  <si>
    <t>Magnolia sp</t>
  </si>
  <si>
    <t>Guanábano de Monte; Guanabanillo; Guanabanadillo; Fruta de Molinillo</t>
  </si>
  <si>
    <t>JUAN JOSÉ OLARTE</t>
  </si>
  <si>
    <t>Malpighia coccigera</t>
  </si>
  <si>
    <t>Arbolito de Navidad; Holly Brillante; Joli</t>
  </si>
  <si>
    <t>Malpighia</t>
  </si>
  <si>
    <t>Malpighia glabra</t>
  </si>
  <si>
    <t>Huesito; Arrayan Cerezo; Cerezo de Monte; Acerola</t>
  </si>
  <si>
    <t>Malpighia punicifolia</t>
  </si>
  <si>
    <t>Ciruelo Rojo; Cereza de Barbados; Cerezo Montañero</t>
  </si>
  <si>
    <t>Sinónimo de Malpighia emarginata</t>
  </si>
  <si>
    <t>Malus domestica</t>
  </si>
  <si>
    <t>Manzana; Manzano</t>
  </si>
  <si>
    <t>Malus</t>
  </si>
  <si>
    <t>Malvaviscus arboreus</t>
  </si>
  <si>
    <t>Falso Hibiscus; Altea</t>
  </si>
  <si>
    <t>Malvaviscus</t>
  </si>
  <si>
    <t>Malvaviscus penduliflorus</t>
  </si>
  <si>
    <t>Campanita Roja; San Joaquín</t>
  </si>
  <si>
    <t>Mammea americana</t>
  </si>
  <si>
    <t>Mamey</t>
  </si>
  <si>
    <t>Mammea</t>
  </si>
  <si>
    <t>Mangifera indica</t>
  </si>
  <si>
    <t>Mango; Mango de Azúcar</t>
  </si>
  <si>
    <t>Mangifera</t>
  </si>
  <si>
    <t>Manihot esculenta</t>
  </si>
  <si>
    <t>Yuca</t>
  </si>
  <si>
    <t>Manihot</t>
  </si>
  <si>
    <t>Manilkara sp</t>
  </si>
  <si>
    <t>Caimo Rojo</t>
  </si>
  <si>
    <t>Manilkara</t>
  </si>
  <si>
    <t>Manilkara zapota</t>
  </si>
  <si>
    <t>Níspero</t>
  </si>
  <si>
    <t>Margaritaria nobilis</t>
  </si>
  <si>
    <t>Ojo de Paloma; Ojo de Palomo; Perlito</t>
  </si>
  <si>
    <t>Margaritaria</t>
  </si>
  <si>
    <t>Matayba purgans</t>
  </si>
  <si>
    <t>Trestablas</t>
  </si>
  <si>
    <t>Matayba</t>
  </si>
  <si>
    <t>Matisia cordata</t>
  </si>
  <si>
    <t>Zapote; Sapote; Chupa Chupa; Chupachupa</t>
  </si>
  <si>
    <t>Matisia</t>
  </si>
  <si>
    <t>Matisia obliquifolia</t>
  </si>
  <si>
    <t>Matisia Obliquifolia</t>
  </si>
  <si>
    <t>Mauria sp</t>
  </si>
  <si>
    <t>Sarno; Manzanillo; Caspi; Birringo (A otra sp de genero)</t>
  </si>
  <si>
    <t>Mauria</t>
  </si>
  <si>
    <t>Maytenus segoviarum</t>
  </si>
  <si>
    <t>Maytenus Segoviarum</t>
  </si>
  <si>
    <t>Maytenus</t>
  </si>
  <si>
    <t>Megaskepasma erythrochlamys</t>
  </si>
  <si>
    <t>Camarón Rojo; Manto Rojo; Capote Brasilero</t>
  </si>
  <si>
    <t>Megaskepasma</t>
  </si>
  <si>
    <t>Melaleuca quinquenervia</t>
  </si>
  <si>
    <t>Corcho; Calistemo Blanco</t>
  </si>
  <si>
    <t>Melastoma malabathricum</t>
  </si>
  <si>
    <t>Melastoma Malabathricum</t>
  </si>
  <si>
    <t>Melastoma</t>
  </si>
  <si>
    <t>Melia azedarach</t>
  </si>
  <si>
    <t>Paraíso; Jazmín; Árbol del Paraíso; Alelí</t>
  </si>
  <si>
    <t>Melia</t>
  </si>
  <si>
    <t>Melicoccus bijugatus</t>
  </si>
  <si>
    <t>Mamoncillo; Mamón</t>
  </si>
  <si>
    <t>Melicoccus</t>
  </si>
  <si>
    <t>Melicoccus oliviformis</t>
  </si>
  <si>
    <t>Cotoprís; Mamón</t>
  </si>
  <si>
    <t>Melicoccus sp</t>
  </si>
  <si>
    <t>Cotoprix; Mamoncillo de Monte</t>
  </si>
  <si>
    <t>Puede aplicar para las especies M antioquensis, M novogranatensis</t>
  </si>
  <si>
    <t>Meliosma occidentalis</t>
  </si>
  <si>
    <t>Meliosma Occidentalis</t>
  </si>
  <si>
    <t>Sabiaceae</t>
  </si>
  <si>
    <t>Meliosma</t>
  </si>
  <si>
    <t>Meliosma sp</t>
  </si>
  <si>
    <t>Meliosma; Baboso; Babillo; Calabazo</t>
  </si>
  <si>
    <t>Meriania nobilis</t>
  </si>
  <si>
    <t>Amarrabollo; Amarraboyo</t>
  </si>
  <si>
    <t>Meriania</t>
  </si>
  <si>
    <t>Mespilodaphne veraguensis</t>
  </si>
  <si>
    <t>Laurel Amarillo</t>
  </si>
  <si>
    <t>Mespilodaphne</t>
  </si>
  <si>
    <t>También encontrado como Ocotea veraguensis</t>
  </si>
  <si>
    <t>Miconia affinis</t>
  </si>
  <si>
    <t>Zafiro; Migüito</t>
  </si>
  <si>
    <t>Miconia</t>
  </si>
  <si>
    <t>Miconia albicans</t>
  </si>
  <si>
    <t>Miconia; Mortiño; Cenizo</t>
  </si>
  <si>
    <t>Miconia argentea</t>
  </si>
  <si>
    <t>Miconia; Capulincillo</t>
  </si>
  <si>
    <t>Miconia caudata</t>
  </si>
  <si>
    <t>Hoja de Lanza; Punta Lanza</t>
  </si>
  <si>
    <t>Miconia dodecandra</t>
  </si>
  <si>
    <t>Cuatrofilos; Tuno</t>
  </si>
  <si>
    <t>Miconia elata</t>
  </si>
  <si>
    <t>Tuno; Mortiño Negro; Macanillo</t>
  </si>
  <si>
    <t>Miconia ibaguensis</t>
  </si>
  <si>
    <t>Miconia; Nigüito; Mortiño</t>
  </si>
  <si>
    <t>Miconia laevigata</t>
  </si>
  <si>
    <t>Miconia; Pajarito</t>
  </si>
  <si>
    <t>Miconia ligustroides</t>
  </si>
  <si>
    <t>Miconia Ligustroides</t>
  </si>
  <si>
    <t>Miconia minutiflora</t>
  </si>
  <si>
    <t>Nigüito (Minutiflora); Tuno; Mortiño</t>
  </si>
  <si>
    <t>Miconia mirabilis</t>
  </si>
  <si>
    <t>Nigüito</t>
  </si>
  <si>
    <t>Miconia multiflora</t>
  </si>
  <si>
    <t>Niguito; Teñidor</t>
  </si>
  <si>
    <t>Miconia notabilis</t>
  </si>
  <si>
    <t>Mortiño Blanco; Florentino; Mortiño; Huesito</t>
  </si>
  <si>
    <t>Miconia resima</t>
  </si>
  <si>
    <t>Niguito; Tuno Negro</t>
  </si>
  <si>
    <t>Miconia serrulata</t>
  </si>
  <si>
    <t>Tabaida; Tuno Rosado; Mortiño</t>
  </si>
  <si>
    <t>Miconia theaezans</t>
  </si>
  <si>
    <t>Amaillo; Cántaro; Mortiño</t>
  </si>
  <si>
    <t>Miconia tinifolia</t>
  </si>
  <si>
    <t>Mikania micrantha</t>
  </si>
  <si>
    <t>Bejuco de Criatura; Guaquito; Cernilla</t>
  </si>
  <si>
    <t>Mikania</t>
  </si>
  <si>
    <t>Millettia pinnata</t>
  </si>
  <si>
    <t>Haba de la India; Pogam</t>
  </si>
  <si>
    <t>Millettia</t>
  </si>
  <si>
    <t>Mimosa pigra</t>
  </si>
  <si>
    <t>Zarzón; Dormidera; Vergonzosa; Zarza Prieta</t>
  </si>
  <si>
    <t>Mimosa</t>
  </si>
  <si>
    <t>Mimosa sp</t>
  </si>
  <si>
    <t>Mimosa; Dormidera</t>
  </si>
  <si>
    <t>Minquartia guianensis</t>
  </si>
  <si>
    <t>Punta de Candado; Punte; Oquendo; Melcocho</t>
  </si>
  <si>
    <t>Olacaceae</t>
  </si>
  <si>
    <t>Minquartia</t>
  </si>
  <si>
    <t>Montanoa quadrangularis</t>
  </si>
  <si>
    <t>Arboloco; Pauche</t>
  </si>
  <si>
    <t>Montanoa</t>
  </si>
  <si>
    <t>Morella pubescens</t>
  </si>
  <si>
    <t>Olivo de Cera; Laurel de Cera; Aromo; Laurel</t>
  </si>
  <si>
    <t>Myricaceae</t>
  </si>
  <si>
    <t>Morella</t>
  </si>
  <si>
    <t>Morinda citrifolia</t>
  </si>
  <si>
    <t>Noni; Piñuela</t>
  </si>
  <si>
    <t>Morinda</t>
  </si>
  <si>
    <t>Moringa oleifera</t>
  </si>
  <si>
    <t>Moringa</t>
  </si>
  <si>
    <t>Moringaceae</t>
  </si>
  <si>
    <t>Morisonia oblongifolia</t>
  </si>
  <si>
    <t>Morisonia Oblongifolia</t>
  </si>
  <si>
    <t>Morus nigra</t>
  </si>
  <si>
    <t>Moral Negro; Morera Negra</t>
  </si>
  <si>
    <t>Morus</t>
  </si>
  <si>
    <t>Morus sp</t>
  </si>
  <si>
    <t>Morera Blanca</t>
  </si>
  <si>
    <t>5-15</t>
  </si>
  <si>
    <t>30-60</t>
  </si>
  <si>
    <t>Muntingia calabura</t>
  </si>
  <si>
    <t>Chitató; Capulín; Chitato; Nigua</t>
  </si>
  <si>
    <t>Muntingiaceae</t>
  </si>
  <si>
    <t>Muntingia</t>
  </si>
  <si>
    <t>Bergera koenigii</t>
  </si>
  <si>
    <t>Bergera Koenigii</t>
  </si>
  <si>
    <t>Bergera</t>
  </si>
  <si>
    <t>Murraya paniculata</t>
  </si>
  <si>
    <t>Azahar de la India; Jazmín</t>
  </si>
  <si>
    <t>Murraya</t>
  </si>
  <si>
    <t>Mussaenda erythrophylla</t>
  </si>
  <si>
    <t>Musaenda Roja; Musaenda; Musaendo; Musaendra</t>
  </si>
  <si>
    <t>Mussaenda</t>
  </si>
  <si>
    <t>Mussaenda philippica</t>
  </si>
  <si>
    <t>Musaenda; Musaendra</t>
  </si>
  <si>
    <t>Mussaenda sp</t>
  </si>
  <si>
    <t>Aplica para nativas como M formosum (Rosenbergiodendron formosum), y otras especies que son introducidas</t>
  </si>
  <si>
    <t>Myrcia antioquensis</t>
  </si>
  <si>
    <t>Guamo Peludo</t>
  </si>
  <si>
    <t>Myrcia</t>
  </si>
  <si>
    <t>Myrcia popayanensis</t>
  </si>
  <si>
    <t>Arrayán; Árbol de Cera</t>
  </si>
  <si>
    <t>Myrcia sp</t>
  </si>
  <si>
    <t>Guayabillo</t>
  </si>
  <si>
    <t>3-20</t>
  </si>
  <si>
    <t>Myrcia subsessilis</t>
  </si>
  <si>
    <t>Arrayán de Hoja Grande; Arrayán</t>
  </si>
  <si>
    <t>Myrcianthes sp</t>
  </si>
  <si>
    <t>Arrayán Blanco; Arrayán Negro; Guayabo de Castilla</t>
  </si>
  <si>
    <t>Myrcianthes</t>
  </si>
  <si>
    <t>Plinia cauliflora</t>
  </si>
  <si>
    <t>Jaboticaba; Guayabo Jaboticaba</t>
  </si>
  <si>
    <t>Plinia</t>
  </si>
  <si>
    <t>Myroxylon balsamum</t>
  </si>
  <si>
    <t>Bálsamo; Bálsamo de Tolú</t>
  </si>
  <si>
    <t>Myroxylon</t>
  </si>
  <si>
    <t>Myrsine coriacea</t>
  </si>
  <si>
    <t>Espadero; Cucharo; Cucharo Blanco</t>
  </si>
  <si>
    <t>Myrsine</t>
  </si>
  <si>
    <t>Myrsine guianensis</t>
  </si>
  <si>
    <t>Espadero; Chagualo; Cucharo</t>
  </si>
  <si>
    <t>Nectandra acutifolia</t>
  </si>
  <si>
    <t>Amarillo; Laurel (Acutifolia); Laurel Jigua</t>
  </si>
  <si>
    <t>Nectandra</t>
  </si>
  <si>
    <t>Nectandra lineata</t>
  </si>
  <si>
    <t>Laurel; Palialte</t>
  </si>
  <si>
    <t>Nectandra sp</t>
  </si>
  <si>
    <t>Nephelium lappaceum</t>
  </si>
  <si>
    <t>Rambután</t>
  </si>
  <si>
    <t>Nephelium</t>
  </si>
  <si>
    <t>Nerium oleander</t>
  </si>
  <si>
    <t>Habano; Adelfa; Azuceno</t>
  </si>
  <si>
    <t>Nerium</t>
  </si>
  <si>
    <t>Neurolaena lobata</t>
  </si>
  <si>
    <t>Contragavilana; Gavilana</t>
  </si>
  <si>
    <t>Neurolaena</t>
  </si>
  <si>
    <t>Normanbya normanbyi</t>
  </si>
  <si>
    <t>Palmera Negra; Normambia</t>
  </si>
  <si>
    <t>Normanbya</t>
  </si>
  <si>
    <t>Ochna serrulata</t>
  </si>
  <si>
    <t>Mickey Mouse</t>
  </si>
  <si>
    <t>Ochna</t>
  </si>
  <si>
    <t>Ochna thomasiana</t>
  </si>
  <si>
    <t>Árbol Mickey Mouse</t>
  </si>
  <si>
    <t>Ochroma pyramidale</t>
  </si>
  <si>
    <t>Balso; Palo de Balsa</t>
  </si>
  <si>
    <t>Ochroma</t>
  </si>
  <si>
    <t>Ocotea aurantiodora</t>
  </si>
  <si>
    <t>Laurel Tunoso; Laurel Ojo de Mula; Jigua Laurel</t>
  </si>
  <si>
    <t>Ocotea</t>
  </si>
  <si>
    <t>Ocotea macrophylla</t>
  </si>
  <si>
    <t>Laurel; Jigua Amarillo</t>
  </si>
  <si>
    <t>Ocotea guianensis</t>
  </si>
  <si>
    <t>Laurel Mono; Laurel Pajita; Laurel; Laurel Tabaidá</t>
  </si>
  <si>
    <t>Ocotea insularis</t>
  </si>
  <si>
    <t>Laurel Blanco</t>
  </si>
  <si>
    <t>Ocotea longifolia</t>
  </si>
  <si>
    <t>Laurel; Matatigre; Tigrito; Laurel Guacharaco</t>
  </si>
  <si>
    <t>Ocotea macropoda</t>
  </si>
  <si>
    <t>Laurel Yema de Huevo</t>
  </si>
  <si>
    <t>Ocotea sp</t>
  </si>
  <si>
    <t>Laurel de Bola</t>
  </si>
  <si>
    <t>Oenocarpus bataua</t>
  </si>
  <si>
    <t>Palma Mil Pesos; Milpesos; Chapil</t>
  </si>
  <si>
    <t>Oenocarpus</t>
  </si>
  <si>
    <t>Opuntia ficus-indica</t>
  </si>
  <si>
    <t>Nopal; Chumbo; Tuna</t>
  </si>
  <si>
    <t>Opuntia</t>
  </si>
  <si>
    <t>Orania palindan</t>
  </si>
  <si>
    <t>Blanco</t>
  </si>
  <si>
    <t>Orania</t>
  </si>
  <si>
    <t>Oreopanax sp</t>
  </si>
  <si>
    <t>Mano de Oso</t>
  </si>
  <si>
    <t>Oreopanax</t>
  </si>
  <si>
    <t>Ormosia colombiana</t>
  </si>
  <si>
    <t>Chocho; Alcornoque; Frijolillo de la Suerte</t>
  </si>
  <si>
    <t>Ormosia</t>
  </si>
  <si>
    <t>Ormosia sp</t>
  </si>
  <si>
    <t>Chocho</t>
  </si>
  <si>
    <t>Otoba novogranatensis</t>
  </si>
  <si>
    <t>Otobo; Cuangare; Sangregallino; Soto Sangre</t>
  </si>
  <si>
    <t>Otoba</t>
  </si>
  <si>
    <t>Ozoroa sphaerocarpa</t>
  </si>
  <si>
    <t>Ozoroa</t>
  </si>
  <si>
    <t>Pachira aquatica</t>
  </si>
  <si>
    <t>Ceibo de Agua; Castaño de Agua; Cacao de Monte</t>
  </si>
  <si>
    <t>Pachira</t>
  </si>
  <si>
    <t>Pachira insignis</t>
  </si>
  <si>
    <t>Castaño (Insignis); Castaño Silvestre; Cacao Ornamental; Zapotolongo</t>
  </si>
  <si>
    <t>Pachira quinata</t>
  </si>
  <si>
    <t>Tolúa; Ceiba Tolúa</t>
  </si>
  <si>
    <t>Pachira sp</t>
  </si>
  <si>
    <t>Nuez del Brasil</t>
  </si>
  <si>
    <t>Pachira speciosa</t>
  </si>
  <si>
    <t>Castaño; Cacao de Monte</t>
  </si>
  <si>
    <t>Pachystachys coccinea</t>
  </si>
  <si>
    <t>Guardia de Cardenal</t>
  </si>
  <si>
    <t>Pachystachys</t>
  </si>
  <si>
    <t>Pachystachys lutea</t>
  </si>
  <si>
    <t>Camaron Amarillo</t>
  </si>
  <si>
    <t>Palicourea angustifolia</t>
  </si>
  <si>
    <t>Aguadulce; Cafeto de Monte; Café de Montaña; Café de Monte</t>
  </si>
  <si>
    <t>Palicourea</t>
  </si>
  <si>
    <t>Palicourea guianensis</t>
  </si>
  <si>
    <t>Cagalera; Flor de Mayo; Corpus</t>
  </si>
  <si>
    <t>Palicourea quadrilateralis</t>
  </si>
  <si>
    <t>Flor de Mayo</t>
  </si>
  <si>
    <t>Palicourea sp</t>
  </si>
  <si>
    <t>Lato</t>
  </si>
  <si>
    <t>3-5</t>
  </si>
  <si>
    <t>Pandanus tectorius</t>
  </si>
  <si>
    <t>Pandanus</t>
  </si>
  <si>
    <t>Pandanaceae</t>
  </si>
  <si>
    <t>Pandanus utilis</t>
  </si>
  <si>
    <t>Palma de Tornillo; Pandano</t>
  </si>
  <si>
    <t>Paraserianthes lophantha</t>
  </si>
  <si>
    <t>Acacia; Acacia Bracatinga; Acacia Negra; Acacia Baracatinga</t>
  </si>
  <si>
    <t>Paraserianthes</t>
  </si>
  <si>
    <t>Parkia pendula</t>
  </si>
  <si>
    <t>Cachiporro; Navidad</t>
  </si>
  <si>
    <t>Parkia</t>
  </si>
  <si>
    <t>Parkia sp</t>
  </si>
  <si>
    <t>Parkinsonia aculeata</t>
  </si>
  <si>
    <t>Espino de Jerusalén; Palo Verde; Retama; Sauce Guajiro</t>
  </si>
  <si>
    <t>Parkinsonia</t>
  </si>
  <si>
    <t>Passiflora arborea</t>
  </si>
  <si>
    <t>Curubo de Árbol; Granadilla de Árbol</t>
  </si>
  <si>
    <t>Passifloraceae</t>
  </si>
  <si>
    <t>Passiflora</t>
  </si>
  <si>
    <t>Sinónimo de Passiflora magnoliifolia</t>
  </si>
  <si>
    <t>Paulownia tomentosa</t>
  </si>
  <si>
    <t>Paulownia</t>
  </si>
  <si>
    <t>Paulowniaceae</t>
  </si>
  <si>
    <t>21</t>
  </si>
  <si>
    <t>Pausandra sp</t>
  </si>
  <si>
    <t>Caguingo</t>
  </si>
  <si>
    <t>Pausandra</t>
  </si>
  <si>
    <t>Pavonia sepium</t>
  </si>
  <si>
    <t>Escobilla; Cadillo</t>
  </si>
  <si>
    <t>Pavonia</t>
  </si>
  <si>
    <t>Peltogyne paniculata</t>
  </si>
  <si>
    <t>Nazareno; Tananeo; Mochilero; Algarrobito</t>
  </si>
  <si>
    <t>Peltogyne</t>
  </si>
  <si>
    <t>Peltophorum pterocarpum</t>
  </si>
  <si>
    <t>Acacia Ferruginea; Acacia</t>
  </si>
  <si>
    <t>Peltophorum</t>
  </si>
  <si>
    <t>Pentaclethra macroloba</t>
  </si>
  <si>
    <t>Dormilón; Capitancillo</t>
  </si>
  <si>
    <t>Pentaclethra</t>
  </si>
  <si>
    <t>Pentagonia pinnatifida</t>
  </si>
  <si>
    <t>Árbol Murciélago; Tapaculo</t>
  </si>
  <si>
    <t>Pentagonia</t>
  </si>
  <si>
    <t>Pera arborea</t>
  </si>
  <si>
    <t>Quiebra Hacha; Carnegallina; Negrito; Cucharo</t>
  </si>
  <si>
    <t>Peraceae</t>
  </si>
  <si>
    <t>Pera</t>
  </si>
  <si>
    <t>Perebea guianensis</t>
  </si>
  <si>
    <t>Varasanta; Palodiablo; Paparua</t>
  </si>
  <si>
    <t>Perebea</t>
  </si>
  <si>
    <t>Pereskia bleo</t>
  </si>
  <si>
    <t>Bleo; Chupamelón; Bledochupa; Bleo de Chupa</t>
  </si>
  <si>
    <t>Pereskia</t>
  </si>
  <si>
    <t>Persea americana</t>
  </si>
  <si>
    <t>Aguacate</t>
  </si>
  <si>
    <t>Persea</t>
  </si>
  <si>
    <t>Persea caerulea</t>
  </si>
  <si>
    <t>Aguacatillo</t>
  </si>
  <si>
    <t>Persea sp</t>
  </si>
  <si>
    <t>Laurel Orquideas</t>
  </si>
  <si>
    <t>Perymenium grande</t>
  </si>
  <si>
    <t>Tastacame</t>
  </si>
  <si>
    <t>Perymenium</t>
  </si>
  <si>
    <t>Petitia domingensis</t>
  </si>
  <si>
    <t>Copa Blanca; Capá</t>
  </si>
  <si>
    <t>Petitia</t>
  </si>
  <si>
    <t>Petiveria alliacea</t>
  </si>
  <si>
    <t>Anamú; Chimú</t>
  </si>
  <si>
    <t>Petiveriaceae</t>
  </si>
  <si>
    <t>Petiveria</t>
  </si>
  <si>
    <t>Petrea rugosa</t>
  </si>
  <si>
    <t>Estrella de Oriente; Chaparrito; Chaparrillo; Chaparro</t>
  </si>
  <si>
    <t>Petrea</t>
  </si>
  <si>
    <t>Petrea pubescens</t>
  </si>
  <si>
    <t>Flor Azúl; Azulito; Carrasposo; Chaparrillo</t>
  </si>
  <si>
    <t>Petrea volubilis</t>
  </si>
  <si>
    <t>Plumon; Jazmín Azul; Chaparrito</t>
  </si>
  <si>
    <t>Philodendron bipinnatifidum</t>
  </si>
  <si>
    <t>Mano de Tigre; Güembé</t>
  </si>
  <si>
    <t>Araceae</t>
  </si>
  <si>
    <t>Philodendron</t>
  </si>
  <si>
    <t>Phoenix canariensis</t>
  </si>
  <si>
    <t>Palma Datil de las Canarias; Palma Fénix; Datilera de las Canarias; Palma de Canarias</t>
  </si>
  <si>
    <t>Phoenix</t>
  </si>
  <si>
    <t>Phoenix dactylifera</t>
  </si>
  <si>
    <t>Dátil; Palma de Dátil; Palma Datilera; Datilera</t>
  </si>
  <si>
    <t>Phoenix reclinata</t>
  </si>
  <si>
    <t>Palma Datilera del Senegal; Palma Fénix</t>
  </si>
  <si>
    <t>Phoenix roebelenii</t>
  </si>
  <si>
    <t>Palma Robeleni</t>
  </si>
  <si>
    <t>Phoenix sylvestris</t>
  </si>
  <si>
    <t>Ditalera Plateada</t>
  </si>
  <si>
    <t>Photinia sp</t>
  </si>
  <si>
    <t>Photinia; Fotinia</t>
  </si>
  <si>
    <t>Photinia</t>
  </si>
  <si>
    <t>Phyllanthus acidus</t>
  </si>
  <si>
    <t>Grosello; Phyllantus</t>
  </si>
  <si>
    <t>Phyllanthus</t>
  </si>
  <si>
    <t>Phyllanthus acuminatus</t>
  </si>
  <si>
    <t>Grosello (Acuminatus); Barbasco; Barbasquillo; Chirrinche</t>
  </si>
  <si>
    <t>Physocarpus opulifolius</t>
  </si>
  <si>
    <t>Physocarpus Opulifolius</t>
  </si>
  <si>
    <t>Physocarpus</t>
  </si>
  <si>
    <t>Phytelephas macrocarpa</t>
  </si>
  <si>
    <t>Tagua; Palmera de Marfil; Marfil Vegetal</t>
  </si>
  <si>
    <t>Phytelephas</t>
  </si>
  <si>
    <t>Phytelephas sp</t>
  </si>
  <si>
    <t>Tagua</t>
  </si>
  <si>
    <t>Phytolacca dioica</t>
  </si>
  <si>
    <t>Ombú; Yerba de Culebra; Guaba; Árbol de la Bella Sombra</t>
  </si>
  <si>
    <t>Phytolaccaceae</t>
  </si>
  <si>
    <t>Phytolacca</t>
  </si>
  <si>
    <t>Pimenta dioica</t>
  </si>
  <si>
    <t>Pimienta de Olor; Pimienta Dulce; Pimiento</t>
  </si>
  <si>
    <t>Pimenta</t>
  </si>
  <si>
    <t>Pimenta racemosa</t>
  </si>
  <si>
    <t>Aceituno; Malagueto</t>
  </si>
  <si>
    <t>Pinus caribaea</t>
  </si>
  <si>
    <t>Pino Caribe; Pino Caribeño; Pino; Pino Caribea</t>
  </si>
  <si>
    <t>Pinaceae</t>
  </si>
  <si>
    <t>Pinus</t>
  </si>
  <si>
    <t>Pinus oocarpa</t>
  </si>
  <si>
    <t>Ocote Chino; Pino; Pino Ocarpa</t>
  </si>
  <si>
    <t>(SIRE, sf)</t>
  </si>
  <si>
    <t>75</t>
  </si>
  <si>
    <t>Pinus patula</t>
  </si>
  <si>
    <t>Pino Pátula; Pino; Pino Espátula</t>
  </si>
  <si>
    <t>Piper aduncum</t>
  </si>
  <si>
    <t>Cordoncillo; Matico; Hierba del Soldado</t>
  </si>
  <si>
    <t>Piperaceae</t>
  </si>
  <si>
    <t>Piper</t>
  </si>
  <si>
    <t>Piper auritum</t>
  </si>
  <si>
    <t>Cordoncillo; Santamaría de Anís; Anisillo; Santamaría</t>
  </si>
  <si>
    <t>Piper hispidum</t>
  </si>
  <si>
    <t>Cordoncillo</t>
  </si>
  <si>
    <t>Piper holtonii</t>
  </si>
  <si>
    <t>Piper sp</t>
  </si>
  <si>
    <t>1-6</t>
  </si>
  <si>
    <t>2-8</t>
  </si>
  <si>
    <t>Pisonia aculeata</t>
  </si>
  <si>
    <t>Uña de Perro; Uña de Gato; Aruñagato</t>
  </si>
  <si>
    <t>Pisonia</t>
  </si>
  <si>
    <t>Pithecellobium dulce</t>
  </si>
  <si>
    <t>Chiminango; Payandé</t>
  </si>
  <si>
    <t>Pithecellobium</t>
  </si>
  <si>
    <t>Pithecellobium lanceolatum</t>
  </si>
  <si>
    <t>Espino de Mono; Chiminango Rojo; Punta de Mono; Payandé</t>
  </si>
  <si>
    <t>Pittosporum sp</t>
  </si>
  <si>
    <t>Pittosporaceae</t>
  </si>
  <si>
    <t>Pittosporum</t>
  </si>
  <si>
    <t>2-15</t>
  </si>
  <si>
    <t>20-60</t>
  </si>
  <si>
    <t>Pittosporum tenuifolium</t>
  </si>
  <si>
    <t>Pítosporo de Hoja Fina</t>
  </si>
  <si>
    <t>Pittosporum undulatum</t>
  </si>
  <si>
    <t>Galán de Noche; Huesito; Jazmín del Cabo</t>
  </si>
  <si>
    <t>Platycladus orientalis</t>
  </si>
  <si>
    <t>Tuya; Pino Libro; Pino Tuya</t>
  </si>
  <si>
    <t>Platycladus</t>
  </si>
  <si>
    <t>Platymiscium darienense</t>
  </si>
  <si>
    <t>Trebol; Salero</t>
  </si>
  <si>
    <t>Platymiscium</t>
  </si>
  <si>
    <t>Platymiscium pinnatum</t>
  </si>
  <si>
    <t>Guayacán Trébol</t>
  </si>
  <si>
    <t>Platypodium elegans</t>
  </si>
  <si>
    <t>Lomo de Caimán; Matarratón Extranjero; Cajón</t>
  </si>
  <si>
    <t>Platypodium</t>
  </si>
  <si>
    <t>Plerandra elegantissima</t>
  </si>
  <si>
    <t>Falsa Aralia; Aralia Araña</t>
  </si>
  <si>
    <t>Plerandra</t>
  </si>
  <si>
    <t>Pleuropetalum sp</t>
  </si>
  <si>
    <t>Pleuropetalum</t>
  </si>
  <si>
    <t>Pleuropetalum sprucei</t>
  </si>
  <si>
    <t>Pleurothyrium sp</t>
  </si>
  <si>
    <t>Laurel Jabon</t>
  </si>
  <si>
    <t>Pleurothyrium</t>
  </si>
  <si>
    <t>Plumbago auriculata</t>
  </si>
  <si>
    <t>Azulina; Bellaemilia; Floroazul</t>
  </si>
  <si>
    <t>Plumbaginaceae</t>
  </si>
  <si>
    <t>Plumbago</t>
  </si>
  <si>
    <t>Plumeria alba</t>
  </si>
  <si>
    <t>Alcamancayo; Amancayo; Azuceno; Blanco</t>
  </si>
  <si>
    <t>Plumeria</t>
  </si>
  <si>
    <t>Plumeria obtusa</t>
  </si>
  <si>
    <t>Frangipani Blanco; Amancayo Amarillo</t>
  </si>
  <si>
    <t>Plumeria pudica</t>
  </si>
  <si>
    <t>Florón; Floral; Azuceno; Plumeria</t>
  </si>
  <si>
    <t>Plumeria rubra</t>
  </si>
  <si>
    <t>Flor de Mayo; Amancayo Rosado; Frangipán; Azuceno</t>
  </si>
  <si>
    <t>Plumeria sp</t>
  </si>
  <si>
    <t>Podocarpus guatemalensis</t>
  </si>
  <si>
    <t>Cipresillo; Pinotea; Chaquiro Dulce</t>
  </si>
  <si>
    <t>Podocarpaceae</t>
  </si>
  <si>
    <t>Podocarpus</t>
  </si>
  <si>
    <t>Podocarpus macrophyllus</t>
  </si>
  <si>
    <t>Kusamaki O Inumaki</t>
  </si>
  <si>
    <t>Podocarpus oleifolius</t>
  </si>
  <si>
    <t>Chaquiro; Pino Colombiano (Oleifolius)</t>
  </si>
  <si>
    <t>Podocarpus sp</t>
  </si>
  <si>
    <t>Pino Colombiano</t>
  </si>
  <si>
    <t>Poeppigia procera</t>
  </si>
  <si>
    <t>Llovizno</t>
  </si>
  <si>
    <t>Poeppigia</t>
  </si>
  <si>
    <t>Pogonopus exsertus</t>
  </si>
  <si>
    <t>Chorcha de Gallo; Quina; Chibigui; Madroño</t>
  </si>
  <si>
    <t>Pogonopus</t>
  </si>
  <si>
    <t>Monoon longifolium</t>
  </si>
  <si>
    <t>Péndulo</t>
  </si>
  <si>
    <t>Monoon</t>
  </si>
  <si>
    <t>Polyscias balfouriana</t>
  </si>
  <si>
    <t>Sereno; Millonaria</t>
  </si>
  <si>
    <t>Polyscias</t>
  </si>
  <si>
    <t>Polyscias fruticosa</t>
  </si>
  <si>
    <t>Millonaria (Fructicosa); Elegantísima</t>
  </si>
  <si>
    <t>Polyscias guilfoylei</t>
  </si>
  <si>
    <t>Millón; Pestañaevieja; Millonario Blanco; Geranio</t>
  </si>
  <si>
    <t>Polyscias paniculata</t>
  </si>
  <si>
    <t>Polyscias Paniculata</t>
  </si>
  <si>
    <t>Polyscias scutellaria</t>
  </si>
  <si>
    <t>Crispa; Millonaria; Millonario; Millón</t>
  </si>
  <si>
    <t>Polyscias sp</t>
  </si>
  <si>
    <t>Millonaria</t>
  </si>
  <si>
    <t>Pongamia pinnata</t>
  </si>
  <si>
    <t>Haba de la India</t>
  </si>
  <si>
    <t>Pongamia</t>
  </si>
  <si>
    <t>Populus deltoides</t>
  </si>
  <si>
    <t>Chopo</t>
  </si>
  <si>
    <t>Populus</t>
  </si>
  <si>
    <t>Posoqueria latifolia</t>
  </si>
  <si>
    <t>Azuceno de Monte; Jazmin Naranjo</t>
  </si>
  <si>
    <t>Posoqueria</t>
  </si>
  <si>
    <t>Pourouma sp</t>
  </si>
  <si>
    <t>Uva Caimarona; Caimarón</t>
  </si>
  <si>
    <t>Pourouma</t>
  </si>
  <si>
    <t>Pourouma cecropiifolia</t>
  </si>
  <si>
    <t>Uva Caimarona</t>
  </si>
  <si>
    <t>Pouteria baehniana</t>
  </si>
  <si>
    <t>Mediacara; Lechero de Plomo</t>
  </si>
  <si>
    <t>Pouteria</t>
  </si>
  <si>
    <t>74</t>
  </si>
  <si>
    <t>Pouteria caimito</t>
  </si>
  <si>
    <t>Caimito de Monte; Zapote Amarillo</t>
  </si>
  <si>
    <t>Pouteria torta</t>
  </si>
  <si>
    <t>Caimo Peludo; Caimito; Caimo</t>
  </si>
  <si>
    <t>Pouteria durlandii</t>
  </si>
  <si>
    <t>Caimitillo; Níspero de Monte; Sapotillo</t>
  </si>
  <si>
    <t>Pouteria guianensis</t>
  </si>
  <si>
    <t>Níspero; Caimo Cafe; Caimo Negro</t>
  </si>
  <si>
    <t>Pouteria krukovii</t>
  </si>
  <si>
    <t>Caimo Cerezo; Zapotillo</t>
  </si>
  <si>
    <t>Sinónimo Lucuma krukovii</t>
  </si>
  <si>
    <t>Pouteria multiflora</t>
  </si>
  <si>
    <t>Caimito; Ojo de Venado</t>
  </si>
  <si>
    <t>Sinónimo Lucuma multiflora</t>
  </si>
  <si>
    <t>Pouteria sapota</t>
  </si>
  <si>
    <t>Zapote de Carne; Zapote Costeño</t>
  </si>
  <si>
    <t>Pouteria sp</t>
  </si>
  <si>
    <t>Caimo Peludo; Guaimaro; Sapotillo</t>
  </si>
  <si>
    <t>Prestoea acuminata</t>
  </si>
  <si>
    <t>Palmicho; Palmito</t>
  </si>
  <si>
    <t>Prestoea</t>
  </si>
  <si>
    <t>Prestoea carderi</t>
  </si>
  <si>
    <t>Cola de Pescado</t>
  </si>
  <si>
    <t>Prioria copaifera</t>
  </si>
  <si>
    <t>Cativo; Trementino</t>
  </si>
  <si>
    <t>Prioria</t>
  </si>
  <si>
    <t>Pritchardia pacifica</t>
  </si>
  <si>
    <t>Palma Abanico de Fiji; Palma Pritchardia</t>
  </si>
  <si>
    <t>Pritchardia</t>
  </si>
  <si>
    <t>Prosopis juliflora</t>
  </si>
  <si>
    <t>Trupillo; Cuji; Algarrobo; Tropillo</t>
  </si>
  <si>
    <t>Prosopis</t>
  </si>
  <si>
    <t>Protium apiculatum</t>
  </si>
  <si>
    <t>Ánime; Ánime Rojo; Breo; Laurel Perico</t>
  </si>
  <si>
    <t>Protium</t>
  </si>
  <si>
    <t>Prunus persica</t>
  </si>
  <si>
    <t>Durazno; Melocotón</t>
  </si>
  <si>
    <t>Prunus</t>
  </si>
  <si>
    <t>Prunus serotina</t>
  </si>
  <si>
    <t>Cerezo; Cereza; Capulí</t>
  </si>
  <si>
    <t>Prunus urotaenia</t>
  </si>
  <si>
    <t>Truco</t>
  </si>
  <si>
    <t>Pseuderanthemum maculatum</t>
  </si>
  <si>
    <t>Pseuderanthemum Maculatum</t>
  </si>
  <si>
    <t>Pseuderanthemum</t>
  </si>
  <si>
    <t>Pseudobombax septenatum</t>
  </si>
  <si>
    <t>Ceiba Verde; Majagua; Bonga</t>
  </si>
  <si>
    <t>Pseudobombax</t>
  </si>
  <si>
    <t>Pseudosamanea guachapele</t>
  </si>
  <si>
    <t>Cedro Amarillo; Iguá; Iguamarillo</t>
  </si>
  <si>
    <t>Pseudosamanea</t>
  </si>
  <si>
    <t>Psidium cattleianum</t>
  </si>
  <si>
    <t>Guayabo Peruano; Guayabo de Monte; Guayabo Agrio</t>
  </si>
  <si>
    <t>Psidium</t>
  </si>
  <si>
    <t>SALOMÉ CARDONA</t>
  </si>
  <si>
    <t>Psidium friedrichsthalianum</t>
  </si>
  <si>
    <t>Guayaba Coronilla; Guayaba Agria; Guayabo de Castilla</t>
  </si>
  <si>
    <t>Psidium guajava</t>
  </si>
  <si>
    <t>Guayabo; Guayaba; Guayaba Común; Guayaba Manzana</t>
  </si>
  <si>
    <t>Psidium guineense</t>
  </si>
  <si>
    <t>Guayabo Agrio; Guayaba Agria; Guayabito Agrio</t>
  </si>
  <si>
    <t>Psidium sp</t>
  </si>
  <si>
    <t>Guayabo de Monte</t>
  </si>
  <si>
    <t>3-15</t>
  </si>
  <si>
    <t>Psychotria nervosa</t>
  </si>
  <si>
    <t>Psychotria Nervosa</t>
  </si>
  <si>
    <t>Psychotria</t>
  </si>
  <si>
    <t>Pterocarpus acapulcensis</t>
  </si>
  <si>
    <t>Sangre de Gallo; Drago; Ojo de Venado; Sangregado</t>
  </si>
  <si>
    <t>Pterocarpus</t>
  </si>
  <si>
    <t>Pterocarpus santalinoides</t>
  </si>
  <si>
    <t>Palo de Arco</t>
  </si>
  <si>
    <t>Pterocarpus sp</t>
  </si>
  <si>
    <t>Barbasco</t>
  </si>
  <si>
    <t>Ptychosperma elegans</t>
  </si>
  <si>
    <t>Palma Solitaria; Ticosperma</t>
  </si>
  <si>
    <t>Ptychosperma</t>
  </si>
  <si>
    <t>Ptychosperma macarthurii</t>
  </si>
  <si>
    <t>Palma Mcarthur; Macarthur</t>
  </si>
  <si>
    <t>Pueraria montana</t>
  </si>
  <si>
    <t>Pueraria</t>
  </si>
  <si>
    <t>Punica granatum</t>
  </si>
  <si>
    <t>Granada; Granado</t>
  </si>
  <si>
    <t>Punica</t>
  </si>
  <si>
    <t>Pyracantha coccinea</t>
  </si>
  <si>
    <t>Mortiño; Holly Espinoso; Piracanta</t>
  </si>
  <si>
    <t>Pyracantha</t>
  </si>
  <si>
    <t>Quadrella odoratissima</t>
  </si>
  <si>
    <t>Olivo Santo; Olivo; Olivo Hembra; Naranjuelo; Naranjillo</t>
  </si>
  <si>
    <t>Quadrella</t>
  </si>
  <si>
    <t>Quararibea funebris</t>
  </si>
  <si>
    <t>Canela; Canelilla; Flor de Cacao; Madre Cacao; Madre de Cacao; Molinillo; Palo Copado; Palo de Canela; Palo de Molinillo; Rosa de Cacao</t>
  </si>
  <si>
    <t>Quararibea</t>
  </si>
  <si>
    <t>Quercus humboldtii</t>
  </si>
  <si>
    <t>Roble de Tierra Fría; Roble</t>
  </si>
  <si>
    <t>Fagaceae</t>
  </si>
  <si>
    <t>Quercus</t>
  </si>
  <si>
    <t>Quercus phellos</t>
  </si>
  <si>
    <t>Quillaja saponaria</t>
  </si>
  <si>
    <t>Quillay</t>
  </si>
  <si>
    <t>Quillajaceae</t>
  </si>
  <si>
    <t>Quillaja</t>
  </si>
  <si>
    <t>Ravenala madagascariensis</t>
  </si>
  <si>
    <t>Palma del Viajero</t>
  </si>
  <si>
    <t>Strelitziaceae</t>
  </si>
  <si>
    <t>Ravenala</t>
  </si>
  <si>
    <t>Ravenea rivularis</t>
  </si>
  <si>
    <t>Palma Majestad</t>
  </si>
  <si>
    <t>Ravenea</t>
  </si>
  <si>
    <t>Retrophyllum rospigliosii</t>
  </si>
  <si>
    <t>Pino Colombiano; Chaquiro; Pino de Montaña; Pino Romerón</t>
  </si>
  <si>
    <t>Retrophyllum</t>
  </si>
  <si>
    <t>Rhapis excelsa</t>
  </si>
  <si>
    <t>Palma Rafis; Palmerita China</t>
  </si>
  <si>
    <t>Rhapis</t>
  </si>
  <si>
    <t>Rhododendron simsii</t>
  </si>
  <si>
    <t>Azalea; Biflora; Miflora</t>
  </si>
  <si>
    <t>Rhododendron</t>
  </si>
  <si>
    <t>Rhodostemonodaphne kunthiana</t>
  </si>
  <si>
    <t>Laurel; Jigua Baboso; Jigua Laurel; Jigua Negro; Jigua Pava; Aguacatillo Gigante</t>
  </si>
  <si>
    <t>Rhodostemonodaphne</t>
  </si>
  <si>
    <t>Rhopalostylis sapida</t>
  </si>
  <si>
    <t>Rhopalostylis Sapida</t>
  </si>
  <si>
    <t>Rhopalostylis</t>
  </si>
  <si>
    <t>Rhus glabra</t>
  </si>
  <si>
    <t>Rhus Glabra</t>
  </si>
  <si>
    <t>Rhus</t>
  </si>
  <si>
    <t>Rhus virens</t>
  </si>
  <si>
    <t>Rhus Virens</t>
  </si>
  <si>
    <t>Ricinus communis</t>
  </si>
  <si>
    <t>Higuerilla; Higuerillo; Higuereta; Higuereto; Higuerillo Blanco</t>
  </si>
  <si>
    <t>Ricinus</t>
  </si>
  <si>
    <t>Rollinia membranacea</t>
  </si>
  <si>
    <t>Anón; Anón de Monte; Anón Cimarón; Majagua</t>
  </si>
  <si>
    <t>Rollinia</t>
  </si>
  <si>
    <t>En sau como Rollinia cf membranacea</t>
  </si>
  <si>
    <t>Rosa chinensis</t>
  </si>
  <si>
    <t>Rosa</t>
  </si>
  <si>
    <t>Rosa cinnamomea L</t>
  </si>
  <si>
    <t>Rosa Alpina</t>
  </si>
  <si>
    <t>Rosa pendulina</t>
  </si>
  <si>
    <t>Rosa multiflora</t>
  </si>
  <si>
    <t>Rosa de Japón; Rosa Multiflora</t>
  </si>
  <si>
    <t>Rosa sempervirens</t>
  </si>
  <si>
    <t>Rosa sp</t>
  </si>
  <si>
    <t>Roystonea oleracea</t>
  </si>
  <si>
    <t>Mapora; Palma Botella; Palma Mapora; Palma Imperial</t>
  </si>
  <si>
    <t>Roystonea</t>
  </si>
  <si>
    <t>Roystonea regia</t>
  </si>
  <si>
    <t>Palma Real de Cuba; Palma Real</t>
  </si>
  <si>
    <t>Ruagea pubescens</t>
  </si>
  <si>
    <t>Trompillo; Cedrillo</t>
  </si>
  <si>
    <t>Ruagea</t>
  </si>
  <si>
    <t>Ruellia simplex</t>
  </si>
  <si>
    <t>Petunia Mexicana</t>
  </si>
  <si>
    <t>Ruellia</t>
  </si>
  <si>
    <t>Ruellia sp</t>
  </si>
  <si>
    <t>Sabal domingensis</t>
  </si>
  <si>
    <t>Palma Cana</t>
  </si>
  <si>
    <t>Sabal</t>
  </si>
  <si>
    <t>Sabal mauritiiformis</t>
  </si>
  <si>
    <t>Palmiche; Palma Amarga; Palmiche; Palmito; Calicá; Palmicho</t>
  </si>
  <si>
    <t>Sabal palmetto</t>
  </si>
  <si>
    <t>Sabal; Palmicha</t>
  </si>
  <si>
    <t>Salacca zalacca</t>
  </si>
  <si>
    <t>Zalac</t>
  </si>
  <si>
    <t>Salacca</t>
  </si>
  <si>
    <t>Salix babylonica</t>
  </si>
  <si>
    <t>Sauce Llorón</t>
  </si>
  <si>
    <t>Salix</t>
  </si>
  <si>
    <t>Salix humboldtiana</t>
  </si>
  <si>
    <t>Sauce Llorón; Sauce; Sauce Macho; Sausa; Sauce Colorado; Icaco</t>
  </si>
  <si>
    <t>Salix nigra</t>
  </si>
  <si>
    <t>Sauce Negro</t>
  </si>
  <si>
    <t>Salvia microphylla</t>
  </si>
  <si>
    <t>Salvia Rosa</t>
  </si>
  <si>
    <t>Salvia</t>
  </si>
  <si>
    <t>Salvia splendens</t>
  </si>
  <si>
    <t>Salviarroja; Liberal; Calzón del Diablo; Viudalegre; Liberal</t>
  </si>
  <si>
    <t>Samanea saman</t>
  </si>
  <si>
    <t>Samán; Campano; Algarrobillo; Árbol de Lluvia</t>
  </si>
  <si>
    <t>Samanea</t>
  </si>
  <si>
    <t>Sinónimo: Albizia saman # 46</t>
  </si>
  <si>
    <t>Sambucus nigra</t>
  </si>
  <si>
    <t>Sauco; Saúco; Sauco de Castilla; Salbuguera; Sabuguera</t>
  </si>
  <si>
    <t>Viburnaceae</t>
  </si>
  <si>
    <t>Sambucus</t>
  </si>
  <si>
    <t>Sambucus peruviana</t>
  </si>
  <si>
    <t>Sauco</t>
  </si>
  <si>
    <t>Sanchezia oblonga</t>
  </si>
  <si>
    <t>Espinazo; Afelandra</t>
  </si>
  <si>
    <t>Sanchezia</t>
  </si>
  <si>
    <t>Sanchezia speciosa</t>
  </si>
  <si>
    <t>Cachimbo Amarillo</t>
  </si>
  <si>
    <t>Sapindus saponaria</t>
  </si>
  <si>
    <t>Chumbimbo; Jaboncillo; Árbol de Jabón; Jabo; Jabón; Chambimbe</t>
  </si>
  <si>
    <t>Sapindus</t>
  </si>
  <si>
    <t>Sapium aucuparium</t>
  </si>
  <si>
    <t>Marañon; Caucho; Ñipi</t>
  </si>
  <si>
    <t>Sapium</t>
  </si>
  <si>
    <t>Sapium sp</t>
  </si>
  <si>
    <t>Lechudo</t>
  </si>
  <si>
    <t>Saurauia sp</t>
  </si>
  <si>
    <t>Dulomoco; Chupachupa</t>
  </si>
  <si>
    <t>Actinidiaceae</t>
  </si>
  <si>
    <t>Saurauia</t>
  </si>
  <si>
    <t>Schefflera actinophylla</t>
  </si>
  <si>
    <t>Schefflera</t>
  </si>
  <si>
    <t>Schefflera arboricola</t>
  </si>
  <si>
    <t>Cheflera (Arborícola); Cheflera Enana</t>
  </si>
  <si>
    <t>Schefflera elegantissima</t>
  </si>
  <si>
    <t>Falsa Aralia</t>
  </si>
  <si>
    <t>Schinus molle</t>
  </si>
  <si>
    <t>Falso Pimiento; Muelle; Pimiento</t>
  </si>
  <si>
    <t>Schinus</t>
  </si>
  <si>
    <t>Schinus terebinthifolia</t>
  </si>
  <si>
    <t>Falso Pimiento; Pimiento; Terebinto; Pimineto Negro; Turibinto</t>
  </si>
  <si>
    <t>Schizolobium parahyba</t>
  </si>
  <si>
    <t>Tambor; Tambolero; Tamborero; Frijolillo; Arenillas; Chingalé Tamborero</t>
  </si>
  <si>
    <t>Schizolobium</t>
  </si>
  <si>
    <t>Senna alata</t>
  </si>
  <si>
    <t>Alcaparro; Babacú; Martinable; Frisolito; Cacaona; Jagua</t>
  </si>
  <si>
    <t>Senna bicapsularis</t>
  </si>
  <si>
    <t>Bombito; Cuchillito; Platanito; Chivato; Ahitera</t>
  </si>
  <si>
    <t>Senna corymbosa</t>
  </si>
  <si>
    <t>Sen del Campo</t>
  </si>
  <si>
    <t>Senna occidentalis</t>
  </si>
  <si>
    <t>Potra; Frijolato; Bicho</t>
  </si>
  <si>
    <t>Senna pistaciifolia</t>
  </si>
  <si>
    <t>Alcaparro; Palo Bonito; Pichuelo; Galvis; Cucaracho; Frutillo</t>
  </si>
  <si>
    <t>Senna polyphylla</t>
  </si>
  <si>
    <t>Hawaii</t>
  </si>
  <si>
    <t>Senna reticulata</t>
  </si>
  <si>
    <t>Dorancé; Floramarillo; Bajagua; Galvis; Majagüito; Dorancel</t>
  </si>
  <si>
    <t>Senna septemtrionalis</t>
  </si>
  <si>
    <t>Alcaparro</t>
  </si>
  <si>
    <t>Senna siamea</t>
  </si>
  <si>
    <t>Acacia Siamea; Abeto; Acacio Santandereano; Alcaparro; Acacia; Carmín</t>
  </si>
  <si>
    <t>Senna sp</t>
  </si>
  <si>
    <t>Senna surattensis</t>
  </si>
  <si>
    <t>Sesbania grandiflora</t>
  </si>
  <si>
    <t>Cantagallo Blanco; Gallito; Pirigallo; Sesbania; Agatí</t>
  </si>
  <si>
    <t>Sesbania</t>
  </si>
  <si>
    <t>Sida rhombifolia</t>
  </si>
  <si>
    <t>Escobilla; Escobadura; Malva de Escoba; Malva de Puerco Y Malva Prieta</t>
  </si>
  <si>
    <t>Sida</t>
  </si>
  <si>
    <t>Simarouba amara</t>
  </si>
  <si>
    <t>Amargo; Cedrillo; Aceituno; Amargo; Caratero; Chapul</t>
  </si>
  <si>
    <t>Simaroubaceae</t>
  </si>
  <si>
    <t>Simarouba</t>
  </si>
  <si>
    <t>Siparuna cuspidata</t>
  </si>
  <si>
    <t>Cofalillo; Hoja de Pasmo; Limoncillo</t>
  </si>
  <si>
    <t>Siparunaceae</t>
  </si>
  <si>
    <t>Siparuna</t>
  </si>
  <si>
    <t>Sloanea zuliaensis</t>
  </si>
  <si>
    <t>Cacao Montano</t>
  </si>
  <si>
    <t>Sloanea</t>
  </si>
  <si>
    <t>Socratea exorrhiza</t>
  </si>
  <si>
    <t>Zancona; Palma Mulata; Chuapo; Araco; Pachúa Zancona; Pona Lisa</t>
  </si>
  <si>
    <t>Socratea</t>
  </si>
  <si>
    <t>Solandra grandiflora</t>
  </si>
  <si>
    <t>Solandra</t>
  </si>
  <si>
    <t>Solandra maxima</t>
  </si>
  <si>
    <t>Solanum betaceum</t>
  </si>
  <si>
    <t>Tomate de Árbol; Pepino de Árbol ; Tamarillo ; Tomate ; Tomate de Montaña ; Tomate de Monte</t>
  </si>
  <si>
    <t>Solanum</t>
  </si>
  <si>
    <t>Solanum macranthum</t>
  </si>
  <si>
    <t>Lulo de Ciudad; Lulo Ornamental; Arbol de las Papas</t>
  </si>
  <si>
    <t>Solanum mammosum</t>
  </si>
  <si>
    <t>Lulo de Perro; Friegaplatos; Matacucharachas</t>
  </si>
  <si>
    <t>Solanum mauritianum</t>
  </si>
  <si>
    <t>Tabaquillo; Fona de Porca</t>
  </si>
  <si>
    <t>Solanum oblongifolium</t>
  </si>
  <si>
    <t>Borrachero; Borrachero Chiquito; Borrachero Cimarrón; Bodoquillo; Cucubo; Tinto</t>
  </si>
  <si>
    <t>Solanum quitoense</t>
  </si>
  <si>
    <t>Lulo; Lulo de Castilla; Lulo de Perro; Lulo Morado; Lulo Pequeño; Bombolo</t>
  </si>
  <si>
    <t>Solanum rovirosanum</t>
  </si>
  <si>
    <t>Indioviejo</t>
  </si>
  <si>
    <t>Solanum rudepannum</t>
  </si>
  <si>
    <t>Sacalaestaca; Sacaestaca; Friegaplatos; Limpiaplato; Mancatigre</t>
  </si>
  <si>
    <t>Solanum sp</t>
  </si>
  <si>
    <t>Solanum sycophanta</t>
  </si>
  <si>
    <t>Cujarco; Cucubo; Cujaco; Almanegra; Lulo; Tachuelo</t>
  </si>
  <si>
    <t>Solanum torvum</t>
  </si>
  <si>
    <t>Friegaplatos; Cujaca; Berenjenita Cimarrona; Frutillo</t>
  </si>
  <si>
    <t>Solanum umbellatum</t>
  </si>
  <si>
    <t>Chucho Lanudo; Pepo; Borrachero</t>
  </si>
  <si>
    <t>Solanum wrightii</t>
  </si>
  <si>
    <t>Tachuelo; Lulo</t>
  </si>
  <si>
    <t>Spachea herbert-smithii</t>
  </si>
  <si>
    <t>Espaquea</t>
  </si>
  <si>
    <t>Spachea</t>
  </si>
  <si>
    <t>Spathodea campanulata</t>
  </si>
  <si>
    <t>Tulipán Africano; Tulipán; Miona; Rosa China; Barquitos</t>
  </si>
  <si>
    <t>Spathodea</t>
  </si>
  <si>
    <t>Spirotheca rosea</t>
  </si>
  <si>
    <t>Ceiba Tierra Fria</t>
  </si>
  <si>
    <t>Spirotheca</t>
  </si>
  <si>
    <t>Spirotheca sp</t>
  </si>
  <si>
    <t>Espiroteca</t>
  </si>
  <si>
    <t>Spondias dulcis</t>
  </si>
  <si>
    <t>Cancharana; Canyarana; Canllarana; Cancharama; Ciruelo Dulce; Hobo</t>
  </si>
  <si>
    <t>Spondias</t>
  </si>
  <si>
    <t>Spondias mombin</t>
  </si>
  <si>
    <t>Hobo; Jobo; Ubo; Uvo; Hobo Arisco; Ciruelo</t>
  </si>
  <si>
    <t>Spondias purpurea</t>
  </si>
  <si>
    <t>Ciruelo; Cirgüelo; Ciruela; Ciruela Calentana; Ciruelo Blanco</t>
  </si>
  <si>
    <t>Stachytarpheta frantzii</t>
  </si>
  <si>
    <t>Verbena Lila</t>
  </si>
  <si>
    <t>Stachytarpheta</t>
  </si>
  <si>
    <t>Stachytarpheta mutabilis</t>
  </si>
  <si>
    <t>Mora de Terciopelo; Hierba de Serpiente</t>
  </si>
  <si>
    <t>Stachytarpheta jamaicensis</t>
  </si>
  <si>
    <t>Verbena Azul</t>
  </si>
  <si>
    <t>Stemmadenia litoralis</t>
  </si>
  <si>
    <t>Azuceno; Huevos de Perro; Cojon de Gato; Jazmín; Estremadelio</t>
  </si>
  <si>
    <t>Stemmadenia</t>
  </si>
  <si>
    <t>Sterculia apetala</t>
  </si>
  <si>
    <t>Camajón; Piñón; Camajonduro; Camajorú; Camajurú; Camajón Duro</t>
  </si>
  <si>
    <t>Sterculia</t>
  </si>
  <si>
    <t>Stryphnodendron sp</t>
  </si>
  <si>
    <t>Barbatimao</t>
  </si>
  <si>
    <t>Stryphnodendron</t>
  </si>
  <si>
    <t>Stylogyne sp</t>
  </si>
  <si>
    <t>Chuchillo</t>
  </si>
  <si>
    <t>Stylogyne</t>
  </si>
  <si>
    <t>Swartzia macrophylla</t>
  </si>
  <si>
    <t>Mucuna; Guacharaco; Rumbo; Macuná; Mucuná</t>
  </si>
  <si>
    <t>Swartzia</t>
  </si>
  <si>
    <t>Swartzia oraria</t>
  </si>
  <si>
    <t>Fresno; Frijolillo; Costillo; Latigo</t>
  </si>
  <si>
    <t>Swartzia robiniifolia</t>
  </si>
  <si>
    <t>Cucharo; Frijolillo</t>
  </si>
  <si>
    <t>Swartzia sp</t>
  </si>
  <si>
    <t>Cucharo; Frijolillo (A otra sp de genero)</t>
  </si>
  <si>
    <t>Swietenia macrophylla</t>
  </si>
  <si>
    <t>Caoba; Caobo; Caoba Americana; Cedro Caoba; Palo Santo</t>
  </si>
  <si>
    <t>Swietenia</t>
  </si>
  <si>
    <t>Swietenia mahagoni</t>
  </si>
  <si>
    <t>Caoba Dominicana; Caoba; Caobo; Caoba Americana; Caobo Cubano; Caoba de Santo Domingo</t>
  </si>
  <si>
    <t>Swinglea glutinosa</t>
  </si>
  <si>
    <t>Limonacho; Limoncillo; Limón Swinglia; Limón Suingla</t>
  </si>
  <si>
    <t>Swinglea</t>
  </si>
  <si>
    <t>Syagrus romanzoffiana</t>
  </si>
  <si>
    <t>Palma de Azúcar; Palma Reina; Coco Plumoso</t>
  </si>
  <si>
    <t>Syagrus</t>
  </si>
  <si>
    <t>Syagrus sancona</t>
  </si>
  <si>
    <t>Palma Sancona; Sarare; Zancona; Quirache; Saray; Palma de Sarare</t>
  </si>
  <si>
    <t>Synechanthus fibrosus</t>
  </si>
  <si>
    <t>Falso Camedor; Corosilla</t>
  </si>
  <si>
    <t>Synechanthus</t>
  </si>
  <si>
    <t>Synsepalum dulcificum</t>
  </si>
  <si>
    <t>Fruta Milagrosa</t>
  </si>
  <si>
    <t>Synsepalum</t>
  </si>
  <si>
    <t>Syzygium cumini</t>
  </si>
  <si>
    <t>Aceituno Dulce; Aceituno; Uva; Uvito; Jambolán; Aceituna</t>
  </si>
  <si>
    <t>Syzygium</t>
  </si>
  <si>
    <t>Syzygium jambos</t>
  </si>
  <si>
    <t>Pomo; Pomarroso; Pomarrosa; Pomarrosa Común; Pomorroso; Pomorroso de Castilla</t>
  </si>
  <si>
    <t>Syzygium malaccense</t>
  </si>
  <si>
    <t>Pero de Agua; Pomarroso; Pomarroso Brasilero; Pomarroso Brasileño; Pomarrosa del Brasil; Pera de Malaca</t>
  </si>
  <si>
    <t>Syzygium paniculata</t>
  </si>
  <si>
    <t>Syzygium sp</t>
  </si>
  <si>
    <t>5-20</t>
  </si>
  <si>
    <t>Tabebuia billbergii</t>
  </si>
  <si>
    <t>Polvillo; Coralibre; Cañaguate Blanco</t>
  </si>
  <si>
    <t>Tabebuia</t>
  </si>
  <si>
    <t>Tabebuia chrysea</t>
  </si>
  <si>
    <t>Roble Amarillo; Cañaguate; Guayacán; Alumbre</t>
  </si>
  <si>
    <t>Tabebuia chrysotricha</t>
  </si>
  <si>
    <t>Guayacan Peludo</t>
  </si>
  <si>
    <t>Tabebuia impetiginosa</t>
  </si>
  <si>
    <t>Lapacho Rosado; Corazonfino; Cañaguate Morado</t>
  </si>
  <si>
    <t>Tabebuia ochracea</t>
  </si>
  <si>
    <t>Guayacán; Chicalá; Floramarillo; Guayacán Polvillo; Guayacán Amarillo</t>
  </si>
  <si>
    <t>Tabebuia pallida</t>
  </si>
  <si>
    <t>Cáliz de Papel; Roble Merrill</t>
  </si>
  <si>
    <t>Tabebuia rosea</t>
  </si>
  <si>
    <t>Apamate; Guayacán Rosado; Ocobo; Roble; Guayacán; Guayacán Morado</t>
  </si>
  <si>
    <t>Tabebuia sp</t>
  </si>
  <si>
    <t>Guayacán Enano</t>
  </si>
  <si>
    <t>6-40</t>
  </si>
  <si>
    <t>20-100</t>
  </si>
  <si>
    <t>Tabernaemontana amygdalifolia</t>
  </si>
  <si>
    <t>Cojon de Frayle; Lirio Macho; Jazmín del Monte</t>
  </si>
  <si>
    <t>Tabernaemontana</t>
  </si>
  <si>
    <t>Tabernaemontana coronaria</t>
  </si>
  <si>
    <t>Jazmín de Malabar; Jazmín; Malabar; Sanango; Malabarí</t>
  </si>
  <si>
    <t>Tabernaemontana divaricata</t>
  </si>
  <si>
    <t>Jazmín de Malabar; Jazmín; Malabar; Malabarí; Azuceno</t>
  </si>
  <si>
    <t>Tabernaemontana litoralis</t>
  </si>
  <si>
    <t>Azuceno; Cojón de Gato; Jazmín; Cachito</t>
  </si>
  <si>
    <t>Tabernaemontana markgrafiana</t>
  </si>
  <si>
    <t>Piangüita; Lechito</t>
  </si>
  <si>
    <t>Tabernaemontana sp</t>
  </si>
  <si>
    <t>Cojón de Perro (A otra sp de genero)</t>
  </si>
  <si>
    <t>2-6</t>
  </si>
  <si>
    <t>Tachigali costaricensis</t>
  </si>
  <si>
    <t>Tachigali</t>
  </si>
  <si>
    <t>Talipariti tiliaceum</t>
  </si>
  <si>
    <t>Majaguo; Sanjoaquín; Chitú; Majagua</t>
  </si>
  <si>
    <t>Talipariti</t>
  </si>
  <si>
    <t>Talisia cerasina</t>
  </si>
  <si>
    <t>Pitomba Sacha</t>
  </si>
  <si>
    <t>Talisia</t>
  </si>
  <si>
    <t>Tamarindus indica</t>
  </si>
  <si>
    <t>Tamarindo</t>
  </si>
  <si>
    <t>Tamarindus</t>
  </si>
  <si>
    <t>Tapirira guianensis</t>
  </si>
  <si>
    <t>Fresno; Cedrillo; Guarupayo; Cedro Macho</t>
  </si>
  <si>
    <t>Tapirira</t>
  </si>
  <si>
    <t>Taxodium mucronatum</t>
  </si>
  <si>
    <t>Ciprés Moctezuma; Ahuehuete; Sabino</t>
  </si>
  <si>
    <t>Taxodium</t>
  </si>
  <si>
    <t>Tecoma capensis</t>
  </si>
  <si>
    <t>Bignonia Roja; Llamarada; Candela; Bignonia; Tecomaria</t>
  </si>
  <si>
    <t>Tecoma</t>
  </si>
  <si>
    <t>Tecoma stans</t>
  </si>
  <si>
    <t>Chirlobirlo; Floramarillo; Fresno; Amarillo; Fresnillo; Chicalá</t>
  </si>
  <si>
    <t>Tectona grandis</t>
  </si>
  <si>
    <t>Teca; Teco</t>
  </si>
  <si>
    <t>Tectona</t>
  </si>
  <si>
    <t>Terminalia amazonia</t>
  </si>
  <si>
    <t>Almendro Amazónico; Amarillón; Roble Coral; Vara de León</t>
  </si>
  <si>
    <t>Terminalia catappa</t>
  </si>
  <si>
    <t>Almendro; Almendrón; Almendra; Almendrillo</t>
  </si>
  <si>
    <t>Terminalia chiriquensis</t>
  </si>
  <si>
    <t>Terminalia ivorensis</t>
  </si>
  <si>
    <t>Terminalia; Almendro Ovirensis</t>
  </si>
  <si>
    <t>46</t>
  </si>
  <si>
    <t>Terminalia mantaly</t>
  </si>
  <si>
    <t>Terminalia Mantaly</t>
  </si>
  <si>
    <t>Terminalia oblonga</t>
  </si>
  <si>
    <t>Guayabillo; Vara de León; Guayabito; Guayabo</t>
  </si>
  <si>
    <t>Sinonimo: Terminalia chiriquensis</t>
  </si>
  <si>
    <t>Terminalia superba</t>
  </si>
  <si>
    <t>Limba; Terminalia</t>
  </si>
  <si>
    <t>Tessaria integrifolia</t>
  </si>
  <si>
    <t>Sauce Playero; Aliso de Rio; Sauce de Playa; Sauce; Cenizo</t>
  </si>
  <si>
    <t>Tessaria</t>
  </si>
  <si>
    <t>Tetrapanax papyrifer</t>
  </si>
  <si>
    <t>Papel Arroz</t>
  </si>
  <si>
    <t>Tetrapanax</t>
  </si>
  <si>
    <t>Theobroma bicolor</t>
  </si>
  <si>
    <t>Maraco; Bacao; Bacao de Monte; Maraca</t>
  </si>
  <si>
    <t>Theobroma</t>
  </si>
  <si>
    <t>Theobroma cacao</t>
  </si>
  <si>
    <t>Cacao; Cacaotero; Chocolate</t>
  </si>
  <si>
    <t>Theobroma grandiflorum</t>
  </si>
  <si>
    <t>Copoazú; Copuazú; Cupuazú; Cacao de Monte; Maraca Silvestre</t>
  </si>
  <si>
    <t>Thespesia populnea</t>
  </si>
  <si>
    <t>Clemón; Algodoncillo; Algodon de Arbol</t>
  </si>
  <si>
    <t>Thespesia</t>
  </si>
  <si>
    <t>Thevetia ahouai</t>
  </si>
  <si>
    <t>Huevos de Tigre</t>
  </si>
  <si>
    <t>Thevetia</t>
  </si>
  <si>
    <t>Thevetia peruviana</t>
  </si>
  <si>
    <t>Catape; Cobalongo</t>
  </si>
  <si>
    <t>Tithonia diversifolia</t>
  </si>
  <si>
    <t>Mirasol; Boton de Oro; Margaritón</t>
  </si>
  <si>
    <t>Tithonia</t>
  </si>
  <si>
    <t>Thrinax parviflora</t>
  </si>
  <si>
    <t>Palma Abanico</t>
  </si>
  <si>
    <t>Thrinax</t>
  </si>
  <si>
    <t>Thunbergia sp</t>
  </si>
  <si>
    <t>Manto de Rey</t>
  </si>
  <si>
    <t>Thunbergia</t>
  </si>
  <si>
    <t>Thunbergia erecta</t>
  </si>
  <si>
    <t>Tibouchina gracilis</t>
  </si>
  <si>
    <t>Flor de Princesa; Planta de la Gloria</t>
  </si>
  <si>
    <t>Hierba</t>
  </si>
  <si>
    <t>Tibouchina</t>
  </si>
  <si>
    <t>Tibouchina granulosa</t>
  </si>
  <si>
    <t>Siete Cueros</t>
  </si>
  <si>
    <t>Tibouchina heteromalla</t>
  </si>
  <si>
    <t>Oreja de Venado</t>
  </si>
  <si>
    <t>Tibouchina lepidota</t>
  </si>
  <si>
    <t>Sietecueros; Sietecueros Real</t>
  </si>
  <si>
    <t>Tibouchina urvilleana</t>
  </si>
  <si>
    <t>Siete Cueros; Sietecueros Brasilero; Sietecueros Nazareno</t>
  </si>
  <si>
    <t>Tilia europaea</t>
  </si>
  <si>
    <t>Tilia Europaea</t>
  </si>
  <si>
    <t>Tilia</t>
  </si>
  <si>
    <t>Toddalia sp</t>
  </si>
  <si>
    <t>Toddalia</t>
  </si>
  <si>
    <t>Tovomita weddelliana</t>
  </si>
  <si>
    <t>Trompillo; Rapabarbo</t>
  </si>
  <si>
    <t>Tovomita</t>
  </si>
  <si>
    <t>Toxicodendron striatum</t>
  </si>
  <si>
    <t>Manzanillo; Chiraco; Caspi; Pedrohernández</t>
  </si>
  <si>
    <t>Toxicodendron</t>
  </si>
  <si>
    <t>Trachycarpus fortunei</t>
  </si>
  <si>
    <t>Molino del Viento Chino; Palma de Viento; Palma Molino de Viento Chino</t>
  </si>
  <si>
    <t>Trachycarpus</t>
  </si>
  <si>
    <t>Tradescantia fluminensis</t>
  </si>
  <si>
    <t>Amor de Hombre</t>
  </si>
  <si>
    <t>Commelinaceae</t>
  </si>
  <si>
    <t>Tradescantia</t>
  </si>
  <si>
    <t>Tradescantia pallida</t>
  </si>
  <si>
    <t>Guarda Parque Morado</t>
  </si>
  <si>
    <t>Trattinnickia aspera</t>
  </si>
  <si>
    <t>Cariaño; Caraño; Ampó</t>
  </si>
  <si>
    <t>Trattinnickia</t>
  </si>
  <si>
    <t>Trema micrantha</t>
  </si>
  <si>
    <t>Zurrumbo; Látigo; Verraco; Surundé; Cargadero; Raspador; Berraco</t>
  </si>
  <si>
    <t>Cannabaceae</t>
  </si>
  <si>
    <t>Trema</t>
  </si>
  <si>
    <t>Trichanthera gigantea</t>
  </si>
  <si>
    <t>Quiebra Barrigo; Quiebrabarrigo; Nacedero; Madre de Agua</t>
  </si>
  <si>
    <t>Trichanthera</t>
  </si>
  <si>
    <t>Trichilia dregeana</t>
  </si>
  <si>
    <t>Chalahuite</t>
  </si>
  <si>
    <t>Trichilia</t>
  </si>
  <si>
    <t>Trichilia Havanensis</t>
  </si>
  <si>
    <t>Cedrillo; Cacique; Cedro</t>
  </si>
  <si>
    <t>Trichilia hirta</t>
  </si>
  <si>
    <t>Jobo Macho; Trompillo; Jobo; Tautano; Tuétano</t>
  </si>
  <si>
    <t>Trichilia martiana</t>
  </si>
  <si>
    <t>Tuétano; Cedrillo; Vara de Piedra</t>
  </si>
  <si>
    <t>Trichospermum galeottii</t>
  </si>
  <si>
    <t>Melao; Chillalde</t>
  </si>
  <si>
    <t>Trichospermum</t>
  </si>
  <si>
    <t>Triphasia trifolia</t>
  </si>
  <si>
    <t>Cerezo Asiatico</t>
  </si>
  <si>
    <t>Triphasia</t>
  </si>
  <si>
    <t>Triplaris americana</t>
  </si>
  <si>
    <t>Vara Santa; Varasanta; Guacamayo; Palosanto</t>
  </si>
  <si>
    <t>Triplaris</t>
  </si>
  <si>
    <t>Trithrinax schizophylla</t>
  </si>
  <si>
    <t>Palma Carandilla</t>
  </si>
  <si>
    <t>Trithrinax</t>
  </si>
  <si>
    <t>Turnera ulmifolia</t>
  </si>
  <si>
    <t>Santalucía; Damiana; Panchecito; Amapola</t>
  </si>
  <si>
    <t>Turnera</t>
  </si>
  <si>
    <t>Ulmus parvifolia</t>
  </si>
  <si>
    <t>Olmo Chino</t>
  </si>
  <si>
    <t>Ulmaceae</t>
  </si>
  <si>
    <t>Ulmus</t>
  </si>
  <si>
    <t>Urera baccifera</t>
  </si>
  <si>
    <t>Urera</t>
  </si>
  <si>
    <t>Urera caracasana</t>
  </si>
  <si>
    <t>Pringamosa; Pringamoza; Ortiga; Ortigo</t>
  </si>
  <si>
    <t>Uribea tamarindoides</t>
  </si>
  <si>
    <t>Tamarindo; Tamarindo de Montaña</t>
  </si>
  <si>
    <t>Uribea</t>
  </si>
  <si>
    <t>Vachellia collinsii</t>
  </si>
  <si>
    <t>Cornezuelo; Torito; Árbol de Cuerno</t>
  </si>
  <si>
    <t>Vachellia</t>
  </si>
  <si>
    <t>Es el árbol oficial de la ciudad de Cúcuta, en Colombia</t>
  </si>
  <si>
    <t>Vachellia farnesiana</t>
  </si>
  <si>
    <t>Aromo; Espino</t>
  </si>
  <si>
    <t>Vasconcellea sp</t>
  </si>
  <si>
    <t>Papayo de Monte; Papayo de Rastrojo</t>
  </si>
  <si>
    <t>Vasconcellea</t>
  </si>
  <si>
    <t>Vasivaea podocarpa</t>
  </si>
  <si>
    <t>Guacimo Blanco</t>
  </si>
  <si>
    <t>Vasivaea</t>
  </si>
  <si>
    <t>Vatairea guianensis</t>
  </si>
  <si>
    <t>Palo de Gallinazo; Guerra; Marimari; Palo de Grulla; Gallinazo Ordinario</t>
  </si>
  <si>
    <t>Vatairea</t>
  </si>
  <si>
    <t>Palma montgomeryana</t>
  </si>
  <si>
    <t>Palma Montgomery</t>
  </si>
  <si>
    <t>Verbesina crassiramea</t>
  </si>
  <si>
    <t>Pauche; Camargo; Tabaquillo</t>
  </si>
  <si>
    <t>Verbesina</t>
  </si>
  <si>
    <t>Vernonia brasiliana</t>
  </si>
  <si>
    <t>Olivon</t>
  </si>
  <si>
    <t>Vernonia</t>
  </si>
  <si>
    <t>Vernonanthura patens</t>
  </si>
  <si>
    <t>Indioviejo; Olivón; Varejón; Salvión</t>
  </si>
  <si>
    <t>Vernonanthura</t>
  </si>
  <si>
    <t>Viburnum cornifolium</t>
  </si>
  <si>
    <t>Juco; Pita; Sauco de Monte; Cabo de Hacha</t>
  </si>
  <si>
    <t>Viburnum</t>
  </si>
  <si>
    <t>Viburnum odoratissimum</t>
  </si>
  <si>
    <t>Viburno</t>
  </si>
  <si>
    <t>Viburnum sp</t>
  </si>
  <si>
    <t>Virola multiflora</t>
  </si>
  <si>
    <t>Virola Multiflora</t>
  </si>
  <si>
    <t>Virola</t>
  </si>
  <si>
    <t>Virola sebifera</t>
  </si>
  <si>
    <t>Sangretoro; Soto; Cuangare</t>
  </si>
  <si>
    <t>Viscum album</t>
  </si>
  <si>
    <t>Murdago</t>
  </si>
  <si>
    <t>Santalaceae</t>
  </si>
  <si>
    <t>Viscum</t>
  </si>
  <si>
    <t>Vismia baccifera</t>
  </si>
  <si>
    <t>Carate; Punta de Lanza; Puntalanza; Puntelanza</t>
  </si>
  <si>
    <t>Hypericaceae</t>
  </si>
  <si>
    <t>Vismia</t>
  </si>
  <si>
    <t>Vismia guianensis</t>
  </si>
  <si>
    <t>Sangre Gallina; Manchado; Manchador; Carate; Punta de Lanza; Carate Negro</t>
  </si>
  <si>
    <t>Vitex cymosa</t>
  </si>
  <si>
    <t>Aceituno; Aceituna; Guayacán Azul; Taruma</t>
  </si>
  <si>
    <t>Vitex</t>
  </si>
  <si>
    <t>Vitex cooperi</t>
  </si>
  <si>
    <t>Aceituno</t>
  </si>
  <si>
    <t>Vitex parviflora</t>
  </si>
  <si>
    <t>Roble Guayo; Penda; Higüerillo</t>
  </si>
  <si>
    <t>Vitex sp</t>
  </si>
  <si>
    <t>Truntago</t>
  </si>
  <si>
    <t>Vochysia sp</t>
  </si>
  <si>
    <t>Nispero Amazonico</t>
  </si>
  <si>
    <t>Vochysiaceae</t>
  </si>
  <si>
    <t>Vochysia</t>
  </si>
  <si>
    <t>10-25</t>
  </si>
  <si>
    <t>30-80</t>
  </si>
  <si>
    <t>Washingtonia filifera</t>
  </si>
  <si>
    <t>Palma Abanico; Washingtonia; Palma Washingtonia; Palma de Abanico; Palma Washingtoniana</t>
  </si>
  <si>
    <t>Washingtonia</t>
  </si>
  <si>
    <t>Washingtonia robusta</t>
  </si>
  <si>
    <t>Washingtonia; Palma Washingtonia</t>
  </si>
  <si>
    <t>Weinmannia pubescens</t>
  </si>
  <si>
    <t>Encenillo; Encino; Encenillo Crespo</t>
  </si>
  <si>
    <t>Cunoniaceae</t>
  </si>
  <si>
    <t>Weinmannia</t>
  </si>
  <si>
    <t>Weinmannia tomentosa</t>
  </si>
  <si>
    <t>Encenillo; Encino; Encenillo Peludo</t>
  </si>
  <si>
    <t>Welfia regia</t>
  </si>
  <si>
    <t>Sanjuán; Amargo; Cuasbil; Sanjuán; Palma Sanjuán;</t>
  </si>
  <si>
    <t>Welfia</t>
  </si>
  <si>
    <t>Wettinia radiata</t>
  </si>
  <si>
    <t>Palma Macana; Baqueta; Crespa</t>
  </si>
  <si>
    <t>Wettinia</t>
  </si>
  <si>
    <t>Wettinia sp</t>
  </si>
  <si>
    <t>Palma Crespa; Macana</t>
  </si>
  <si>
    <t>Wittmackanthus stanleyanus</t>
  </si>
  <si>
    <t>Punteguayabo; Cabo de Hacha; Mantequillo</t>
  </si>
  <si>
    <t>Wittmackanthus</t>
  </si>
  <si>
    <t>Wodyetia bifurcata</t>
  </si>
  <si>
    <t>Palma Cola de Zorro; Cola de Zorro</t>
  </si>
  <si>
    <t>Wodyetia</t>
  </si>
  <si>
    <t>Xylopia aromatica</t>
  </si>
  <si>
    <t>Xilopia; Copillo; Sembé; Malagueto; Escobillo; Frisolillo</t>
  </si>
  <si>
    <t>Xylopia</t>
  </si>
  <si>
    <t>Yucca aloifolia</t>
  </si>
  <si>
    <t>Yucca; Palma de Yuca; Palma de Bayoneta</t>
  </si>
  <si>
    <t>Yucca</t>
  </si>
  <si>
    <t>Yucca filifera</t>
  </si>
  <si>
    <t>Espadillo; Palma Yuca</t>
  </si>
  <si>
    <t>Yucca gigantea</t>
  </si>
  <si>
    <t>Palma Yuca; Palma Bayoneta; Palmiche</t>
  </si>
  <si>
    <t>Yucca gloriosa</t>
  </si>
  <si>
    <t>Yuca Brillante</t>
  </si>
  <si>
    <t>Zanthoxylum gentryi</t>
  </si>
  <si>
    <t>Tachuelo</t>
  </si>
  <si>
    <t>Zanthoxylum</t>
  </si>
  <si>
    <t>Zanthoxylum rhoifolium</t>
  </si>
  <si>
    <t>Tachuelo; Tacho; Doncel; Cilantrón; Mamica de Cadela</t>
  </si>
  <si>
    <t>Ziziphus jujuba</t>
  </si>
  <si>
    <t>Guinda; Manzanita; Manzanito</t>
  </si>
  <si>
    <t>Ziziphus</t>
  </si>
  <si>
    <t>Ziziphus mauritiana</t>
  </si>
  <si>
    <t>Guinda; Manzanita Costeña; Pistacho</t>
  </si>
  <si>
    <t>Zygia longifolia</t>
  </si>
  <si>
    <t>Suribio; Chíparo; Achil; Payandé; Playero</t>
  </si>
  <si>
    <t>Zygia</t>
  </si>
  <si>
    <t>No determinado</t>
  </si>
  <si>
    <t>Achyranthes aspera</t>
  </si>
  <si>
    <t>Cadillo Africano</t>
  </si>
  <si>
    <t>Achyranthes</t>
  </si>
  <si>
    <t>Kleinhovia hospita</t>
  </si>
  <si>
    <t>Tanag de Filipinas</t>
  </si>
  <si>
    <t>Kleinhovia</t>
  </si>
  <si>
    <t>Lippia alba</t>
  </si>
  <si>
    <t>Pronto Alibio; Sanalotodo</t>
  </si>
  <si>
    <t>Lippia</t>
  </si>
  <si>
    <t>Galanthus nivalis</t>
  </si>
  <si>
    <t>Campanilla de Invierno; Perforanieves; Galanto</t>
  </si>
  <si>
    <t>Amaryllidaceae</t>
  </si>
  <si>
    <t>Galanthus</t>
  </si>
  <si>
    <t>Mentha spicata</t>
  </si>
  <si>
    <t>Hierba Buena</t>
  </si>
  <si>
    <t>Mentha</t>
  </si>
  <si>
    <t>Amaranthus paniculatus var. Cruentus (L)</t>
  </si>
  <si>
    <t>Achita; Amaranto</t>
  </si>
  <si>
    <t>Amaranthus</t>
  </si>
  <si>
    <t>Ailanthus altissima</t>
  </si>
  <si>
    <t>Árbol del Cielo</t>
  </si>
  <si>
    <t>Ailanthus</t>
  </si>
  <si>
    <t>Paulina Mesa</t>
  </si>
  <si>
    <t>Rionegro</t>
  </si>
  <si>
    <t>Abatia parviflora</t>
  </si>
  <si>
    <t>Duraznillo; Chirlobirlo; Sacaojos Colorado</t>
  </si>
  <si>
    <t>Abatia</t>
  </si>
  <si>
    <t>Annona sp</t>
  </si>
  <si>
    <t>Anón</t>
  </si>
  <si>
    <t>No definido</t>
  </si>
  <si>
    <t>Sólo se identifica la familia</t>
  </si>
  <si>
    <t>Baccharis sp</t>
  </si>
  <si>
    <t>Chilco</t>
  </si>
  <si>
    <t>Bambusa sp</t>
  </si>
  <si>
    <t>Bambú</t>
  </si>
  <si>
    <t>Bejaria aestuans</t>
  </si>
  <si>
    <t>Carbonero de Monte; Pegamosco</t>
  </si>
  <si>
    <t>Bejaria</t>
  </si>
  <si>
    <t>Bocconia frutescens</t>
  </si>
  <si>
    <t>Trompeto; Curador</t>
  </si>
  <si>
    <t>Bougainvillea sp</t>
  </si>
  <si>
    <t>Veranera; Curazao</t>
  </si>
  <si>
    <t>Bougainvillea spectabilis</t>
  </si>
  <si>
    <t>Brugmansia candida</t>
  </si>
  <si>
    <t>Borrachero; Borrachero Blanco</t>
  </si>
  <si>
    <t>Brunellia sp</t>
  </si>
  <si>
    <t>Brunelliaceae</t>
  </si>
  <si>
    <t>Brunellia</t>
  </si>
  <si>
    <t>Brunfelsia australis</t>
  </si>
  <si>
    <t>Francesino; Jazmín de Malabar</t>
  </si>
  <si>
    <t>Cassia sp</t>
  </si>
  <si>
    <t>Cañafístula; Acacia</t>
  </si>
  <si>
    <t>Citrus limon</t>
  </si>
  <si>
    <t>Limón; Limón Dulce</t>
  </si>
  <si>
    <t>Clethra fagifolia</t>
  </si>
  <si>
    <t>Chiriguaco; Cargagua; Ahuyamo</t>
  </si>
  <si>
    <t>Clusia ducuoides</t>
  </si>
  <si>
    <t>Chagualo; Chagualito</t>
  </si>
  <si>
    <t>Clusia trochiformis</t>
  </si>
  <si>
    <t>Coffea sp</t>
  </si>
  <si>
    <t>Café; Cafeto</t>
  </si>
  <si>
    <t>Crotalaria micans</t>
  </si>
  <si>
    <t>Cascabelito; Guache; Chucho</t>
  </si>
  <si>
    <t>Crotalaria</t>
  </si>
  <si>
    <t>Cupressus macrocarpa</t>
  </si>
  <si>
    <t>Ciprés; Pino; Pino Limon</t>
  </si>
  <si>
    <t>Cycas sp</t>
  </si>
  <si>
    <t>Palma Cica; Cyca; Cica; Palma de Sagú</t>
  </si>
  <si>
    <t>Daphnopsis caracasana</t>
  </si>
  <si>
    <t>Guasco; Granado; Mote</t>
  </si>
  <si>
    <t>Thymelaeaceae</t>
  </si>
  <si>
    <t>Daphnopsis</t>
  </si>
  <si>
    <t>Dombeya cayeuxii</t>
  </si>
  <si>
    <t>Drimys granadensis</t>
  </si>
  <si>
    <t>Canelo de Páramo; Ají de Páramo; Canelo</t>
  </si>
  <si>
    <t>Winteraceae</t>
  </si>
  <si>
    <t>Drimys</t>
  </si>
  <si>
    <t>Erythrina costaricensis</t>
  </si>
  <si>
    <t>Chocho; Gachingo; Secó</t>
  </si>
  <si>
    <t>Escallonia paniculata</t>
  </si>
  <si>
    <t>Chilco Colorado; Chilco; Carbón; Tíbar</t>
  </si>
  <si>
    <t>Eugenia sp</t>
  </si>
  <si>
    <t>Eugenia; Grosello</t>
  </si>
  <si>
    <t>4-12</t>
  </si>
  <si>
    <t>Ficus cyathistipula</t>
  </si>
  <si>
    <t>Ficus Bomba</t>
  </si>
  <si>
    <t>Caucho; Higuerón</t>
  </si>
  <si>
    <t>Cerezo de Monte</t>
  </si>
  <si>
    <t>Fucraea sp</t>
  </si>
  <si>
    <t>Fique</t>
  </si>
  <si>
    <t>Furcraea andina</t>
  </si>
  <si>
    <t>Fique; Cabuya; Maguey</t>
  </si>
  <si>
    <t>Geissanthus kalbreyeri</t>
  </si>
  <si>
    <t>Colorado; Cucharo</t>
  </si>
  <si>
    <t>Caunce; Floramarillo</t>
  </si>
  <si>
    <t>Cargadero; Cargadera; Garrapato</t>
  </si>
  <si>
    <t>Lechero</t>
  </si>
  <si>
    <t>Balso Blanco; Balso; Pestaña de Mula</t>
  </si>
  <si>
    <t>Hieronyma antioquensis</t>
  </si>
  <si>
    <t>Candelo; Motilon</t>
  </si>
  <si>
    <t>Ilex danielis</t>
  </si>
  <si>
    <t>Ilex laurina</t>
  </si>
  <si>
    <t>Cardenillo; Piedro; Algodón</t>
  </si>
  <si>
    <t>Inga capitata</t>
  </si>
  <si>
    <t>Guamo; Churimo; Barbasco</t>
  </si>
  <si>
    <t>Inga punctata</t>
  </si>
  <si>
    <t>Guamo; Guama; Guabo; Churimo de Orilla;</t>
  </si>
  <si>
    <t>Inga marginata</t>
  </si>
  <si>
    <t>Guamo Churimo; Guamo; Guamo Cazamuelas; Brijolito</t>
  </si>
  <si>
    <t>Juniperus sp</t>
  </si>
  <si>
    <t>Juniperus squamata</t>
  </si>
  <si>
    <t>Enebro azul; Ciprés Azul; Juníspero</t>
  </si>
  <si>
    <t>Leucaena sp</t>
  </si>
  <si>
    <t>Leucaena; Acacia Blanca; Panelo; Carbonero Blanco</t>
  </si>
  <si>
    <t>Magnolia polyhypsophylla</t>
  </si>
  <si>
    <t>Almanegra; Bolenillo</t>
  </si>
  <si>
    <t>Matayba elegans </t>
  </si>
  <si>
    <t>Guacharaco; Patepaujil; Joropo; Bálsamo</t>
  </si>
  <si>
    <t>Mauria heterophylla</t>
  </si>
  <si>
    <t>Sarno; Manguito; Caspi; Palo de Sarno</t>
  </si>
  <si>
    <t>Miconia sp</t>
  </si>
  <si>
    <t>Niguito; Esmeraldo; Tuno; Mortiño</t>
  </si>
  <si>
    <t>Melissa officinalis</t>
  </si>
  <si>
    <t>Toronjil</t>
  </si>
  <si>
    <t>Melissa</t>
  </si>
  <si>
    <t>Miconia lehmannii </t>
  </si>
  <si>
    <t>Niguito; Morochillo; Mortiño; Granizo</t>
  </si>
  <si>
    <t>Monnina solandrifolia</t>
  </si>
  <si>
    <t>Rúchica</t>
  </si>
  <si>
    <t>Polygalaceae</t>
  </si>
  <si>
    <t>Monnina</t>
  </si>
  <si>
    <t>Monnina speciosa</t>
  </si>
  <si>
    <t>Monina</t>
  </si>
  <si>
    <t>Morus alba</t>
  </si>
  <si>
    <t>Morera; Mora</t>
  </si>
  <si>
    <t>Myrcianthes leucoxyla</t>
  </si>
  <si>
    <t>Arrayán Grande; Arrayán; Guayabito; Guayabito Liso</t>
  </si>
  <si>
    <t>Myrcianthes rhopaloides</t>
  </si>
  <si>
    <t>Arrayán Negro; Almanegra; Chiso; Chisa</t>
  </si>
  <si>
    <t>Myrsine sp</t>
  </si>
  <si>
    <t>Cucharo; Espadero; Cucharo Blanco; Chagualo; Garrocho</t>
  </si>
  <si>
    <t>Nectandra reticulata</t>
  </si>
  <si>
    <t>Jigua Laurel; Guacharaco; Laurel; Jigua Negro; Laurel Amarillo</t>
  </si>
  <si>
    <t>Nectandra laurel</t>
  </si>
  <si>
    <t>Laurel; Amargo; Laurel Amarillo; Laurel Llanero</t>
  </si>
  <si>
    <t>Oreopanax bogotensis</t>
  </si>
  <si>
    <t>Mano de Oso; Amarillo; Higuerón; Higuerillo</t>
  </si>
  <si>
    <t>Oreopanax incisus</t>
  </si>
  <si>
    <t>Mano de Oso; Guache; Candelero; Pata de Gallina</t>
  </si>
  <si>
    <t>Pinus maximinoi</t>
  </si>
  <si>
    <t>Pino Maximinoi</t>
  </si>
  <si>
    <t>Rosmarinus officinalis</t>
  </si>
  <si>
    <t>Romero; Romero Común</t>
  </si>
  <si>
    <t>Rosmarinus</t>
  </si>
  <si>
    <t>Pinus sp</t>
  </si>
  <si>
    <t>Pino</t>
  </si>
  <si>
    <t>Roupala monosperma</t>
  </si>
  <si>
    <t>Carnefiambre; Jigracaspi; Azufre; Carafiambre; Carneasao; Fiambre</t>
  </si>
  <si>
    <t>Roupala</t>
  </si>
  <si>
    <t>Piptocoma discolor </t>
  </si>
  <si>
    <t>Gallinazo; Cenizo; Cacique</t>
  </si>
  <si>
    <t>Piptocoma</t>
  </si>
  <si>
    <t>Prunus muris </t>
  </si>
  <si>
    <t>Ciruelo; Ciruela</t>
  </si>
  <si>
    <t>Pyracantha angustifolia</t>
  </si>
  <si>
    <t>Piracanto; Coralito</t>
  </si>
  <si>
    <t>Pyracantha sp,</t>
  </si>
  <si>
    <t>Coralito; Holly; Mortiño</t>
  </si>
  <si>
    <t>Turpinia occidentalis</t>
  </si>
  <si>
    <t>Mantequillo; Almendro</t>
  </si>
  <si>
    <t>Staphyleaceae</t>
  </si>
  <si>
    <t>Turpinia</t>
  </si>
  <si>
    <t>Terminalia sp</t>
  </si>
  <si>
    <t>Terminalia; Almendro</t>
  </si>
  <si>
    <t>Tournefortia fuliginosa</t>
  </si>
  <si>
    <t>Verdenegro; Guásimo</t>
  </si>
  <si>
    <t>Tournefortia</t>
  </si>
  <si>
    <t>Tournefortia scabrida</t>
  </si>
  <si>
    <t>Guácimo Blanco</t>
  </si>
  <si>
    <t>Salacia sp</t>
  </si>
  <si>
    <t>Cabuyo</t>
  </si>
  <si>
    <t>Salacia</t>
  </si>
  <si>
    <t>Tournefortia sp</t>
  </si>
  <si>
    <t>Guasco</t>
  </si>
  <si>
    <t>Vasconcellea pubescens </t>
  </si>
  <si>
    <t>Papayuela; Papayuelo</t>
  </si>
  <si>
    <t>Sapium stylare</t>
  </si>
  <si>
    <t>Lechero; Caucho; Murillo; Mantequilla; Mantequillo; Lechudo</t>
  </si>
  <si>
    <t>Verbesina nudipes</t>
  </si>
  <si>
    <t>Yesco; Camargo</t>
  </si>
  <si>
    <t>Saurauia ursina</t>
  </si>
  <si>
    <t>Dulumoco; Lulumoco; Dulomoco; Moco; Moquillo; Aguanoso</t>
  </si>
  <si>
    <t>Schefflera sp</t>
  </si>
  <si>
    <t>Cheflera; Yuco</t>
  </si>
  <si>
    <t>Viburnum undulatum</t>
  </si>
  <si>
    <t>Sauco de Monte; Pitá</t>
  </si>
  <si>
    <t>Vitellaria paradoxa</t>
  </si>
  <si>
    <t>Karité</t>
  </si>
  <si>
    <t>Vitellaria</t>
  </si>
  <si>
    <t>Xylosma spiculifera</t>
  </si>
  <si>
    <t>Corono; Puyón; Aguja de Arria; Tachuelo; Cacho de Venado; Espino</t>
  </si>
  <si>
    <t>Xylosma</t>
  </si>
  <si>
    <t>Phyllostachys aurea</t>
  </si>
  <si>
    <t>Guaudilla; Bambú</t>
  </si>
  <si>
    <t>Phyllostachys</t>
  </si>
  <si>
    <t>Furcraea selloa</t>
  </si>
  <si>
    <t>Fique Rayado; Maguey</t>
  </si>
  <si>
    <t>Furcraea</t>
  </si>
  <si>
    <t>Syzygium paniculatum</t>
  </si>
  <si>
    <t>Eugenia; Eugenio</t>
  </si>
  <si>
    <t>Amyris pinnata</t>
  </si>
  <si>
    <t>Marfil; Chaquiro Marfil</t>
  </si>
  <si>
    <t>Amyris</t>
  </si>
  <si>
    <t>Baccharis trinervis</t>
  </si>
  <si>
    <t>Chilca; Chilco; Muchacho</t>
  </si>
  <si>
    <t>Beaucarnea pliabilis</t>
  </si>
  <si>
    <t>Despeinada</t>
  </si>
  <si>
    <t>Brunfelsia americana</t>
  </si>
  <si>
    <t>Aguacero</t>
  </si>
  <si>
    <t>Cascabela thevetia</t>
  </si>
  <si>
    <t>Covalonga; Cobalonga</t>
  </si>
  <si>
    <t>Cassia leptophylla</t>
  </si>
  <si>
    <t>Medallón de Oro</t>
  </si>
  <si>
    <t>fabaceae</t>
  </si>
  <si>
    <t>Cenostigma eriostachys</t>
  </si>
  <si>
    <t>Casiguano</t>
  </si>
  <si>
    <t>Cenostigma</t>
  </si>
  <si>
    <t>Cordia nodosa</t>
  </si>
  <si>
    <t>Turmetoro; Turmemono; Babasaino</t>
  </si>
  <si>
    <t>Croton flavens</t>
  </si>
  <si>
    <t>Croton; Drago</t>
  </si>
  <si>
    <t>Dracaena draco</t>
  </si>
  <si>
    <t>Draco de Canarias</t>
  </si>
  <si>
    <t>Ficus lutea</t>
  </si>
  <si>
    <t>Higo de Hojas Gigantes</t>
  </si>
  <si>
    <t>Malpighia emarginata</t>
  </si>
  <si>
    <t>Grocello; Huesito</t>
  </si>
  <si>
    <t>Nectandra hihua</t>
  </si>
  <si>
    <t>Laurel Baboso</t>
  </si>
  <si>
    <t>Paliurus spina-christi</t>
  </si>
  <si>
    <t>Espina Santa</t>
  </si>
  <si>
    <t>Paliurus</t>
  </si>
  <si>
    <t>Pterocarpus indicus</t>
  </si>
  <si>
    <t>Amboyna</t>
  </si>
  <si>
    <t>Garcia nutans</t>
  </si>
  <si>
    <t>Avellano</t>
  </si>
  <si>
    <t>Garcia</t>
  </si>
  <si>
    <t>Jasminum grandiflorum</t>
  </si>
  <si>
    <t>Jazmín Español</t>
  </si>
  <si>
    <t>Leucophyllum frutescens</t>
  </si>
  <si>
    <t>Cenizo</t>
  </si>
  <si>
    <t>Leucophyllum</t>
  </si>
  <si>
    <t>Morus indica</t>
  </si>
  <si>
    <t>Falsa Morera Asiática</t>
  </si>
  <si>
    <t>Morus rubra</t>
  </si>
  <si>
    <t>Morera Roja</t>
  </si>
  <si>
    <t>Odontonema cuspidatum</t>
  </si>
  <si>
    <t>Coral de Jardín</t>
  </si>
  <si>
    <t>Odontonema</t>
  </si>
  <si>
    <t>Passiflora edulis</t>
  </si>
  <si>
    <t>Maracuyá</t>
  </si>
  <si>
    <t>Trema tomentosum</t>
  </si>
  <si>
    <t>Guamilla</t>
  </si>
  <si>
    <t>Vesalea grandifolia</t>
  </si>
  <si>
    <t>Abelia; Villareal</t>
  </si>
  <si>
    <t>Caprifoliaceae</t>
  </si>
  <si>
    <t>Vesalea</t>
  </si>
  <si>
    <t>Citrus japonica</t>
  </si>
  <si>
    <t>Calamondin</t>
  </si>
  <si>
    <t>Cryptostegia madagascariensis</t>
  </si>
  <si>
    <t>Flor de Estrella</t>
  </si>
  <si>
    <t>Cryptostegia</t>
  </si>
  <si>
    <t>Ficus maxima</t>
  </si>
  <si>
    <t>Álamo</t>
  </si>
  <si>
    <t>Guaiacum sanctum</t>
  </si>
  <si>
    <t>Guayacán; Palo Santo</t>
  </si>
  <si>
    <t>Majidea zanguebarica</t>
  </si>
  <si>
    <t>Perla Negra</t>
  </si>
  <si>
    <t>Majidea</t>
  </si>
  <si>
    <t>Myrcia splendens</t>
  </si>
  <si>
    <t>Olea europaea</t>
  </si>
  <si>
    <t>Olivo</t>
  </si>
  <si>
    <t>Olea</t>
  </si>
  <si>
    <t>Philodendron erubescens</t>
  </si>
  <si>
    <t>Lengua de Suegra</t>
  </si>
  <si>
    <t>Rosa damascena</t>
  </si>
  <si>
    <t>Tabebuia roseoalba</t>
  </si>
  <si>
    <t>Guayacán Blanco</t>
  </si>
  <si>
    <t>Varronia polycephala</t>
  </si>
  <si>
    <t>Varronia</t>
  </si>
  <si>
    <t>Vitex agnus-castus</t>
  </si>
  <si>
    <t>Sauzgatillo</t>
  </si>
  <si>
    <t>Koelreuteria bipinnata</t>
  </si>
  <si>
    <t>Zygia sp</t>
  </si>
  <si>
    <t>Suribio</t>
  </si>
  <si>
    <t>Acacia sp</t>
  </si>
  <si>
    <t>6-30</t>
  </si>
  <si>
    <t>Cecropia sp</t>
  </si>
  <si>
    <t>Yarumo</t>
  </si>
  <si>
    <t>Syzygium myrtifolium</t>
  </si>
  <si>
    <t>Labio Rojo; Aceite de Kelat</t>
  </si>
  <si>
    <t>Baccharis oblongifolia</t>
  </si>
  <si>
    <t>Euphorbia sp</t>
  </si>
  <si>
    <t>Euforbia</t>
  </si>
  <si>
    <t>Hibiscus tiliaceus</t>
  </si>
  <si>
    <t>Hibisco Afroasiático Marítimo</t>
  </si>
  <si>
    <t>Rosa banksiae</t>
  </si>
  <si>
    <t>Cephalotaxus harringtonii</t>
  </si>
  <si>
    <t>Tejo</t>
  </si>
  <si>
    <t>Cephalotaxaceae</t>
  </si>
  <si>
    <t>Cephalotaxus</t>
  </si>
  <si>
    <t>Verbena tweedieana</t>
  </si>
  <si>
    <t>Cola de Alacrán</t>
  </si>
  <si>
    <t>Verbena</t>
  </si>
  <si>
    <t>Jasminum sambac</t>
  </si>
  <si>
    <t>Jazmín Estrellado; Jazmín de Arabia</t>
  </si>
  <si>
    <t>Acacia retinodes</t>
  </si>
  <si>
    <t>Acacia Amarilla; Acacia</t>
  </si>
  <si>
    <t>Cinnamomum camphora</t>
  </si>
  <si>
    <t>Canelo; Canela Criolla; Canela de Monte</t>
  </si>
  <si>
    <t>Manual de Reforestación con especies Nativas. Instituto Nacional de Innovación y Transferencia en Tecnología agropecuaria de Costa Rica</t>
  </si>
  <si>
    <t>Tephrosia vogelii</t>
  </si>
  <si>
    <t>Barbasco; Frijol Pezguero; Pezguero</t>
  </si>
  <si>
    <t>Varronia curassavica</t>
  </si>
  <si>
    <t>Totumo de Playa; Totumillo</t>
  </si>
  <si>
    <t>Gymnanthemum amygdalinum</t>
  </si>
  <si>
    <t>Hoja Amarga; Vernonia Amarga</t>
  </si>
  <si>
    <t>Combretum indicum</t>
  </si>
  <si>
    <t>Jazmín de la India; Quisqualis; Flor de San Diego</t>
  </si>
  <si>
    <t>Syngonium auritum</t>
  </si>
  <si>
    <t>Pico de loro; Garrobo; Bejuco de Oreja</t>
  </si>
  <si>
    <t>Myosotis sp</t>
  </si>
  <si>
    <t>No me Olvides</t>
  </si>
  <si>
    <t>Theobroma speciosum</t>
  </si>
  <si>
    <t>Cacao silvestre; Cacao de Monte</t>
  </si>
  <si>
    <t>Vitex trifolia</t>
  </si>
  <si>
    <t>Aceituno; Palo de Arco</t>
  </si>
  <si>
    <t>Araucaria columnaris</t>
  </si>
  <si>
    <t>Araucaria columnar; pino de Nueva Caledonia</t>
  </si>
  <si>
    <t>Calliandra purdiei</t>
  </si>
  <si>
    <t>Florito; Carbonero</t>
  </si>
  <si>
    <t>Árbusto</t>
  </si>
  <si>
    <t>Casearia arguta</t>
  </si>
  <si>
    <t>Cassia leiandra</t>
  </si>
  <si>
    <t>Mari-Mari; Caña fistula</t>
  </si>
  <si>
    <t>Dilodendron bipinnatum</t>
  </si>
  <si>
    <t>Guaba; Guaba de monte</t>
  </si>
  <si>
    <t>Dipteryx odorata</t>
  </si>
  <si>
    <t>Cumaru; Teca brasileña</t>
  </si>
  <si>
    <t>Dipteryx rosea</t>
  </si>
  <si>
    <t>Charapilla; Cumaru</t>
  </si>
  <si>
    <t>Ficus pallida</t>
  </si>
  <si>
    <t>Matapalo; Higo; Caucho; Higuito</t>
  </si>
  <si>
    <t>Fraxinus excelsior</t>
  </si>
  <si>
    <t>Fresno; Fresno norteño</t>
  </si>
  <si>
    <t>Murraya exotica</t>
  </si>
  <si>
    <t>Mirto; Jazmín; Naranja común</t>
  </si>
  <si>
    <t>Myrciaria vexator</t>
  </si>
  <si>
    <t>Guayabo negro; Falsa jaboticaba</t>
  </si>
  <si>
    <t>Decaspermum blancoi</t>
  </si>
  <si>
    <t>Mirto</t>
  </si>
  <si>
    <t>Persea schiedeana</t>
  </si>
  <si>
    <t>Pahuate; Aguacatillo</t>
  </si>
  <si>
    <t>Pinus radiata</t>
  </si>
  <si>
    <t>Pino De Monterrey</t>
  </si>
  <si>
    <t>Posoqueria sapida</t>
  </si>
  <si>
    <t>Guáimbé; Jazmín de embarcadero</t>
  </si>
  <si>
    <t>Pseudobombax munguba</t>
  </si>
  <si>
    <t>Invira; Munguba, Árbol de algodón</t>
  </si>
  <si>
    <t>Vochysia ferruginea</t>
  </si>
  <si>
    <t>Arracacho; Botarrama; Areno colorado</t>
  </si>
  <si>
    <t>Roupala montana</t>
  </si>
  <si>
    <t>Palo de zorrillo</t>
  </si>
  <si>
    <t>Gomphocarpus physocarpus</t>
  </si>
  <si>
    <t>Chayote de Aire</t>
  </si>
  <si>
    <t>Lawsonia inermis</t>
  </si>
  <si>
    <t>Jazmín; Mielito; Resedad</t>
  </si>
  <si>
    <t>Melaleuca viminalis</t>
  </si>
  <si>
    <t>Calistemo llorón</t>
  </si>
  <si>
    <t>Rauvolfia tetraphylla</t>
  </si>
  <si>
    <t>Cerecillo; Fruta de pava; Pepa de culebra</t>
  </si>
  <si>
    <t>Phoradendron quadrangulare</t>
  </si>
  <si>
    <t>Pajarito; Sueldaconsuelda; Matapalos</t>
  </si>
  <si>
    <t>Gleditsia triacanthos</t>
  </si>
  <si>
    <t>Acacia de tres espinas; Acacia de espinas</t>
  </si>
  <si>
    <t>Pterocarpus officinalis</t>
  </si>
  <si>
    <t>Bambudo; Corcho; Fruta sábalo; Suela</t>
  </si>
  <si>
    <t>Cordia panamensis</t>
  </si>
  <si>
    <t>Muñeco blanco; Cunula; Guácimo peludo</t>
  </si>
  <si>
    <t>Cordiaceae</t>
  </si>
  <si>
    <t>Laguncularia racemosa</t>
  </si>
  <si>
    <t>Mangle blanco; Mangle bobo; Mangle salado</t>
  </si>
  <si>
    <t>Avicennia germinans</t>
  </si>
  <si>
    <t>Mangle; Mangle blanco; Mangle negro; Iguanero</t>
  </si>
  <si>
    <t xml:space="preserve"> Rhizophora mangle</t>
  </si>
  <si>
    <t>Mangle; Mangle piñón; Mangle rojo</t>
  </si>
  <si>
    <t>Rhizophoraceae</t>
  </si>
  <si>
    <t>Adansonia digitata</t>
  </si>
  <si>
    <t>No se encuentra especie en colombia</t>
  </si>
  <si>
    <t>Zanthoxylum fagara</t>
  </si>
  <si>
    <t>Tachuelo; Uña de gato</t>
  </si>
  <si>
    <t># Eliminados</t>
  </si>
  <si>
    <t>Motivo</t>
  </si>
  <si>
    <t>Nuevos #</t>
  </si>
  <si>
    <t>Acacia amarilla</t>
  </si>
  <si>
    <t>cambio por</t>
  </si>
  <si>
    <t>Cordyline Terminalis</t>
  </si>
  <si>
    <t>eliminado x duplicación</t>
  </si>
  <si>
    <t>citrus x limon</t>
  </si>
  <si>
    <t>cambiado por</t>
  </si>
  <si>
    <t>Callistemon speciosus</t>
  </si>
  <si>
    <t>Cambio por</t>
  </si>
  <si>
    <t xml:space="preserve">Familia </t>
  </si>
  <si>
    <t>Duraznillo; Chirlobirlo; Sacaojos colorado</t>
  </si>
  <si>
    <t>Annona sp.</t>
  </si>
  <si>
    <t>Araucaria; Araucaria real</t>
  </si>
  <si>
    <t>Baccharis sp.</t>
  </si>
  <si>
    <t>Bambusa sp.</t>
  </si>
  <si>
    <t>Carbonero de monte; Pegamosco</t>
  </si>
  <si>
    <t>Bougainvillea sp.</t>
  </si>
  <si>
    <t>Borrachero; Borrachero blanco</t>
  </si>
  <si>
    <t>Brunellia sp.</t>
  </si>
  <si>
    <t>Caesalpinia pluviosa</t>
  </si>
  <si>
    <t>Escobillón rojo</t>
  </si>
  <si>
    <t>Mango matasano</t>
  </si>
  <si>
    <t>Cassia sp.</t>
  </si>
  <si>
    <t xml:space="preserve">	Limón; Limón dulce</t>
  </si>
  <si>
    <t>Toronja; Toronjo; Pomelo; Pamplemusa</t>
  </si>
  <si>
    <t>Coffea sp.</t>
  </si>
  <si>
    <t>Ciprés; Pino; Pino limon</t>
  </si>
  <si>
    <t>Cycas sp.</t>
  </si>
  <si>
    <t>Palma cica; Cyca; Cica; Palma de sagú</t>
  </si>
  <si>
    <t>Canelo de páramo; Ají de páramo; Canelo</t>
  </si>
  <si>
    <t>Adonis; Totocal; Totocá; Espino</t>
  </si>
  <si>
    <t>Duranta sp.</t>
  </si>
  <si>
    <t>Chilco colorado; Chilco; Carbón; Tíbar</t>
  </si>
  <si>
    <t>Eugenia sp.</t>
  </si>
  <si>
    <t>Ficus bomba</t>
  </si>
  <si>
    <t>Ficus brevibracteata</t>
  </si>
  <si>
    <t>Freziera sp.</t>
  </si>
  <si>
    <t>Cerezo de monte</t>
  </si>
  <si>
    <t>Pentaphylacaceae</t>
  </si>
  <si>
    <t>Furcraea sp.</t>
  </si>
  <si>
    <t>Geissanthus kalbreyeri </t>
  </si>
  <si>
    <t>Myrsinaceae</t>
  </si>
  <si>
    <t>Godoya antioquiensis</t>
  </si>
  <si>
    <t>Guatteria goudotiana</t>
  </si>
  <si>
    <t>Helicostylis tovarensis</t>
  </si>
  <si>
    <t>Balso blanco; Balso; Pestaña de mula</t>
  </si>
  <si>
    <t>Heliocarpus sp.</t>
  </si>
  <si>
    <t xml:space="preserve">Guamo; Guama; Guabo; Churimo de orilla, </t>
  </si>
  <si>
    <t>Guamo churimo; Guamo; Guamo cazamuelas; Brijolito</t>
  </si>
  <si>
    <t>Juniperus sp.</t>
  </si>
  <si>
    <t>Pino azul</t>
  </si>
  <si>
    <t>Pino San Jose</t>
  </si>
  <si>
    <t>Leucaena sp.</t>
  </si>
  <si>
    <t>Leucaena; Acacia blanca; Panelo; Carbonero Blanco</t>
  </si>
  <si>
    <t>Sarno; Manguito; Caspi; Palo de sarno</t>
  </si>
  <si>
    <t>Miconia  sp.</t>
  </si>
  <si>
    <t>Mortiño blanco; Mortiño; Florentino; Huesito</t>
  </si>
  <si>
    <t>Arrayán grande; Arrayán; Guayabito; Guayabito liso</t>
  </si>
  <si>
    <t xml:space="preserve">	Myrtaceae</t>
  </si>
  <si>
    <t>Arrayán negro; Almanegra; Chiso; Chisa</t>
  </si>
  <si>
    <t>Myrsine sp.</t>
  </si>
  <si>
    <t>Jigua laurel; Guacharaco; Laurel; Jigua negro; Laurel amarillo</t>
  </si>
  <si>
    <t>Laurel; Amargo; Laurel amarillo; Laurel llanero</t>
  </si>
  <si>
    <t>Mano de oso; Amarillo; Higuerón, Higuerillo</t>
  </si>
  <si>
    <t>Mano de oso; Guache; Candelero; Pata de gallina</t>
  </si>
  <si>
    <t>Datilera de las canarias; Palma de dátil de las canarias; Palma fénix</t>
  </si>
  <si>
    <t>Pino ocarpa; Ocote chino; Pino</t>
  </si>
  <si>
    <t>Pino maximinoi</t>
  </si>
  <si>
    <t>Pinus sp.</t>
  </si>
  <si>
    <t>Guayaba argelina; Guayaba peruana; Guayabito agrio</t>
  </si>
  <si>
    <t>Laurel huesito; Galán de noche; Jazmín del cabo</t>
  </si>
  <si>
    <t>Chirimoyo; Chirimoya; Anón de monte; Chirimoya de monte</t>
  </si>
  <si>
    <t>Cabo de hacha</t>
  </si>
  <si>
    <t>Romero; Romero común</t>
  </si>
  <si>
    <t>Salacia sp.</t>
  </si>
  <si>
    <t>Lechero; Caucho; Murillo, Mantequilla, Mantequillo; Lechudo</t>
  </si>
  <si>
    <t>Schefflera sp.</t>
  </si>
  <si>
    <t>Falso pimiento; Pimiento; Terebinto; Pimineto negro</t>
  </si>
  <si>
    <t>Sacalaestaca; Sacaestaca; Friegaplatos, Limpiaplato; Mancatigre</t>
  </si>
  <si>
    <t>Terminalia sp.</t>
  </si>
  <si>
    <t>Tuya; Pino libro; Pino tuya</t>
  </si>
  <si>
    <t>Guácimo blanco</t>
  </si>
  <si>
    <t>Tournefortia sp.</t>
  </si>
  <si>
    <t xml:space="preserve">Guasco </t>
  </si>
  <si>
    <t>Viburnum sp.</t>
  </si>
  <si>
    <t>Adoxaceae</t>
  </si>
  <si>
    <t>Sauco de monte; Pitá</t>
  </si>
  <si>
    <t>Carate; Punta de lanza; Puntalanza; Puntelanza</t>
  </si>
  <si>
    <t>Corono; Puyón; Aguja de arria; Tachuelo; Cacho de venado; Espino</t>
  </si>
  <si>
    <t>Inga sp.</t>
  </si>
  <si>
    <t>Citrus x limon</t>
  </si>
  <si>
    <t>Myrcia sp.</t>
  </si>
  <si>
    <t>Piper sp.</t>
  </si>
  <si>
    <t>Clusia sp.</t>
  </si>
  <si>
    <t>Ficus sp.</t>
  </si>
  <si>
    <t>Thuja orientalis</t>
  </si>
  <si>
    <t>Citrus spp.</t>
  </si>
  <si>
    <t>Heliocarpus popayanensis</t>
  </si>
  <si>
    <t>Cordia sp.</t>
  </si>
  <si>
    <t>Myrcianthes sp.</t>
  </si>
  <si>
    <t>Miconia sp.</t>
  </si>
  <si>
    <t>Dracaena sp.</t>
  </si>
  <si>
    <t>Nectandra sp.</t>
  </si>
  <si>
    <t>Solanum sp.</t>
  </si>
  <si>
    <t>Eucalyptus sp.</t>
  </si>
  <si>
    <t>Citrus sp.</t>
  </si>
  <si>
    <t>Syzygium sp.</t>
  </si>
  <si>
    <t>Pouteria sp.</t>
  </si>
  <si>
    <t>Casimiroa sapota Oerst.</t>
  </si>
  <si>
    <t>Dracaena reflexa angustifolia</t>
  </si>
  <si>
    <t>Sapium sp.</t>
  </si>
  <si>
    <t>Hibiscus sp.</t>
  </si>
  <si>
    <t>Persea sp.</t>
  </si>
  <si>
    <t>Pittosporum sp.</t>
  </si>
  <si>
    <t>lafoensia sp.</t>
  </si>
  <si>
    <t>Citharexylum sp.</t>
  </si>
  <si>
    <t>Psidium sp.</t>
  </si>
  <si>
    <t>Oreopanax sp.</t>
  </si>
  <si>
    <t>Senna sp.</t>
  </si>
  <si>
    <t>Calliandra sp.</t>
  </si>
  <si>
    <t xml:space="preserve">Feijoa sellowiana </t>
  </si>
  <si>
    <t>Brugmansia sp.</t>
  </si>
  <si>
    <t>Camelia Japonesa</t>
  </si>
  <si>
    <t>Alchornea sp.</t>
  </si>
  <si>
    <t>Zygia sp.</t>
  </si>
  <si>
    <t>Aegiphila sp.</t>
  </si>
  <si>
    <t>Cycas revoluta Thunb.</t>
  </si>
  <si>
    <t>Acacia sp.</t>
  </si>
  <si>
    <t>Aniba sp.</t>
  </si>
  <si>
    <t>Magnolia sp.</t>
  </si>
  <si>
    <t>Erythrina sp.</t>
  </si>
  <si>
    <t>Morus sp.</t>
  </si>
  <si>
    <t>Cycas revoluta</t>
  </si>
  <si>
    <t>Cecropia sp.</t>
  </si>
  <si>
    <t>Acnistus arborescens</t>
  </si>
  <si>
    <t xml:space="preserve">Calliandra tweedii </t>
  </si>
  <si>
    <t>Podocarpus sp.</t>
  </si>
  <si>
    <t>Cyathea sp.</t>
  </si>
  <si>
    <t>Clethra sp.</t>
  </si>
  <si>
    <t>Cyca sp.</t>
  </si>
  <si>
    <t>Guatteria sp.</t>
  </si>
  <si>
    <t>Delostoma roseum</t>
  </si>
  <si>
    <t>Asparagus sp.</t>
  </si>
  <si>
    <t>Baccharis brachylaenoides</t>
  </si>
  <si>
    <t>Ceiba sp.</t>
  </si>
  <si>
    <t>Ilex sp.</t>
  </si>
  <si>
    <t xml:space="preserve">Ficus sur </t>
  </si>
  <si>
    <t>Palicourea sp.</t>
  </si>
  <si>
    <t>Amaranthus cruentus L.</t>
  </si>
  <si>
    <t>Ligustrum sp.</t>
  </si>
  <si>
    <t>Fuchsia sp.</t>
  </si>
  <si>
    <t>Euphorbia sp.</t>
  </si>
  <si>
    <t>Cedrela sp.</t>
  </si>
  <si>
    <t>Brownea sp.</t>
  </si>
  <si>
    <t>Tabebuia sp.</t>
  </si>
  <si>
    <t>Cupania cinerea Poepp.</t>
  </si>
  <si>
    <t>Tabernaemontana sp.</t>
  </si>
  <si>
    <t>Saurauia sp.</t>
  </si>
  <si>
    <t>Licania sp.</t>
  </si>
  <si>
    <t>Pachira sp.</t>
  </si>
  <si>
    <t>Albizia sp.</t>
  </si>
  <si>
    <t>Camelia sp.</t>
  </si>
  <si>
    <t>Máx. de _# de familia</t>
  </si>
  <si>
    <t>Suma total</t>
  </si>
  <si>
    <t>1 Abarema jupunba</t>
  </si>
  <si>
    <t>2 Abarema sp</t>
  </si>
  <si>
    <t>3 Abelmoschus moschatus</t>
  </si>
  <si>
    <t>4 Abutilon insigne</t>
  </si>
  <si>
    <t>5 Abutilon pictum</t>
  </si>
  <si>
    <t>6 Abutilon sp</t>
  </si>
  <si>
    <t>7 Acacia angustissima</t>
  </si>
  <si>
    <t>8 Acacia baileyana</t>
  </si>
  <si>
    <t>9 Acacia caven</t>
  </si>
  <si>
    <t>10 Acacia decurrens</t>
  </si>
  <si>
    <t>11 Acacia farnesiana</t>
  </si>
  <si>
    <t>12 Acacia mangium</t>
  </si>
  <si>
    <t>13 Acacia melanoxylon</t>
  </si>
  <si>
    <t>14 Acacia muricata</t>
  </si>
  <si>
    <t>15 Acalypha amentacea</t>
  </si>
  <si>
    <t>16 Acalypha diversifolia</t>
  </si>
  <si>
    <t>17 Acalypha hispida</t>
  </si>
  <si>
    <t>18 Acalypha macrostachya</t>
  </si>
  <si>
    <t>19 Acalypha villosa</t>
  </si>
  <si>
    <t>20 Acalypha wilkesiana</t>
  </si>
  <si>
    <t>21 Acca sellowiana</t>
  </si>
  <si>
    <t>22 Achatocarpus nigricans</t>
  </si>
  <si>
    <t>23 Iochroma arborescens</t>
  </si>
  <si>
    <t>24 Acosmium dasycarpum</t>
  </si>
  <si>
    <t>25 Acrocarpus fraxinifolius</t>
  </si>
  <si>
    <t>26 Acrocomia aculeata</t>
  </si>
  <si>
    <t>27 Adenanthera pavonina</t>
  </si>
  <si>
    <t>28 Adenaria floribunda</t>
  </si>
  <si>
    <t>29 Adonidia merrillii</t>
  </si>
  <si>
    <t>30 Aegiceras corniculatum</t>
  </si>
  <si>
    <t>31 Aegiphila integrifolia</t>
  </si>
  <si>
    <t>32 Aegiphila mollis</t>
  </si>
  <si>
    <t>33 Aegiphila panamensis</t>
  </si>
  <si>
    <t>34 Aegiphila sp</t>
  </si>
  <si>
    <t>35 Agave americana</t>
  </si>
  <si>
    <t>36 Agave attenuata</t>
  </si>
  <si>
    <t>37 Agave sp</t>
  </si>
  <si>
    <t>38 Aiouea sp</t>
  </si>
  <si>
    <t>39 Aiphanes horrida</t>
  </si>
  <si>
    <t>40 Aiphanes simplex</t>
  </si>
  <si>
    <t>41 Albizia carbonaria</t>
  </si>
  <si>
    <t>42 Albizia guachapele</t>
  </si>
  <si>
    <t>43 Albizia julibrissin</t>
  </si>
  <si>
    <t>44 Albizia lebbeck</t>
  </si>
  <si>
    <t>45 Albizia niopoides</t>
  </si>
  <si>
    <t>46 Albizia saman</t>
  </si>
  <si>
    <t>47 Albizia sp</t>
  </si>
  <si>
    <t>48 Alchornea costaricensis</t>
  </si>
  <si>
    <t>49 Alchornea glandulosa</t>
  </si>
  <si>
    <t>50 Alchornea grandiflora</t>
  </si>
  <si>
    <t>51 Alchornea latifolia</t>
  </si>
  <si>
    <t>52 Alchornea sp</t>
  </si>
  <si>
    <t>53 Alchornea triplinervia</t>
  </si>
  <si>
    <t>54 Alchornea verticillata</t>
  </si>
  <si>
    <t>55 Aleurites fordii</t>
  </si>
  <si>
    <t>56 Alfaroa colombiana</t>
  </si>
  <si>
    <t>57 Allamanda blanchetii</t>
  </si>
  <si>
    <t>58 Allamanda cathartica</t>
  </si>
  <si>
    <t>59 Allamanda schottii</t>
  </si>
  <si>
    <t>60 Allophylus sp</t>
  </si>
  <si>
    <t>61 Alnus acuminata</t>
  </si>
  <si>
    <t>62 Aloe arborescens</t>
  </si>
  <si>
    <t>63 Aloysia citrodora</t>
  </si>
  <si>
    <t>64 Alpinia purpurata</t>
  </si>
  <si>
    <t>65 Alstonia scholaris</t>
  </si>
  <si>
    <t>66 Alternanthera brasiliana</t>
  </si>
  <si>
    <t>67 Amherstia nobilis</t>
  </si>
  <si>
    <t>68 Ampelocera sp</t>
  </si>
  <si>
    <t>69 Amphitecna apiculata</t>
  </si>
  <si>
    <t>70 Amphitecna isthmica</t>
  </si>
  <si>
    <t>71 Amphitecna latifolia</t>
  </si>
  <si>
    <t>72 Amphitecna sp</t>
  </si>
  <si>
    <t>73 Anacardium excelsum</t>
  </si>
  <si>
    <t>74 Anacardium occidentale</t>
  </si>
  <si>
    <t>75 Andira chigorodensis</t>
  </si>
  <si>
    <t>76 Andira inermis</t>
  </si>
  <si>
    <t>77 Andira sp</t>
  </si>
  <si>
    <t>78 Aniba riparia</t>
  </si>
  <si>
    <t>79 Aniba coto</t>
  </si>
  <si>
    <t>80 Aniba muca</t>
  </si>
  <si>
    <t>81 Aniba perutilis</t>
  </si>
  <si>
    <t>82 Aniba puchury-minor</t>
  </si>
  <si>
    <t>83 Aniba sp</t>
  </si>
  <si>
    <t>84 Annona acuminata</t>
  </si>
  <si>
    <t>85 Annona cherimola</t>
  </si>
  <si>
    <t>86 Annona glabra</t>
  </si>
  <si>
    <t>87 Annona montana</t>
  </si>
  <si>
    <t>88 Annona muricata</t>
  </si>
  <si>
    <t>89 Annona quinduensis</t>
  </si>
  <si>
    <t>90 Annona rensoniana</t>
  </si>
  <si>
    <t>91 Annona reticulata</t>
  </si>
  <si>
    <t>93 Annona squamosa</t>
  </si>
  <si>
    <t>94 Neolamarckia cadamba</t>
  </si>
  <si>
    <t>95 Apeiba glabra</t>
  </si>
  <si>
    <t>96 Apeiba membranacea</t>
  </si>
  <si>
    <t>97 Apeiba tibourbou</t>
  </si>
  <si>
    <t>98 Aphelandra crenata</t>
  </si>
  <si>
    <t>99 Aralia chinensis</t>
  </si>
  <si>
    <t>100 Araucaria angustifolia</t>
  </si>
  <si>
    <t>101 Araucaria bidwillii</t>
  </si>
  <si>
    <t>102 Araucaria heterophylla</t>
  </si>
  <si>
    <t>103 Archontophoenix alexandrae</t>
  </si>
  <si>
    <t>104 Archontophoenix cunninghamiana</t>
  </si>
  <si>
    <t>105 Ardisia arborea</t>
  </si>
  <si>
    <t>106 Ardisia crenata</t>
  </si>
  <si>
    <t>107 Ardisia elliptica</t>
  </si>
  <si>
    <t>108 Ardisia guianensis</t>
  </si>
  <si>
    <t>109 Areca catechu</t>
  </si>
  <si>
    <t>110 Areca sp</t>
  </si>
  <si>
    <t>111 Areca triandra</t>
  </si>
  <si>
    <t>112 Arenga engleri</t>
  </si>
  <si>
    <t>113 Artemisia arborescens</t>
  </si>
  <si>
    <t>114 Artocarpus altilis</t>
  </si>
  <si>
    <t>115 Artocarpus heterophyllus</t>
  </si>
  <si>
    <t>116 Artocarpus integer</t>
  </si>
  <si>
    <t>117 Artocarpus lacucha</t>
  </si>
  <si>
    <t>118 Asclepias curassavica</t>
  </si>
  <si>
    <t>119 Asparagus sp</t>
  </si>
  <si>
    <t>120 Aspidosperma sp</t>
  </si>
  <si>
    <t>121 Aspidosperma spruceanum</t>
  </si>
  <si>
    <t>122 Astrocaryum malybo</t>
  </si>
  <si>
    <t>123 Astronium graveolens</t>
  </si>
  <si>
    <t>124 Asystasia gangetica</t>
  </si>
  <si>
    <t>125 Attalea amygdalina</t>
  </si>
  <si>
    <t>126 Attalea butyracea</t>
  </si>
  <si>
    <t>127 Attalea oleifera</t>
  </si>
  <si>
    <t>128 Aucuba japonica</t>
  </si>
  <si>
    <t>129 Averrhoa carambola</t>
  </si>
  <si>
    <t>130 Azadirachta indica</t>
  </si>
  <si>
    <t>131 Baccharis halimifolia</t>
  </si>
  <si>
    <t>132 Baccharis latifolia</t>
  </si>
  <si>
    <t>133 Baccharis macrantha</t>
  </si>
  <si>
    <t>134 Bactris gasipaes</t>
  </si>
  <si>
    <t>135 Bactris pilosa</t>
  </si>
  <si>
    <t>136 Bambusa vulgaris</t>
  </si>
  <si>
    <t>137 Bauhinia forficata</t>
  </si>
  <si>
    <t>138 Bauhinia kalbreyeri</t>
  </si>
  <si>
    <t>139 Bauhinia monandra</t>
  </si>
  <si>
    <t>140 Bauhinia picta</t>
  </si>
  <si>
    <t>141 Bauhinia purpurea</t>
  </si>
  <si>
    <t>142 Bauhinia sp</t>
  </si>
  <si>
    <t>143 Bauhinia variegata</t>
  </si>
  <si>
    <t>144 Beaucarnea recurvata</t>
  </si>
  <si>
    <t>145 Begonia coccinea</t>
  </si>
  <si>
    <t>146 Beilschmiedia pendula</t>
  </si>
  <si>
    <t>147 Bellucia pentamera</t>
  </si>
  <si>
    <t>148 Bellucia sp</t>
  </si>
  <si>
    <t>149 Billia rosea</t>
  </si>
  <si>
    <t>150 Bischofia javanica</t>
  </si>
  <si>
    <t>151 Bismarckia nobilis</t>
  </si>
  <si>
    <t>152 Bixa orellana</t>
  </si>
  <si>
    <t>153 Blighia sapida</t>
  </si>
  <si>
    <t>154 Bocconia integrifolia</t>
  </si>
  <si>
    <t>155 Boehmeria caudata</t>
  </si>
  <si>
    <t>156 Boehmeria japonica</t>
  </si>
  <si>
    <t>157 Boehmeria virgata</t>
  </si>
  <si>
    <t>158 Bombax ceiba</t>
  </si>
  <si>
    <t>159 Alibertia patinoi</t>
  </si>
  <si>
    <t>160 Bougainvillea glabra</t>
  </si>
  <si>
    <t>161 Brachylaena sp</t>
  </si>
  <si>
    <t>162 Brasiliopuntia brasiliensis</t>
  </si>
  <si>
    <t>163 Brassiophoenix schumanii</t>
  </si>
  <si>
    <t>164 Breonia chinensis</t>
  </si>
  <si>
    <t>165 Breynia disticha</t>
  </si>
  <si>
    <t>166 Brosimum alicastrum</t>
  </si>
  <si>
    <t>167 Broussonetia papyrifera</t>
  </si>
  <si>
    <t>168 Brownea ariza</t>
  </si>
  <si>
    <t>169 Brownea grandiceps</t>
  </si>
  <si>
    <t>170 Brownea sp</t>
  </si>
  <si>
    <t>171 Brownea stenantha</t>
  </si>
  <si>
    <t>172 Browneopsis excelsa</t>
  </si>
  <si>
    <t>173 Brugmansia arborea</t>
  </si>
  <si>
    <t>174 Brugmansia sp</t>
  </si>
  <si>
    <t>175 Brunfelsia grandiflora</t>
  </si>
  <si>
    <t>176 Brunfelsia pauciflora</t>
  </si>
  <si>
    <t>177 Brunfelsia sp</t>
  </si>
  <si>
    <t>178 Brunfelsia undulata</t>
  </si>
  <si>
    <t>179 Brunfelsia uniflora</t>
  </si>
  <si>
    <t>180 Terminalia pulcherrima</t>
  </si>
  <si>
    <t>181 Terminalia tetraphylla</t>
  </si>
  <si>
    <t>182 Terminalia buceras</t>
  </si>
  <si>
    <t>183 Buddleja davidii</t>
  </si>
  <si>
    <t>184 Bulnesia arborea</t>
  </si>
  <si>
    <t>185 Plectrocarpa carrapo</t>
  </si>
  <si>
    <t>186 Bunchosia armeniaca</t>
  </si>
  <si>
    <t>187 Bunchosia nitida</t>
  </si>
  <si>
    <t>188 Bursera graveolens</t>
  </si>
  <si>
    <t>189 Bursera simaruba</t>
  </si>
  <si>
    <t>190 Bursera tomentosa</t>
  </si>
  <si>
    <t>191 Buxus sempervirens</t>
  </si>
  <si>
    <t>192 Byrsonima arthropoda</t>
  </si>
  <si>
    <t>193 Byrsonima crassifolia</t>
  </si>
  <si>
    <t>194 Byrsonima spicata</t>
  </si>
  <si>
    <t>195 Libidibia coriaria</t>
  </si>
  <si>
    <t>196 Libidibia punctata</t>
  </si>
  <si>
    <t>197 Cenostigma pluviosum</t>
  </si>
  <si>
    <t>198 Caesalpinia pulcherrima</t>
  </si>
  <si>
    <t>199 Caesalpinia sp</t>
  </si>
  <si>
    <t>200 Tara spinosa</t>
  </si>
  <si>
    <t>201 Cajanus cajan</t>
  </si>
  <si>
    <t>202 Calliandra antioquiae</t>
  </si>
  <si>
    <t>203 Calliandra selloi</t>
  </si>
  <si>
    <t>204 Calliandra haematocephala</t>
  </si>
  <si>
    <t>205 Calliandra magdalenae</t>
  </si>
  <si>
    <t>206 Calliandra medellinensis</t>
  </si>
  <si>
    <t>207 Calliandra pittieri</t>
  </si>
  <si>
    <t>208 Calliandra sp</t>
  </si>
  <si>
    <t>209 Calliandra surinamensis</t>
  </si>
  <si>
    <t>210 Calliandra tergemina</t>
  </si>
  <si>
    <t>211 Calliandra trinervia</t>
  </si>
  <si>
    <t>212 Calliandra tweedii</t>
  </si>
  <si>
    <t>213 Callicarpa macrophylla</t>
  </si>
  <si>
    <t>214 Melaleuca citrina</t>
  </si>
  <si>
    <t>215 Melaleuca glauca</t>
  </si>
  <si>
    <t>216 Hesperocyparis glabra</t>
  </si>
  <si>
    <t>217 Calocedrus decurrens</t>
  </si>
  <si>
    <t>218 Calophyllum brasiliense</t>
  </si>
  <si>
    <t>219 Calophyllum calaba</t>
  </si>
  <si>
    <t>220 Calophyllum inophyllum</t>
  </si>
  <si>
    <t>221 Calophyllum soulattri</t>
  </si>
  <si>
    <t>222 Calycophyllum candidissimum</t>
  </si>
  <si>
    <t>223 Calyptranthes sp</t>
  </si>
  <si>
    <t>224 camellia japonica</t>
  </si>
  <si>
    <t>225 Camellia sp</t>
  </si>
  <si>
    <t>226 Campomanesia lineatifolia</t>
  </si>
  <si>
    <t>227 Cananga odorata</t>
  </si>
  <si>
    <t>228 Morisonia odoratissmia</t>
  </si>
  <si>
    <t>229 Capsicum frutescens</t>
  </si>
  <si>
    <t>230 Capsicum sp</t>
  </si>
  <si>
    <t>231 Carapa guianensis</t>
  </si>
  <si>
    <t>232 Carica papaya</t>
  </si>
  <si>
    <t>233 Carica sp</t>
  </si>
  <si>
    <t>234 Cariniana pyriformis</t>
  </si>
  <si>
    <t>235 Carissa macrocarpa</t>
  </si>
  <si>
    <t>236 Carludovica palmata</t>
  </si>
  <si>
    <t>237 Carya illinoinensis</t>
  </si>
  <si>
    <t>238 Caryocar glabrum</t>
  </si>
  <si>
    <t>239 Caryodaphnopsis cogolloi</t>
  </si>
  <si>
    <t>240 Caryodendron orinocense</t>
  </si>
  <si>
    <t>241 Caryota mitis</t>
  </si>
  <si>
    <t>242 Caryota sp</t>
  </si>
  <si>
    <t>243 Caryota urens</t>
  </si>
  <si>
    <t>244 Cascabela gaumeri (Hemsl)</t>
  </si>
  <si>
    <t>245 Casearia aculeata</t>
  </si>
  <si>
    <t>246 Casearia corymbosa</t>
  </si>
  <si>
    <t>247 Casearia sp</t>
  </si>
  <si>
    <t>248 Casimiroa edulis</t>
  </si>
  <si>
    <t>249 Casimiroa sapota Oerst</t>
  </si>
  <si>
    <t>250 Cassia fistula</t>
  </si>
  <si>
    <t>251 Cassia grandis</t>
  </si>
  <si>
    <t>252 Cassia javanica</t>
  </si>
  <si>
    <t>253 Senna spectabilis</t>
  </si>
  <si>
    <t>254 Castilla elastica</t>
  </si>
  <si>
    <t>255 Casuarina equisetifolia</t>
  </si>
  <si>
    <t>256 Catalpa longissima</t>
  </si>
  <si>
    <t>257 Cavanillesia chicamochae</t>
  </si>
  <si>
    <t>258 Cavanillesia platanifolia</t>
  </si>
  <si>
    <t>259 Cavendishia bracteata</t>
  </si>
  <si>
    <t>260 Cavendishia pubescens</t>
  </si>
  <si>
    <t>261 Cecropia angustifolia</t>
  </si>
  <si>
    <t>262 Cecropia peltata</t>
  </si>
  <si>
    <t>263 Cecropia telenitida</t>
  </si>
  <si>
    <t>264 Cedrela montana</t>
  </si>
  <si>
    <t>265 Cedrela odorata</t>
  </si>
  <si>
    <t>266 Cedrela salvadorensis</t>
  </si>
  <si>
    <t>267 Cedrela sp</t>
  </si>
  <si>
    <t>268 Ceiba pentandra</t>
  </si>
  <si>
    <t>269 Ceiba sp</t>
  </si>
  <si>
    <t>270 Ceiba speciosa</t>
  </si>
  <si>
    <t>271 Celastrus orbiculatus</t>
  </si>
  <si>
    <t>272 Celastrus scandens</t>
  </si>
  <si>
    <t>273 Celastrus sp</t>
  </si>
  <si>
    <t>274 Centrolobium paraense Tul</t>
  </si>
  <si>
    <t>275 Centrolobium yavizanum</t>
  </si>
  <si>
    <t>276 Ceratozamia fuscoviridis</t>
  </si>
  <si>
    <t>277 Cereus hexagonus</t>
  </si>
  <si>
    <t>278 cereus sp</t>
  </si>
  <si>
    <t>279 Cereus uruguayanus</t>
  </si>
  <si>
    <t>280 Ceroxylon quindiuense</t>
  </si>
  <si>
    <t>281 Cespedesia macrophylla</t>
  </si>
  <si>
    <t>282 Cestrum nocturnum</t>
  </si>
  <si>
    <t>283 cestrum racemosum</t>
  </si>
  <si>
    <t>284 Cestrum schlechtendalii</t>
  </si>
  <si>
    <t>285 Cestrum sp</t>
  </si>
  <si>
    <t>286 Chamaecyparis pisifera</t>
  </si>
  <si>
    <t>287 Chamaedorea linearis</t>
  </si>
  <si>
    <t>288 Chamaedorea metallica</t>
  </si>
  <si>
    <t>289 Chamaedorea pinnatifrons</t>
  </si>
  <si>
    <t>290 Chamaedorea seifrizii</t>
  </si>
  <si>
    <t>291 Chamaedorea sp</t>
  </si>
  <si>
    <t>292 Chamaedorea tepejilote</t>
  </si>
  <si>
    <t>293 Chambeyronia macrocarpa</t>
  </si>
  <si>
    <t>294 Chelyocarpus dianeurus</t>
  </si>
  <si>
    <t>295 Cinchona sp</t>
  </si>
  <si>
    <t>296 Chloroleucon tortum</t>
  </si>
  <si>
    <t>297 Chromolaena odorata</t>
  </si>
  <si>
    <t>298 Chrysobalanus icaco</t>
  </si>
  <si>
    <t>299 Chrysophyllum argenteum</t>
  </si>
  <si>
    <t>300 Chrysophyllum cainito</t>
  </si>
  <si>
    <t>301 Cinnamomum triplinerve</t>
  </si>
  <si>
    <t>302 Cinnamomum zeylanicum</t>
  </si>
  <si>
    <t>303 Citharexylum kunthianum</t>
  </si>
  <si>
    <t>304 Citharexylum montanum</t>
  </si>
  <si>
    <t>305 Citharexylum sp</t>
  </si>
  <si>
    <t>306 Citharexylum subflavescens</t>
  </si>
  <si>
    <t>307 Citrus x microcarpa</t>
  </si>
  <si>
    <t>308 Citrus x sinensis</t>
  </si>
  <si>
    <t>309 Citrus x latifolia</t>
  </si>
  <si>
    <t>310 Citrus x limonia</t>
  </si>
  <si>
    <t>311 Citrus aurantifolia</t>
  </si>
  <si>
    <t>312 Citrus jambhiri</t>
  </si>
  <si>
    <t>314 Citrus maxima</t>
  </si>
  <si>
    <t>315 Citrus medica</t>
  </si>
  <si>
    <t>316 citrus x myrtifolia</t>
  </si>
  <si>
    <t>317 Citrus reticulata</t>
  </si>
  <si>
    <t>318 Citrus sinensis</t>
  </si>
  <si>
    <t>319 Citrus sp</t>
  </si>
  <si>
    <t>320 Citrus trifoliata</t>
  </si>
  <si>
    <t>321 Citrus x aurantium</t>
  </si>
  <si>
    <t>322 Clarisia racemosa</t>
  </si>
  <si>
    <t>323 Clathrotropis brunnea</t>
  </si>
  <si>
    <t>324 Clathrotropis macrocarpa</t>
  </si>
  <si>
    <t>325 Clavija longifolia</t>
  </si>
  <si>
    <t>326 Clavija sp</t>
  </si>
  <si>
    <t>327 Clerodendrum quadriloculare</t>
  </si>
  <si>
    <t>328 Clerodendrum sp</t>
  </si>
  <si>
    <t>329 Clethra sp</t>
  </si>
  <si>
    <t>330 Clibadium sp</t>
  </si>
  <si>
    <t>331 Clibadium surinamense</t>
  </si>
  <si>
    <t>332 Clidemia umbrosa</t>
  </si>
  <si>
    <t>333 Clitoria fairchildiana</t>
  </si>
  <si>
    <t>334 Clusia alata</t>
  </si>
  <si>
    <t>335 Clusia articulata</t>
  </si>
  <si>
    <t>336 Clusia multiflora</t>
  </si>
  <si>
    <t>337 Clusia orthoneura</t>
  </si>
  <si>
    <t>338 Clusia sp</t>
  </si>
  <si>
    <t>339 Cnidoscolus aconitifolius</t>
  </si>
  <si>
    <t>340 Coccoloba acuminata</t>
  </si>
  <si>
    <t>341 Coccoloba sp</t>
  </si>
  <si>
    <t>342 Coccoloba uvifera</t>
  </si>
  <si>
    <t>343 Coccothrinax argentata</t>
  </si>
  <si>
    <t>344 Cochlospermum orinocense</t>
  </si>
  <si>
    <t>345 Cochlospermum vitifolium</t>
  </si>
  <si>
    <t>346 Cocos nucifera</t>
  </si>
  <si>
    <t>347 Codiaeum variegatum</t>
  </si>
  <si>
    <t>348 Coffea arabica</t>
  </si>
  <si>
    <t>349 Cojoba arborea</t>
  </si>
  <si>
    <t>350 Coleus spp</t>
  </si>
  <si>
    <t>351 Colubrina arborescens</t>
  </si>
  <si>
    <t>352 Compsoneura sp</t>
  </si>
  <si>
    <t>353 Condaminea corymbosa</t>
  </si>
  <si>
    <t>354 Conocarpus erectus</t>
  </si>
  <si>
    <t>355 Copaifera canime</t>
  </si>
  <si>
    <t>356 Copaifera sp</t>
  </si>
  <si>
    <t>357 Cordia alliodora</t>
  </si>
  <si>
    <t>358 Guayubirá</t>
  </si>
  <si>
    <t>359 Cordia dentata</t>
  </si>
  <si>
    <t>360 Cordia gerascanthus</t>
  </si>
  <si>
    <t>361 Cordia sebestena</t>
  </si>
  <si>
    <t>362 Cordia sp</t>
  </si>
  <si>
    <t>363 Cordia subcordata</t>
  </si>
  <si>
    <t>364 Cordyline australis</t>
  </si>
  <si>
    <t>365 Cordyline fruticosa</t>
  </si>
  <si>
    <t>366 Cordyline rubra</t>
  </si>
  <si>
    <t>368 Coriaria ruscifolia L</t>
  </si>
  <si>
    <t>369 Cornutia pyramidata</t>
  </si>
  <si>
    <t>370 Corymbia ficifolia</t>
  </si>
  <si>
    <t>371 Costus barbatus Suess</t>
  </si>
  <si>
    <t>372 Cotoneaster coriaceus</t>
  </si>
  <si>
    <t>373 Cotoneaster sp</t>
  </si>
  <si>
    <t>374 Couratari guianensis</t>
  </si>
  <si>
    <t>375 Couroupita guianensis</t>
  </si>
  <si>
    <t>376 Crataegus azarolus</t>
  </si>
  <si>
    <t>377 Crateva tapia</t>
  </si>
  <si>
    <t>378 Crescentia cujete</t>
  </si>
  <si>
    <t>379 Croton magdalenensis</t>
  </si>
  <si>
    <t>380 Croton smithianus</t>
  </si>
  <si>
    <t>381 Croton sp</t>
  </si>
  <si>
    <t>382 Croton urucurana</t>
  </si>
  <si>
    <t>383 Cryosophila kalbreyeri</t>
  </si>
  <si>
    <t>384 Cryptomeria japonica</t>
  </si>
  <si>
    <t>385 Cryptomeria japonica elegans</t>
  </si>
  <si>
    <t>386 Cunonia capensis</t>
  </si>
  <si>
    <t>387 Cupania americana</t>
  </si>
  <si>
    <t>388 Cupania cinerea Poepp</t>
  </si>
  <si>
    <t>389 Cupressus glabra</t>
  </si>
  <si>
    <t>390 Cupressus lusitanica</t>
  </si>
  <si>
    <t>391 Cupressus sempervirens</t>
  </si>
  <si>
    <t>392 Curatella americana</t>
  </si>
  <si>
    <t>393 Cyathea delgadii</t>
  </si>
  <si>
    <t>394 Cyathea meridensis</t>
  </si>
  <si>
    <t>395 Cyathea multiflora</t>
  </si>
  <si>
    <t>396 Cyathea sp</t>
  </si>
  <si>
    <t>397 Cyca sp</t>
  </si>
  <si>
    <t>398 Cycas circinalis</t>
  </si>
  <si>
    <t>399 Cycas revoluta Thunb</t>
  </si>
  <si>
    <t>400 Cycas rumphii</t>
  </si>
  <si>
    <t>401 Cycas thouarsii</t>
  </si>
  <si>
    <t>402 Cyperus involucratus</t>
  </si>
  <si>
    <t>403 Cyperus papyrus L</t>
  </si>
  <si>
    <t>404 Cyphomandra betacea</t>
  </si>
  <si>
    <t>405 Cyrtostachys renda</t>
  </si>
  <si>
    <t>406 Dahlia x pinnata</t>
  </si>
  <si>
    <t>407 Delonix regia</t>
  </si>
  <si>
    <t>408 Delostoma integrifolium</t>
  </si>
  <si>
    <t>410 Delostoma sp</t>
  </si>
  <si>
    <t>411 Dendrocnide moroides</t>
  </si>
  <si>
    <t>412 Dendropanax arboreus</t>
  </si>
  <si>
    <t>413 Dendropanax sp</t>
  </si>
  <si>
    <t>414 Dialium guianensis</t>
  </si>
  <si>
    <t>415 Dianthera secunda</t>
  </si>
  <si>
    <t>416 Dicksonia sellowiana</t>
  </si>
  <si>
    <t>417 Dictyocaryum lamarckianum</t>
  </si>
  <si>
    <t>418 Dilodendron costaricense</t>
  </si>
  <si>
    <t>419 Dimocarpus longan</t>
  </si>
  <si>
    <t>420 Diospyros blancoi</t>
  </si>
  <si>
    <t>421 Diospyros Artanthifolia</t>
  </si>
  <si>
    <t>422 Diospyros digyna Jacq</t>
  </si>
  <si>
    <t>423 Diospyros inconstans</t>
  </si>
  <si>
    <t>424 Diospyros nigra</t>
  </si>
  <si>
    <t>425 Diospyros sp</t>
  </si>
  <si>
    <t>426 Dipteryx oleifera</t>
  </si>
  <si>
    <t>427 Dodonaea viscosa</t>
  </si>
  <si>
    <t>428 Dombeya wallichii</t>
  </si>
  <si>
    <t>429 Dovyalis hebecarpa</t>
  </si>
  <si>
    <t>430 Dracaena angustifolia</t>
  </si>
  <si>
    <t>431 Dracaena arborea</t>
  </si>
  <si>
    <t>432 Dracaena braunii</t>
  </si>
  <si>
    <t>433 Dracaena concinna</t>
  </si>
  <si>
    <t>434 Dracaena deremensis</t>
  </si>
  <si>
    <t>435 Dracaena fragrans</t>
  </si>
  <si>
    <t>436 Dracaena reflexa</t>
  </si>
  <si>
    <t>437 Dracaena rubra</t>
  </si>
  <si>
    <t>438 Dracaena sp</t>
  </si>
  <si>
    <t>439 Dracaena compacta</t>
  </si>
  <si>
    <t>440 Duranta erecta</t>
  </si>
  <si>
    <t>441 Duranta mutisii</t>
  </si>
  <si>
    <t>442 Duranta repens</t>
  </si>
  <si>
    <t>443 Duranta sp</t>
  </si>
  <si>
    <t>444 Dypsis decaryi</t>
  </si>
  <si>
    <t>445 Dypsis lutescens</t>
  </si>
  <si>
    <t>446 Dypsis madagascariensis</t>
  </si>
  <si>
    <t>447 Dysoxylum gaudichaudianum</t>
  </si>
  <si>
    <t>448 Dysoxylum macranthum</t>
  </si>
  <si>
    <t>449 Caesalpinia ebano</t>
  </si>
  <si>
    <t>450 Elaeis guineensis</t>
  </si>
  <si>
    <t>451 Elaeis oleifera</t>
  </si>
  <si>
    <t>452 Elaeocarpus angustifolius</t>
  </si>
  <si>
    <t>453 Endlicheria sericea</t>
  </si>
  <si>
    <t>454 Enterolobium cyclocarpum</t>
  </si>
  <si>
    <t>455 Eperua sp</t>
  </si>
  <si>
    <t>456 Eriobotrya japonica</t>
  </si>
  <si>
    <t>457 Erythrina crista-galli</t>
  </si>
  <si>
    <t>458 Erythrina edulis</t>
  </si>
  <si>
    <t>459 Erythrina fusca</t>
  </si>
  <si>
    <t>460 Erythrina poeppigiana</t>
  </si>
  <si>
    <t>461 Erythrina rubrinervia</t>
  </si>
  <si>
    <t>462 Erythrina sp</t>
  </si>
  <si>
    <t>463 Erythrina speciosa</t>
  </si>
  <si>
    <t>464 Erythrina variegata</t>
  </si>
  <si>
    <t>465 Erythroxylum coca</t>
  </si>
  <si>
    <t>466 Escallonia pendula</t>
  </si>
  <si>
    <t>467 Eschweilera antioquensis</t>
  </si>
  <si>
    <t>468 Eschweilera parviflora</t>
  </si>
  <si>
    <t>469 Eschweilera reversa</t>
  </si>
  <si>
    <t>470 Eschweilera sp</t>
  </si>
  <si>
    <t>471 Escobedia sp</t>
  </si>
  <si>
    <t>472 Eucalyptus camaldulensis</t>
  </si>
  <si>
    <t>473 Eucalyptus cinerea</t>
  </si>
  <si>
    <t>474 Eucalyptus deglupta</t>
  </si>
  <si>
    <t>475 Eucalyptus grandis</t>
  </si>
  <si>
    <t>476 Eucalyptus polyanthemos</t>
  </si>
  <si>
    <t>477 Eucalyptus robusta</t>
  </si>
  <si>
    <t>478 Eucalyptus saligna</t>
  </si>
  <si>
    <t>479 Eucalyptus sp</t>
  </si>
  <si>
    <t>480 Eugenia biflora</t>
  </si>
  <si>
    <t>481 Eugenia flavescens</t>
  </si>
  <si>
    <t>482 Eugenia florida</t>
  </si>
  <si>
    <t>483 Eugenia involucrata</t>
  </si>
  <si>
    <t>484 Eugenia myrtifolia</t>
  </si>
  <si>
    <t>485 Eugenia stipitata</t>
  </si>
  <si>
    <t>486 Eugenia uniflora</t>
  </si>
  <si>
    <t>487 Euonymus fortunei</t>
  </si>
  <si>
    <t>488 Euonymus japonicus</t>
  </si>
  <si>
    <t>489 Euphorbia cotinifolia</t>
  </si>
  <si>
    <t>490 Euphorbia grantii</t>
  </si>
  <si>
    <t>491 Euphorbia lactea</t>
  </si>
  <si>
    <t>492 Euphorbia pulcherrima</t>
  </si>
  <si>
    <t>493 Euphorbia tirucalli</t>
  </si>
  <si>
    <t>494 Euphorbia trigona</t>
  </si>
  <si>
    <t>495 Euphorbia umbellata</t>
  </si>
  <si>
    <t>496 Euterpe oleracea</t>
  </si>
  <si>
    <t>497 Euterpe precatoria</t>
  </si>
  <si>
    <t>498 Feijoa sellowiana</t>
  </si>
  <si>
    <t>499 Ficus americana</t>
  </si>
  <si>
    <t>500 Ficus benjamina</t>
  </si>
  <si>
    <t>501 Ficus brevibracteata</t>
  </si>
  <si>
    <t>502 Ficus callosa</t>
  </si>
  <si>
    <t>503 Ficus carica</t>
  </si>
  <si>
    <t>504 Ficus citrifolia</t>
  </si>
  <si>
    <t>505 Ficus cuatrecasasiana</t>
  </si>
  <si>
    <t>506 Ficus dendrocida</t>
  </si>
  <si>
    <t>507 Ficus dulciaria</t>
  </si>
  <si>
    <t>508 Ficus elastica</t>
  </si>
  <si>
    <t>509 Ficus hartwegii</t>
  </si>
  <si>
    <t>510 Ficus ingens</t>
  </si>
  <si>
    <t>511 Ficus insipida</t>
  </si>
  <si>
    <t>512 Ficus involuta</t>
  </si>
  <si>
    <t>513 Ficus longifolia</t>
  </si>
  <si>
    <t>514 Ficus lyrata</t>
  </si>
  <si>
    <t>515 Ficus microcarpa</t>
  </si>
  <si>
    <t>516 Ficus obtusifolia</t>
  </si>
  <si>
    <t>517 Ficus pertusa</t>
  </si>
  <si>
    <t>518 Ficus religiosa</t>
  </si>
  <si>
    <t>519 Ficus retusa</t>
  </si>
  <si>
    <t>520 Ficus sp</t>
  </si>
  <si>
    <t>521 Ficus sur</t>
  </si>
  <si>
    <t>522 Ficus tequendamae</t>
  </si>
  <si>
    <t>523 Ficus tonduzii</t>
  </si>
  <si>
    <t>524 Ficus variegata</t>
  </si>
  <si>
    <t>525 Flacourtia indica</t>
  </si>
  <si>
    <t>526 Frangula caroliniana</t>
  </si>
  <si>
    <t>527 Frangula goudotiana</t>
  </si>
  <si>
    <t>528 Frangula sphaerosperma</t>
  </si>
  <si>
    <t>529 Fraxinus americana</t>
  </si>
  <si>
    <t>530 Fraxinus chinensis</t>
  </si>
  <si>
    <t>531 Fraxinus udhei</t>
  </si>
  <si>
    <t>532 Fuchsia sp</t>
  </si>
  <si>
    <t>533 Galphimia gracilis</t>
  </si>
  <si>
    <t>534 Garcinia madruno</t>
  </si>
  <si>
    <t>535 Garcinia mangostana</t>
  </si>
  <si>
    <t>536 Garcinia sp</t>
  </si>
  <si>
    <t>537 Gardenia jasminoides</t>
  </si>
  <si>
    <t>538 Genipa americana</t>
  </si>
  <si>
    <t>539 Geoffroea sp</t>
  </si>
  <si>
    <t>540 Geoffroea spinosa</t>
  </si>
  <si>
    <t>541 Geonoma interrupta</t>
  </si>
  <si>
    <t>542 Geonoma sp</t>
  </si>
  <si>
    <t>543 Gliricidia sepium</t>
  </si>
  <si>
    <t>544 Gmelina arborea</t>
  </si>
  <si>
    <t>545 Gossypium barbadense</t>
  </si>
  <si>
    <t>546 Gossypium sp</t>
  </si>
  <si>
    <t>547 Graptophyllum pictum</t>
  </si>
  <si>
    <t>548 Grevillea banksii</t>
  </si>
  <si>
    <t>549 Grevillea robusta</t>
  </si>
  <si>
    <t>550 Guadua angustifolia</t>
  </si>
  <si>
    <t>551 Guaiacum officinale</t>
  </si>
  <si>
    <t>552 Guaiacum sp</t>
  </si>
  <si>
    <t>553 Guarea guidonia</t>
  </si>
  <si>
    <t>554 Guarea macrophylla</t>
  </si>
  <si>
    <t>555 Guarea sp</t>
  </si>
  <si>
    <t>556 Guatteria sp</t>
  </si>
  <si>
    <t>557 Guazuma ulmifolia</t>
  </si>
  <si>
    <t>558 Gustavia dubia</t>
  </si>
  <si>
    <t>559 Gustavia romeroi</t>
  </si>
  <si>
    <t>560 Gustavia speciosa</t>
  </si>
  <si>
    <t>561 Gustavia superba</t>
  </si>
  <si>
    <t>562 Hamelia patens</t>
  </si>
  <si>
    <t>563 Hampea sp</t>
  </si>
  <si>
    <t>564 Handroanthus chrysanthus</t>
  </si>
  <si>
    <t>565 Handroanthus chrysotrichus</t>
  </si>
  <si>
    <t>566 Handroanthus ochraceus</t>
  </si>
  <si>
    <t>567 Handroanthus serratifolius</t>
  </si>
  <si>
    <t>568 Harpullia arborea</t>
  </si>
  <si>
    <t>569 Hasseltia floribunda</t>
  </si>
  <si>
    <t>570 Heliocarpus americanus</t>
  </si>
  <si>
    <t>571 Heptapleurum actinophyllum</t>
  </si>
  <si>
    <t>572 Heptapleurum arboricola</t>
  </si>
  <si>
    <t>573 Herrania sp</t>
  </si>
  <si>
    <t>574 Hevea brasiliensis</t>
  </si>
  <si>
    <t>575 Hibiscus acetosella</t>
  </si>
  <si>
    <t>576 Hibiscus elatus</t>
  </si>
  <si>
    <t>577 Hibiscus fragilis</t>
  </si>
  <si>
    <t>578 Hibiscus mutabilis</t>
  </si>
  <si>
    <t>579 Hibiscus rosa-sinensis</t>
  </si>
  <si>
    <t>580 Hibiscus sabdariffa</t>
  </si>
  <si>
    <t>581 Hibiscus schizopetalus</t>
  </si>
  <si>
    <t>582 Hibiscus sp</t>
  </si>
  <si>
    <t>583 Hibiscus syriacus</t>
  </si>
  <si>
    <t>584 Hieronyma alchorneoides</t>
  </si>
  <si>
    <t>585 Himatanthus drasticus</t>
  </si>
  <si>
    <t>586 Himatanthus sp</t>
  </si>
  <si>
    <t>587 Hoheria sexstylosa</t>
  </si>
  <si>
    <t>588 Holmskioldia sanguinea</t>
  </si>
  <si>
    <t>589 Howea forsteriana</t>
  </si>
  <si>
    <t>590 Huberodendron patinoi</t>
  </si>
  <si>
    <t>591 Hura crepitans</t>
  </si>
  <si>
    <t>592 Hymenaea courbaril</t>
  </si>
  <si>
    <t>593 Hymenaea oblongifolia</t>
  </si>
  <si>
    <t>594 Hyophorbe lagenicaulis</t>
  </si>
  <si>
    <t>595 Hyophorbe verschaffeltii</t>
  </si>
  <si>
    <t>596 Ilex sp</t>
  </si>
  <si>
    <t>597 Indigofera sp</t>
  </si>
  <si>
    <t>598 Inga acrocephala</t>
  </si>
  <si>
    <t>599 Inga alba</t>
  </si>
  <si>
    <t>600 Inga chocoensis</t>
  </si>
  <si>
    <t>601 Inga codonantha</t>
  </si>
  <si>
    <t>602 Inga densiflora</t>
  </si>
  <si>
    <t>603 Inga edulis</t>
  </si>
  <si>
    <t>604 Inga laurina</t>
  </si>
  <si>
    <t>605 Inga spectabilis</t>
  </si>
  <si>
    <t>606 Inga sp</t>
  </si>
  <si>
    <t>607 Inga vera</t>
  </si>
  <si>
    <t>608 Ipomoea carnea</t>
  </si>
  <si>
    <t>609 Iriartea deltoidea</t>
  </si>
  <si>
    <t>610 Isertia haenkeana</t>
  </si>
  <si>
    <t>611 Ixora coccinea</t>
  </si>
  <si>
    <t>612 Ixora nicaraguensis</t>
  </si>
  <si>
    <t>613 Ixora sp</t>
  </si>
  <si>
    <t>614 Jacaranda caucana</t>
  </si>
  <si>
    <t>615 Jacaranda copaia</t>
  </si>
  <si>
    <t>616 Jacaranda hesperia</t>
  </si>
  <si>
    <t>617 Jacaranda mimosifolia</t>
  </si>
  <si>
    <t>618 Jacaranda obtusifolia</t>
  </si>
  <si>
    <t>619 Jasminum multiflorum</t>
  </si>
  <si>
    <t>620 Jasminum nitidum</t>
  </si>
  <si>
    <t>621 Jasminum sp</t>
  </si>
  <si>
    <t>622 Jatropha curcas</t>
  </si>
  <si>
    <t>623 Jatropha gossypiifolia</t>
  </si>
  <si>
    <t>624 Jatropha integerrima</t>
  </si>
  <si>
    <t>625 Jatropha multifida</t>
  </si>
  <si>
    <t>626 Jatropha podagrica</t>
  </si>
  <si>
    <t>627 Juglans neotropica</t>
  </si>
  <si>
    <t>628 Juglans nigra</t>
  </si>
  <si>
    <t>629 Juglans regia</t>
  </si>
  <si>
    <t>630 Juniperus communis</t>
  </si>
  <si>
    <t>631 Juniperus conferta</t>
  </si>
  <si>
    <t>632 Juniperus virginiana</t>
  </si>
  <si>
    <t>633 Justicia adhatoda</t>
  </si>
  <si>
    <t>634 Justicia carnea</t>
  </si>
  <si>
    <t>635 Justicia secunda</t>
  </si>
  <si>
    <t>636 Justicia sp</t>
  </si>
  <si>
    <t>637 Kigelia africana</t>
  </si>
  <si>
    <t>638 Koelreuteria elegans</t>
  </si>
  <si>
    <t>639 Koelreuteria paniculata</t>
  </si>
  <si>
    <t>640 Laburnum anagyroides</t>
  </si>
  <si>
    <t>641 Laccospadix australasicus</t>
  </si>
  <si>
    <t>642 Lacistema aggregatum</t>
  </si>
  <si>
    <t>643 Lacmellea edulis</t>
  </si>
  <si>
    <t>644 Laetia corymbulosa</t>
  </si>
  <si>
    <t>645 Lafoensia acuminata</t>
  </si>
  <si>
    <t>646 Lafoensia punicifolia</t>
  </si>
  <si>
    <t>647 lafoensia sp</t>
  </si>
  <si>
    <t>648 Lafoensia speciosa</t>
  </si>
  <si>
    <t>649 Lagerstroemia indica</t>
  </si>
  <si>
    <t>650 Lagerstroemia speciosa</t>
  </si>
  <si>
    <t>651 Lantana aculeata</t>
  </si>
  <si>
    <t>653 Lantana viburnoides</t>
  </si>
  <si>
    <t>652 Lantana camara</t>
  </si>
  <si>
    <t>654 Latania loddigesii</t>
  </si>
  <si>
    <t>655 Latania lontaroides</t>
  </si>
  <si>
    <t>656 Laurus nobilis</t>
  </si>
  <si>
    <t>657 Lecointea amazonica</t>
  </si>
  <si>
    <t>658 Lecythis minor</t>
  </si>
  <si>
    <t>659 Lecythis tuyrana</t>
  </si>
  <si>
    <t>660 Leea guineensis</t>
  </si>
  <si>
    <t>661 Leea rubra</t>
  </si>
  <si>
    <t>662 Leptospermum scoparium</t>
  </si>
  <si>
    <t>663 Leucaena latisiliqua</t>
  </si>
  <si>
    <t>664 Leucaena leucocephala</t>
  </si>
  <si>
    <t>665 Leucothoe fontanesiana</t>
  </si>
  <si>
    <t>666 Licania sp</t>
  </si>
  <si>
    <t>667 Licania tomentosa</t>
  </si>
  <si>
    <t>668 Licaria triandra</t>
  </si>
  <si>
    <t>669 Licuala grandis</t>
  </si>
  <si>
    <t>670 Licuala spinosa</t>
  </si>
  <si>
    <t>671 Ligustrum japonicum</t>
  </si>
  <si>
    <t>672 Ligustrum lucidum</t>
  </si>
  <si>
    <t>673 Ligustrum ovalifolium</t>
  </si>
  <si>
    <t>674 Ligustrum sinense</t>
  </si>
  <si>
    <t>675 Ligustrum sp</t>
  </si>
  <si>
    <t>676 Ligustrum vulgare</t>
  </si>
  <si>
    <t>677 Liquidambar styraciflua</t>
  </si>
  <si>
    <t>678 Litchi chinensis</t>
  </si>
  <si>
    <t>679 Litsea monopetala</t>
  </si>
  <si>
    <t>680 Livistona chinensis</t>
  </si>
  <si>
    <t>681 Livistona drudei</t>
  </si>
  <si>
    <t>682 Livistona rotundifolia</t>
  </si>
  <si>
    <t>683 Lonchocarpus macrophyllus</t>
  </si>
  <si>
    <t>684 Lonchocarpus sp</t>
  </si>
  <si>
    <t>685 Ludwigia peruviana</t>
  </si>
  <si>
    <t>686 Luehea seemannii</t>
  </si>
  <si>
    <t>687 Lytocaryum weddellianum</t>
  </si>
  <si>
    <t>688 Macadamia integrifolia</t>
  </si>
  <si>
    <t>689 Machaerium capote</t>
  </si>
  <si>
    <t>690 Machaerium sp</t>
  </si>
  <si>
    <t>691 Maclura tinctoria</t>
  </si>
  <si>
    <t>692 Macrocarpaea Macrophylla</t>
  </si>
  <si>
    <t>693 Macrolobium colombianum</t>
  </si>
  <si>
    <t>694 Magnolia grandiflora</t>
  </si>
  <si>
    <t>695 Magnolia hernandezii</t>
  </si>
  <si>
    <t>696 Magnolia silvioi</t>
  </si>
  <si>
    <t>697 Magnolia sp</t>
  </si>
  <si>
    <t>698 Malpighia coccigera</t>
  </si>
  <si>
    <t>699 Malpighia glabra</t>
  </si>
  <si>
    <t>700 Malpighia punicifolia</t>
  </si>
  <si>
    <t>701 Malus domestica</t>
  </si>
  <si>
    <t>702 Malvaviscus arboreus</t>
  </si>
  <si>
    <t>703 Malvaviscus penduliflorus</t>
  </si>
  <si>
    <t>704 Mammea americana</t>
  </si>
  <si>
    <t>705 Mangifera indica</t>
  </si>
  <si>
    <t>706 Manihot esculenta</t>
  </si>
  <si>
    <t>707 Manilkara sp</t>
  </si>
  <si>
    <t>708 Manilkara zapota</t>
  </si>
  <si>
    <t>709 Margaritaria nobilis</t>
  </si>
  <si>
    <t>710 Matayba purgans</t>
  </si>
  <si>
    <t>711 Matisia cordata</t>
  </si>
  <si>
    <t>712 Matisia obliquifolia</t>
  </si>
  <si>
    <t>713 Mauria sp</t>
  </si>
  <si>
    <t>714 Maytenus segoviarum</t>
  </si>
  <si>
    <t>715 Megaskepasma erythrochlamys</t>
  </si>
  <si>
    <t>716 Melaleuca quinquenervia</t>
  </si>
  <si>
    <t>717 Melastoma malabathricum</t>
  </si>
  <si>
    <t>718 Melia azedarach</t>
  </si>
  <si>
    <t>719 Melicoccus bijugatus</t>
  </si>
  <si>
    <t>720 Melicoccus oliviformis</t>
  </si>
  <si>
    <t>721 Melicoccus sp</t>
  </si>
  <si>
    <t>722 Meliosma occidentalis</t>
  </si>
  <si>
    <t>723 Meliosma sp</t>
  </si>
  <si>
    <t>724 Meriania nobilis</t>
  </si>
  <si>
    <t>725 Mespilodaphne veraguensis</t>
  </si>
  <si>
    <t>726 Miconia affinis</t>
  </si>
  <si>
    <t>727 Miconia albicans</t>
  </si>
  <si>
    <t>728 Miconia argentea</t>
  </si>
  <si>
    <t>729 Miconia caudata</t>
  </si>
  <si>
    <t>730 Miconia dodecandra</t>
  </si>
  <si>
    <t>731 Miconia elata</t>
  </si>
  <si>
    <t>732 Miconia ibaguensis</t>
  </si>
  <si>
    <t>733 Miconia laevigata</t>
  </si>
  <si>
    <t>734 Miconia ligustroides</t>
  </si>
  <si>
    <t>735 Miconia minutiflora</t>
  </si>
  <si>
    <t>736 Miconia mirabilis</t>
  </si>
  <si>
    <t>737 Miconia multiflora</t>
  </si>
  <si>
    <t>738 Miconia notabilis</t>
  </si>
  <si>
    <t>739 Miconia resima</t>
  </si>
  <si>
    <t>740 Miconia serrulata</t>
  </si>
  <si>
    <t>742 Miconia theaezans</t>
  </si>
  <si>
    <t>743 Miconia tinifolia</t>
  </si>
  <si>
    <t>744 Mikania micrantha</t>
  </si>
  <si>
    <t>745 Millettia pinnata</t>
  </si>
  <si>
    <t>746 Mimosa pigra</t>
  </si>
  <si>
    <t>747 Mimosa sp</t>
  </si>
  <si>
    <t>748 Minquartia guianensis</t>
  </si>
  <si>
    <t>749 Montanoa quadrangularis</t>
  </si>
  <si>
    <t>750 Morella pubescens</t>
  </si>
  <si>
    <t>751 Morinda citrifolia</t>
  </si>
  <si>
    <t>752 Moringa oleifera</t>
  </si>
  <si>
    <t>753 Morisonia oblongifolia</t>
  </si>
  <si>
    <t>754 Morus nigra</t>
  </si>
  <si>
    <t>755 Morus sp</t>
  </si>
  <si>
    <t>756 Muntingia calabura</t>
  </si>
  <si>
    <t>757 Bergera koenigii</t>
  </si>
  <si>
    <t>758 Murraya paniculata</t>
  </si>
  <si>
    <t>759 Mussaenda erythrophylla</t>
  </si>
  <si>
    <t>760 Mussaenda philippica</t>
  </si>
  <si>
    <t>761 Mussaenda sp</t>
  </si>
  <si>
    <t>762 Myrcia antioquensis</t>
  </si>
  <si>
    <t>763 Myrcia popayanensis</t>
  </si>
  <si>
    <t>764 Myrcia sp</t>
  </si>
  <si>
    <t>765 Myrcia subsessilis</t>
  </si>
  <si>
    <t>766 Myrcianthes sp</t>
  </si>
  <si>
    <t>767 Plinia cauliflora</t>
  </si>
  <si>
    <t>768 Myroxylon balsamum</t>
  </si>
  <si>
    <t>769 Myrsine coriacea</t>
  </si>
  <si>
    <t>770 Myrsine guianensis</t>
  </si>
  <si>
    <t>771 Nectandra acutifolia</t>
  </si>
  <si>
    <t>772 Nectandra lineata</t>
  </si>
  <si>
    <t>773 Nectandra sp</t>
  </si>
  <si>
    <t>774 Nephelium lappaceum</t>
  </si>
  <si>
    <t>775 Nerium oleander</t>
  </si>
  <si>
    <t>776 Neurolaena lobata</t>
  </si>
  <si>
    <t>777 Normanbya normanbyi</t>
  </si>
  <si>
    <t>778 Ochna serrulata</t>
  </si>
  <si>
    <t>779 Ochna thomasiana</t>
  </si>
  <si>
    <t>780 Ochroma pyramidale</t>
  </si>
  <si>
    <t>781 Ocotea aurantiodora</t>
  </si>
  <si>
    <t>782 Ocotea macrophylla</t>
  </si>
  <si>
    <t>783 Ocotea guianensis</t>
  </si>
  <si>
    <t>784 Ocotea insularis</t>
  </si>
  <si>
    <t>785 Ocotea longifolia</t>
  </si>
  <si>
    <t>786 Ocotea macropoda</t>
  </si>
  <si>
    <t>787 Ocotea sp</t>
  </si>
  <si>
    <t>788 Oenocarpus bataua</t>
  </si>
  <si>
    <t>789 Opuntia ficus-indica</t>
  </si>
  <si>
    <t>790 Orania palindan</t>
  </si>
  <si>
    <t>791 Oreopanax sp</t>
  </si>
  <si>
    <t>792 Ormosia colombiana</t>
  </si>
  <si>
    <t>793 Ormosia sp</t>
  </si>
  <si>
    <t>794 Otoba novogranatensis</t>
  </si>
  <si>
    <t>795 Ozoroa sphaerocarpa</t>
  </si>
  <si>
    <t>796 Pachira aquatica</t>
  </si>
  <si>
    <t>797 Pachira insignis</t>
  </si>
  <si>
    <t>798 Pachira quinata</t>
  </si>
  <si>
    <t>799 Pachira sp</t>
  </si>
  <si>
    <t>800 Pachira speciosa</t>
  </si>
  <si>
    <t>801 Pachystachys coccinea</t>
  </si>
  <si>
    <t>802 Pachystachys lutea</t>
  </si>
  <si>
    <t>803 Palicourea angustifolia</t>
  </si>
  <si>
    <t>804 Palicourea guianensis</t>
  </si>
  <si>
    <t>805 Palicourea quadrilateralis</t>
  </si>
  <si>
    <t>806 Palicourea sp</t>
  </si>
  <si>
    <t>807 Pandanus tectorius</t>
  </si>
  <si>
    <t>808 Pandanus utilis</t>
  </si>
  <si>
    <t>809 Paraserianthes lophantha</t>
  </si>
  <si>
    <t>810 Parkia pendula</t>
  </si>
  <si>
    <t>811 Parkia sp</t>
  </si>
  <si>
    <t>812 Parkinsonia aculeata</t>
  </si>
  <si>
    <t>813 Passiflora arborea</t>
  </si>
  <si>
    <t>814 Paulownia tomentosa</t>
  </si>
  <si>
    <t>815 Pausandra sp</t>
  </si>
  <si>
    <t>816 Pavonia sepium</t>
  </si>
  <si>
    <t>817 Peltogyne paniculata</t>
  </si>
  <si>
    <t>818 Peltophorum pterocarpum</t>
  </si>
  <si>
    <t>819 Pentaclethra macroloba</t>
  </si>
  <si>
    <t>820 Pentagonia pinnatifida</t>
  </si>
  <si>
    <t>821 Pera arborea</t>
  </si>
  <si>
    <t>822 Perebea guianensis</t>
  </si>
  <si>
    <t>823 Pereskia bleo</t>
  </si>
  <si>
    <t>824 Persea americana</t>
  </si>
  <si>
    <t>825 Persea caerulea</t>
  </si>
  <si>
    <t>826 Persea sp</t>
  </si>
  <si>
    <t>827 Perymenium grande</t>
  </si>
  <si>
    <t>828 Petitia domingensis</t>
  </si>
  <si>
    <t>829 Petiveria alliacea</t>
  </si>
  <si>
    <t>830 Petrea rugosa</t>
  </si>
  <si>
    <t>831 Petrea pubescens</t>
  </si>
  <si>
    <t>832 Petrea volubilis</t>
  </si>
  <si>
    <t>833 Philodendron bipinnatifidum</t>
  </si>
  <si>
    <t>834 Phoenix canariensis</t>
  </si>
  <si>
    <t>835 Phoenix dactylifera</t>
  </si>
  <si>
    <t>836 Phoenix reclinata</t>
  </si>
  <si>
    <t>837 Phoenix roebelenii</t>
  </si>
  <si>
    <t>838 Phoenix sylvestris</t>
  </si>
  <si>
    <t>839 Photinia sp</t>
  </si>
  <si>
    <t>840 Phyllanthus acidus</t>
  </si>
  <si>
    <t>841 Phyllanthus acuminatus</t>
  </si>
  <si>
    <t>842 Physocarpus opulifolius</t>
  </si>
  <si>
    <t>843 Phytelephas macrocarpa</t>
  </si>
  <si>
    <t>844 Phytelephas sp</t>
  </si>
  <si>
    <t>845 Phytolacca dioica</t>
  </si>
  <si>
    <t>846 Pimenta dioica</t>
  </si>
  <si>
    <t>847 Pimenta racemosa</t>
  </si>
  <si>
    <t>848 Pinus caribaea</t>
  </si>
  <si>
    <t>849 Pinus oocarpa</t>
  </si>
  <si>
    <t>850 Pinus patula</t>
  </si>
  <si>
    <t>851 Piper aduncum</t>
  </si>
  <si>
    <t>852 Piper auritum</t>
  </si>
  <si>
    <t>853 Piper hispidum</t>
  </si>
  <si>
    <t>854 Piper holtonii</t>
  </si>
  <si>
    <t>855 Piper sp</t>
  </si>
  <si>
    <t>856 Pisonia aculeata</t>
  </si>
  <si>
    <t>857 Pithecellobium dulce</t>
  </si>
  <si>
    <t>858 Pithecellobium lanceolatum</t>
  </si>
  <si>
    <t>859 Pittosporum sp</t>
  </si>
  <si>
    <t>860 Pittosporum tenuifolium</t>
  </si>
  <si>
    <t>861 Pittosporum undulatum</t>
  </si>
  <si>
    <t>862 Platycladus orientalis</t>
  </si>
  <si>
    <t>863 Platymiscium darienense</t>
  </si>
  <si>
    <t>864 Platymiscium pinnatum</t>
  </si>
  <si>
    <t>865 Platypodium elegans</t>
  </si>
  <si>
    <t>866 Plerandra elegantissima</t>
  </si>
  <si>
    <t>867 Pleuropetalum sp</t>
  </si>
  <si>
    <t>868 Pleuropetalum sprucei</t>
  </si>
  <si>
    <t>869 Pleurothyrium sp</t>
  </si>
  <si>
    <t>870 Plumbago auriculata</t>
  </si>
  <si>
    <t>871 Plumeria alba</t>
  </si>
  <si>
    <t>872 Plumeria obtusa</t>
  </si>
  <si>
    <t>873 Plumeria pudica</t>
  </si>
  <si>
    <t>874 Plumeria rubra</t>
  </si>
  <si>
    <t>875 Plumeria sp</t>
  </si>
  <si>
    <t>876 Podocarpus guatemalensis</t>
  </si>
  <si>
    <t>877 Podocarpus macrophyllus</t>
  </si>
  <si>
    <t>878 Podocarpus oleifolius</t>
  </si>
  <si>
    <t>879 Podocarpus sp</t>
  </si>
  <si>
    <t>880 Poeppigia procera</t>
  </si>
  <si>
    <t>881 Pogonopus exsertus</t>
  </si>
  <si>
    <t>882 Monoon longifolium</t>
  </si>
  <si>
    <t>883 Polyscias balfouriana</t>
  </si>
  <si>
    <t>884 Polyscias fruticosa</t>
  </si>
  <si>
    <t>885 Polyscias guilfoylei</t>
  </si>
  <si>
    <t>886 Polyscias paniculata</t>
  </si>
  <si>
    <t>887 Polyscias scutellaria</t>
  </si>
  <si>
    <t>888 Polyscias sp</t>
  </si>
  <si>
    <t>889 Pongamia pinnata</t>
  </si>
  <si>
    <t>890 Populus deltoides</t>
  </si>
  <si>
    <t>891 Posoqueria latifolia</t>
  </si>
  <si>
    <t>892 Pourouma sp</t>
  </si>
  <si>
    <t>893 Pourouma cecropiifolia</t>
  </si>
  <si>
    <t>894 Pouteria baehniana</t>
  </si>
  <si>
    <t>895 Pouteria caimito</t>
  </si>
  <si>
    <t>896 Pouteria torta</t>
  </si>
  <si>
    <t>897 Pouteria durlandii</t>
  </si>
  <si>
    <t>898 Pouteria guianensis</t>
  </si>
  <si>
    <t>899 Pouteria krukovii</t>
  </si>
  <si>
    <t>900 Pouteria multiflora</t>
  </si>
  <si>
    <t>901 Pouteria sapota</t>
  </si>
  <si>
    <t>902 Pouteria sp</t>
  </si>
  <si>
    <t>903 Prestoea acuminata</t>
  </si>
  <si>
    <t>904 Prestoea carderi</t>
  </si>
  <si>
    <t>905 Prioria copaifera</t>
  </si>
  <si>
    <t>906 Pritchardia pacifica</t>
  </si>
  <si>
    <t>907 Prosopis juliflora</t>
  </si>
  <si>
    <t>908 Protium apiculatum</t>
  </si>
  <si>
    <t>909 Prunus persica</t>
  </si>
  <si>
    <t>910 Prunus serotina</t>
  </si>
  <si>
    <t>911 Prunus urotaenia</t>
  </si>
  <si>
    <t>912 Pseuderanthemum maculatum</t>
  </si>
  <si>
    <t>913 Pseudobombax septenatum</t>
  </si>
  <si>
    <t>914 Pseudosamanea guachapele</t>
  </si>
  <si>
    <t>915 Psidium cattleianum</t>
  </si>
  <si>
    <t>916 Psidium friedrichsthalianum</t>
  </si>
  <si>
    <t>917 Psidium guajava</t>
  </si>
  <si>
    <t>918 Psidium guineense</t>
  </si>
  <si>
    <t>919 Psidium sp</t>
  </si>
  <si>
    <t>920 Psychotria nervosa</t>
  </si>
  <si>
    <t>921 Pterocarpus acapulcensis</t>
  </si>
  <si>
    <t>922 Pterocarpus santalinoides</t>
  </si>
  <si>
    <t>923 Pterocarpus sp</t>
  </si>
  <si>
    <t>924 Ptychosperma elegans</t>
  </si>
  <si>
    <t>925 Ptychosperma macarthurii</t>
  </si>
  <si>
    <t>926 Pueraria montana</t>
  </si>
  <si>
    <t>927 Punica granatum</t>
  </si>
  <si>
    <t>928 Pyracantha coccinea</t>
  </si>
  <si>
    <t>929 Quadrella odoratissima</t>
  </si>
  <si>
    <t>930 Quararibea funebris</t>
  </si>
  <si>
    <t>931 Quercus humboldtii</t>
  </si>
  <si>
    <t>932 Quercus phellos</t>
  </si>
  <si>
    <t>933 Quillaja saponaria</t>
  </si>
  <si>
    <t>934 Ravenala madagascariensis</t>
  </si>
  <si>
    <t>935 Ravenea rivularis</t>
  </si>
  <si>
    <t>936 Retrophyllum rospigliosii</t>
  </si>
  <si>
    <t>937 Rhapis excelsa</t>
  </si>
  <si>
    <t>938 Rhododendron simsii</t>
  </si>
  <si>
    <t>939 Rhodostemonodaphne kunthiana</t>
  </si>
  <si>
    <t>940 Rhopalostylis sapida</t>
  </si>
  <si>
    <t>941 Rhus glabra</t>
  </si>
  <si>
    <t>942 Rhus virens</t>
  </si>
  <si>
    <t>943 Ricinus communis</t>
  </si>
  <si>
    <t>944 Rollinia membranacea</t>
  </si>
  <si>
    <t>945 Rosa chinensis</t>
  </si>
  <si>
    <t>946 Rosa cinnamomea L</t>
  </si>
  <si>
    <t>947 Rosa pendulina</t>
  </si>
  <si>
    <t>948 Rosa multiflora</t>
  </si>
  <si>
    <t>949 Rosa sempervirens</t>
  </si>
  <si>
    <t>950 Rosa sp</t>
  </si>
  <si>
    <t>951 Roystonea oleracea</t>
  </si>
  <si>
    <t>952 Roystonea regia</t>
  </si>
  <si>
    <t>953 Ruagea pubescens</t>
  </si>
  <si>
    <t>954 Ruellia simplex</t>
  </si>
  <si>
    <t>955 Ruellia sp</t>
  </si>
  <si>
    <t>956 Sabal domingensis</t>
  </si>
  <si>
    <t>957 Sabal mauritiiformis</t>
  </si>
  <si>
    <t>958 Sabal palmetto</t>
  </si>
  <si>
    <t>959 Salacca zalacca</t>
  </si>
  <si>
    <t>960 Salix babylonica</t>
  </si>
  <si>
    <t>961 Salix humboldtiana</t>
  </si>
  <si>
    <t>962 Salix nigra</t>
  </si>
  <si>
    <t>963 Salvia microphylla</t>
  </si>
  <si>
    <t>964 Salvia splendens</t>
  </si>
  <si>
    <t>965 Samanea saman</t>
  </si>
  <si>
    <t>966 Sambucus nigra</t>
  </si>
  <si>
    <t>967 Sambucus peruviana</t>
  </si>
  <si>
    <t>968 Sanchezia oblonga</t>
  </si>
  <si>
    <t>969 Sanchezia speciosa</t>
  </si>
  <si>
    <t>970 Sapindus saponaria</t>
  </si>
  <si>
    <t>971 Sapium aucuparium</t>
  </si>
  <si>
    <t>972 Sapium sp</t>
  </si>
  <si>
    <t>973 Saurauia sp</t>
  </si>
  <si>
    <t>974 Schefflera actinophylla</t>
  </si>
  <si>
    <t>975 Schefflera arboricola</t>
  </si>
  <si>
    <t>976 Schefflera elegantissima</t>
  </si>
  <si>
    <t>977 Schinus molle</t>
  </si>
  <si>
    <t>978 Schinus terebinthifolia</t>
  </si>
  <si>
    <t>979 Schizolobium parahyba</t>
  </si>
  <si>
    <t>980 Senna alata</t>
  </si>
  <si>
    <t>981 Senna bicapsularis</t>
  </si>
  <si>
    <t>982 Senna corymbosa</t>
  </si>
  <si>
    <t>983 Senna occidentalis</t>
  </si>
  <si>
    <t>984 Senna pistaciifolia</t>
  </si>
  <si>
    <t>985 Senna polyphylla</t>
  </si>
  <si>
    <t>986 Senna reticulata</t>
  </si>
  <si>
    <t>987 Senna septemtrionalis</t>
  </si>
  <si>
    <t>988 Senna siamea</t>
  </si>
  <si>
    <t>989 Senna sp</t>
  </si>
  <si>
    <t>990 Senna surattensis</t>
  </si>
  <si>
    <t>991 Sesbania grandiflora</t>
  </si>
  <si>
    <t>992 Sida rhombifolia</t>
  </si>
  <si>
    <t>993 Simarouba amara</t>
  </si>
  <si>
    <t>994 Siparuna cuspidata</t>
  </si>
  <si>
    <t>995 Sloanea zuliaensis</t>
  </si>
  <si>
    <t>996 Socratea exorrhiza</t>
  </si>
  <si>
    <t>997 Solandra grandiflora</t>
  </si>
  <si>
    <t>998 Solandra maxima</t>
  </si>
  <si>
    <t>999 Solanum betaceum</t>
  </si>
  <si>
    <t>1000 Solanum macranthum</t>
  </si>
  <si>
    <t>1001 Solanum mammosum</t>
  </si>
  <si>
    <t>1002 Solanum mauritianum</t>
  </si>
  <si>
    <t>1003 Solanum oblongifolium</t>
  </si>
  <si>
    <t>1004 Solanum quitoense</t>
  </si>
  <si>
    <t>1005 Solanum rovirosanum</t>
  </si>
  <si>
    <t>1006 Solanum rudepannum</t>
  </si>
  <si>
    <t>1007 Solanum sp</t>
  </si>
  <si>
    <t>1008 Solanum sycophanta</t>
  </si>
  <si>
    <t>1009 Solanum torvum</t>
  </si>
  <si>
    <t>1010 Solanum umbellatum</t>
  </si>
  <si>
    <t>1011 Solanum wrightii</t>
  </si>
  <si>
    <t>1012 Spachea herbert-smithii</t>
  </si>
  <si>
    <t>1013 Spathodea campanulata</t>
  </si>
  <si>
    <t>1014 Spirotheca rosea</t>
  </si>
  <si>
    <t>1015 Spirotheca sp</t>
  </si>
  <si>
    <t>1016 Spondias dulcis</t>
  </si>
  <si>
    <t>1017 Spondias mombin</t>
  </si>
  <si>
    <t>1018 Spondias purpurea</t>
  </si>
  <si>
    <t>1019 Stachytarpheta frantzii</t>
  </si>
  <si>
    <t>1020 Stachytarpheta mutabilis</t>
  </si>
  <si>
    <t>1021 Stachytarpheta jamaicensis</t>
  </si>
  <si>
    <t>1022 Stemmadenia litoralis</t>
  </si>
  <si>
    <t>1023 Sterculia apetala</t>
  </si>
  <si>
    <t>1024 Stryphnodendron sp</t>
  </si>
  <si>
    <t>1025 Stylogyne sp</t>
  </si>
  <si>
    <t>1026 Swartzia macrophylla</t>
  </si>
  <si>
    <t>1027 Swartzia oraria</t>
  </si>
  <si>
    <t>1028 Swartzia robiniifolia</t>
  </si>
  <si>
    <t>1029 Swartzia sp</t>
  </si>
  <si>
    <t>1030 Swietenia macrophylla</t>
  </si>
  <si>
    <t>1031 Swietenia mahagoni</t>
  </si>
  <si>
    <t>1032 Swinglea glutinosa</t>
  </si>
  <si>
    <t>1033 Syagrus romanzoffiana</t>
  </si>
  <si>
    <t>1034 Syagrus sancona</t>
  </si>
  <si>
    <t>1035 Synechanthus fibrosus</t>
  </si>
  <si>
    <t>1036 Synsepalum dulcificum</t>
  </si>
  <si>
    <t>1037 Syzygium cumini</t>
  </si>
  <si>
    <t>1038 Syzygium jambos</t>
  </si>
  <si>
    <t>1039 Syzygium malaccense</t>
  </si>
  <si>
    <t>1040 Syzygium paniculata</t>
  </si>
  <si>
    <t>1041 Syzygium sp</t>
  </si>
  <si>
    <t>1042 Tabebuia billbergii</t>
  </si>
  <si>
    <t>1043 Tabebuia chrysea</t>
  </si>
  <si>
    <t>1044 Tabebuia chrysotricha</t>
  </si>
  <si>
    <t>1045 Tabebuia impetiginosa</t>
  </si>
  <si>
    <t>1046 Tabebuia ochracea</t>
  </si>
  <si>
    <t>1047 Tabebuia pallida</t>
  </si>
  <si>
    <t>1048 Tabebuia rosea</t>
  </si>
  <si>
    <t>1049 Tabebuia sp</t>
  </si>
  <si>
    <t>1050 Tabernaemontana amygdalifolia</t>
  </si>
  <si>
    <t>1051 Tabernaemontana coronaria</t>
  </si>
  <si>
    <t>1052 Tabernaemontana divaricata</t>
  </si>
  <si>
    <t>1053 Tabernaemontana litoralis</t>
  </si>
  <si>
    <t>1054 Tabernaemontana markgrafiana</t>
  </si>
  <si>
    <t>1055 Tabernaemontana sp</t>
  </si>
  <si>
    <t>1056 Tachigali costaricensis</t>
  </si>
  <si>
    <t>1057 Talipariti tiliaceum</t>
  </si>
  <si>
    <t>1058 Talisia cerasina</t>
  </si>
  <si>
    <t>1059 Tamarindus indica</t>
  </si>
  <si>
    <t>1060 Tapirira guianensis</t>
  </si>
  <si>
    <t>1061 Taxodium mucronatum</t>
  </si>
  <si>
    <t>1062 Tecoma capensis</t>
  </si>
  <si>
    <t>1063 Tecoma stans</t>
  </si>
  <si>
    <t>1064 Tectona grandis</t>
  </si>
  <si>
    <t>1065 Terminalia amazonia</t>
  </si>
  <si>
    <t>1067 Terminalia catappa</t>
  </si>
  <si>
    <t>1068 Terminalia chiriquensis</t>
  </si>
  <si>
    <t>1069 Terminalia ivorensis</t>
  </si>
  <si>
    <t>1070 Terminalia mantaly</t>
  </si>
  <si>
    <t>1071 Terminalia oblonga</t>
  </si>
  <si>
    <t>1072 Terminalia superba</t>
  </si>
  <si>
    <t>1073 Tessaria integrifolia</t>
  </si>
  <si>
    <t>1074 Tetrapanax papyrifer</t>
  </si>
  <si>
    <t>1075 Theobroma bicolor</t>
  </si>
  <si>
    <t>1076 Theobroma cacao</t>
  </si>
  <si>
    <t>1077 Theobroma grandiflorum</t>
  </si>
  <si>
    <t>1078 Thespesia populnea</t>
  </si>
  <si>
    <t>1079 Thevetia ahouai</t>
  </si>
  <si>
    <t>1080 Thevetia peruviana</t>
  </si>
  <si>
    <t>1081 Tithonia diversifolia</t>
  </si>
  <si>
    <t>1082 Thrinax parviflora</t>
  </si>
  <si>
    <t>1083 Thunbergia sp</t>
  </si>
  <si>
    <t>1084 Thunbergia erecta</t>
  </si>
  <si>
    <t>1085 Tibouchina gracilis</t>
  </si>
  <si>
    <t>1086 Tibouchina granulosa</t>
  </si>
  <si>
    <t>1087 Tibouchina heteromalla</t>
  </si>
  <si>
    <t>1088 Tibouchina lepidota</t>
  </si>
  <si>
    <t>1089 Tibouchina urvilleana</t>
  </si>
  <si>
    <t>1090 Tilia europaea</t>
  </si>
  <si>
    <t>1091 Toddalia sp</t>
  </si>
  <si>
    <t>1092 Tovomita weddelliana</t>
  </si>
  <si>
    <t>1093 Toxicodendron striatum</t>
  </si>
  <si>
    <t>1094 Trachycarpus fortunei</t>
  </si>
  <si>
    <t>1095 Tradescantia fluminensis</t>
  </si>
  <si>
    <t>1096 Tradescantia pallida</t>
  </si>
  <si>
    <t>1097 Trattinnickia aspera</t>
  </si>
  <si>
    <t>1098 Trema micrantha</t>
  </si>
  <si>
    <t>1099 Trichanthera gigantea</t>
  </si>
  <si>
    <t>1100 Trichilia dregeana</t>
  </si>
  <si>
    <t>1101 Trichilia Havanensis</t>
  </si>
  <si>
    <t>1102 Trichilia hirta</t>
  </si>
  <si>
    <t>1103 Trichilia martiana</t>
  </si>
  <si>
    <t>1104 Trichospermum galeottii</t>
  </si>
  <si>
    <t>1105 Triphasia trifolia</t>
  </si>
  <si>
    <t>1106 Triplaris americana</t>
  </si>
  <si>
    <t>1107 Trithrinax schizophylla</t>
  </si>
  <si>
    <t>1108 Turnera ulmifolia</t>
  </si>
  <si>
    <t>1109 Ulmus parvifolia</t>
  </si>
  <si>
    <t>1110 Urera baccifera</t>
  </si>
  <si>
    <t>1111 Urera caracasana</t>
  </si>
  <si>
    <t>1112 Uribea tamarindoides</t>
  </si>
  <si>
    <t>1113 Vachellia collinsii</t>
  </si>
  <si>
    <t>1114 Vachellia farnesiana</t>
  </si>
  <si>
    <t>1115 Vasconcellea sp</t>
  </si>
  <si>
    <t>1116 Vasivaea podocarpa</t>
  </si>
  <si>
    <t>1117 Vatairea guianensis</t>
  </si>
  <si>
    <t>1118 Palma montgomeryana</t>
  </si>
  <si>
    <t>1119 Verbesina crassiramea</t>
  </si>
  <si>
    <t>1120 Vernonia brasiliana</t>
  </si>
  <si>
    <t>1121 Vernonanthura patens</t>
  </si>
  <si>
    <t>1122 Viburnum cornifolium</t>
  </si>
  <si>
    <t>1123 Viburnum odoratissimum</t>
  </si>
  <si>
    <t>1124 Viburnum sp</t>
  </si>
  <si>
    <t>1125 Virola multiflora</t>
  </si>
  <si>
    <t>1126 Virola sebifera</t>
  </si>
  <si>
    <t>1127 Viscum album</t>
  </si>
  <si>
    <t>1128 Vismia baccifera</t>
  </si>
  <si>
    <t>1129 Vismia guianensis</t>
  </si>
  <si>
    <t>1130 Vitex cymosa</t>
  </si>
  <si>
    <t>1131 Vitex cooperi</t>
  </si>
  <si>
    <t>1132 Vitex parviflora</t>
  </si>
  <si>
    <t>1133 Vitex sp</t>
  </si>
  <si>
    <t>1134 Vochysia sp</t>
  </si>
  <si>
    <t>1135 Washingtonia filifera</t>
  </si>
  <si>
    <t>1136 Washingtonia robusta</t>
  </si>
  <si>
    <t>1137 Weinmannia pubescens</t>
  </si>
  <si>
    <t>1138 Weinmannia tomentosa</t>
  </si>
  <si>
    <t>1139 Welfia regia</t>
  </si>
  <si>
    <t>1140 Wettinia radiata</t>
  </si>
  <si>
    <t>1141 Wettinia sp</t>
  </si>
  <si>
    <t>1142 Wittmackanthus stanleyanus</t>
  </si>
  <si>
    <t>1143 Wodyetia bifurcata</t>
  </si>
  <si>
    <t>1144 Xylopia aromatica</t>
  </si>
  <si>
    <t>1145 Yucca aloifolia</t>
  </si>
  <si>
    <t>1146 Yucca filifera</t>
  </si>
  <si>
    <t>1147 Yucca gigantea</t>
  </si>
  <si>
    <t>1148 Yucca gloriosa</t>
  </si>
  <si>
    <t>1149 Zanthoxylum gentryi</t>
  </si>
  <si>
    <t>1150 Zanthoxylum rhoifolium</t>
  </si>
  <si>
    <t>1151 Ziziphus jujuba</t>
  </si>
  <si>
    <t>1152 Ziziphus mauritiana</t>
  </si>
  <si>
    <t>1153 Zygia longifolia</t>
  </si>
  <si>
    <t>1154 Achyranthes aspera</t>
  </si>
  <si>
    <t>1155 Kleinhovia hospita</t>
  </si>
  <si>
    <t>1156 Lippia alba</t>
  </si>
  <si>
    <t>1157 Galanthus nivalis</t>
  </si>
  <si>
    <t>1158 Mentha spicata</t>
  </si>
  <si>
    <t>1159 Amaranthus paniculatus var. Cruentus (L)</t>
  </si>
  <si>
    <t>1160 Ailanthus altissima</t>
  </si>
  <si>
    <t>1161 Abatia parviflora</t>
  </si>
  <si>
    <t>1162 Annona sp</t>
  </si>
  <si>
    <t>1163 Apocynaceae</t>
  </si>
  <si>
    <t>1164 Asteraceae</t>
  </si>
  <si>
    <t>1165 Baccharis sp</t>
  </si>
  <si>
    <t>1166 Bambusa sp</t>
  </si>
  <si>
    <t>1167 Bejaria aestuans</t>
  </si>
  <si>
    <t>1168 Bocconia frutescens</t>
  </si>
  <si>
    <t>1169 Bougainvillea sp</t>
  </si>
  <si>
    <t>1170 Bougainvillea spectabilis</t>
  </si>
  <si>
    <t>1171 Brugmansia candida</t>
  </si>
  <si>
    <t>1172 Brunellia sp</t>
  </si>
  <si>
    <t>1173 Brunfelsia australis</t>
  </si>
  <si>
    <t>1177 Cassia sp</t>
  </si>
  <si>
    <t>1178 Citrus limon</t>
  </si>
  <si>
    <t>1179 Clethra fagifolia</t>
  </si>
  <si>
    <t>1180 Clusia ducuoides</t>
  </si>
  <si>
    <t>1181 Clusia trochiformis</t>
  </si>
  <si>
    <t>1182 Coffea sp</t>
  </si>
  <si>
    <t>1183 Crotalaria micans</t>
  </si>
  <si>
    <t>1184 Cupressus macrocarpa</t>
  </si>
  <si>
    <t>1185 Cycas sp</t>
  </si>
  <si>
    <t>1186 Daphnopsis caracasana</t>
  </si>
  <si>
    <t>1187 Dombeya cayeuxii</t>
  </si>
  <si>
    <t>1188 Drimys granadensis</t>
  </si>
  <si>
    <t>1189 Erythrina costaricensis</t>
  </si>
  <si>
    <t>1190 Escallonia paniculata</t>
  </si>
  <si>
    <t>1191 Eugenia sp</t>
  </si>
  <si>
    <t>1193 Ficus cyathistipula</t>
  </si>
  <si>
    <t>1194 Malvaceae</t>
  </si>
  <si>
    <t>1195 Myrtaceae</t>
  </si>
  <si>
    <t>1196 Fucraea sp</t>
  </si>
  <si>
    <t>1197 Furcraea andina</t>
  </si>
  <si>
    <t>1198 Geissanthus kalbreyeri</t>
  </si>
  <si>
    <t>1199 Rubiaceae</t>
  </si>
  <si>
    <t>1200 Salicaceae</t>
  </si>
  <si>
    <t>1201 Sapotaceae</t>
  </si>
  <si>
    <t>1202 Solanaceae</t>
  </si>
  <si>
    <t>1203 Verbenaceae</t>
  </si>
  <si>
    <t>1204 Hieronyma antioquensis</t>
  </si>
  <si>
    <t>1205 Ilex danielis</t>
  </si>
  <si>
    <t>1206 Ilex laurina</t>
  </si>
  <si>
    <t>1207 Inga capitata</t>
  </si>
  <si>
    <t>1208 Inga punctata</t>
  </si>
  <si>
    <t>1209 Inga marginata</t>
  </si>
  <si>
    <t>1210 Juniperus sp</t>
  </si>
  <si>
    <t>1211 Juniperus squamata</t>
  </si>
  <si>
    <t>1213 Leucaena sp</t>
  </si>
  <si>
    <t>1214 Magnolia polyhypsophylla</t>
  </si>
  <si>
    <t>1216 Matayba elegans </t>
  </si>
  <si>
    <t>1217 Mauria heterophylla</t>
  </si>
  <si>
    <t>1218 Miconia sp</t>
  </si>
  <si>
    <t>1219 Melissa officinalis</t>
  </si>
  <si>
    <t>1220 Miconia lehmannii </t>
  </si>
  <si>
    <t>1221 Monnina solandrifolia</t>
  </si>
  <si>
    <t>1222 Monnina speciosa</t>
  </si>
  <si>
    <t>1223 Morus alba</t>
  </si>
  <si>
    <t>1224 Myrcianthes leucoxyla</t>
  </si>
  <si>
    <t>1225 Myrcianthes rhopaloides</t>
  </si>
  <si>
    <t>1226 Myrsine sp</t>
  </si>
  <si>
    <t>1228 Nectandra reticulata</t>
  </si>
  <si>
    <t>1229 Nectandra laurel</t>
  </si>
  <si>
    <t>1230 Oreopanax bogotensis</t>
  </si>
  <si>
    <t>1231 Oreopanax incisus</t>
  </si>
  <si>
    <t>1233 Pinus maximinoi</t>
  </si>
  <si>
    <t>1241 Rosmarinus officinalis</t>
  </si>
  <si>
    <t>1234 Pinus sp</t>
  </si>
  <si>
    <t>1242 Roupala monosperma</t>
  </si>
  <si>
    <t>1235 Piptocoma discolor </t>
  </si>
  <si>
    <t>1237 Prunus muris </t>
  </si>
  <si>
    <t>1238 Pyracantha angustifolia</t>
  </si>
  <si>
    <t>1239 Pyracantha sp,</t>
  </si>
  <si>
    <t>1251 Turpinia occidentalis</t>
  </si>
  <si>
    <t>1253 Terminalia sp</t>
  </si>
  <si>
    <t>1254 Tournefortia fuliginosa</t>
  </si>
  <si>
    <t>1255 Tournefortia scabrida</t>
  </si>
  <si>
    <t>1244 Salacia sp</t>
  </si>
  <si>
    <t>1256 Tournefortia sp</t>
  </si>
  <si>
    <t>1257 Vasconcellea pubescens </t>
  </si>
  <si>
    <t>1246 Sapium stylare</t>
  </si>
  <si>
    <t>1259 Verbesina nudipes</t>
  </si>
  <si>
    <t>1248 Saurauia ursina</t>
  </si>
  <si>
    <t>1249 Schefflera sp</t>
  </si>
  <si>
    <t>1261 Viburnum undulatum</t>
  </si>
  <si>
    <t>1262 Vitellaria paradoxa</t>
  </si>
  <si>
    <t>1263 Xylosma spiculifera</t>
  </si>
  <si>
    <t>1264 Phyllostachys aurea</t>
  </si>
  <si>
    <t>1265 Furcraea selloa</t>
  </si>
  <si>
    <t>1252 Syzygium paniculatum</t>
  </si>
  <si>
    <t>1267 Amyris pinnata</t>
  </si>
  <si>
    <t>1268 Baccharis trinervis</t>
  </si>
  <si>
    <t>1269 Beaucarnea pliabilis</t>
  </si>
  <si>
    <t>1270 Brunfelsia americana</t>
  </si>
  <si>
    <t>1271 Cascabela thevetia</t>
  </si>
  <si>
    <t>1272 Cassia leptophylla</t>
  </si>
  <si>
    <t>1273 Cenostigma eriostachys</t>
  </si>
  <si>
    <t>1274 Cordia nodosa</t>
  </si>
  <si>
    <t>1275 Croton flavens</t>
  </si>
  <si>
    <t>1276 Dracaena draco</t>
  </si>
  <si>
    <t>1277 Ficus lutea</t>
  </si>
  <si>
    <t>1279 Malpighia emarginata</t>
  </si>
  <si>
    <t>1280 Nectandra hihua</t>
  </si>
  <si>
    <t>1281 Paliurus spina-christi</t>
  </si>
  <si>
    <t>1282 Pterocarpus indicus</t>
  </si>
  <si>
    <t>1283 Garcia nutans</t>
  </si>
  <si>
    <t>1284 Jasminum grandiflorum</t>
  </si>
  <si>
    <t>1285 Leucophyllum frutescens</t>
  </si>
  <si>
    <t>1286 Morus indica</t>
  </si>
  <si>
    <t>1287 Morus rubra</t>
  </si>
  <si>
    <t>1288 Odontonema cuspidatum</t>
  </si>
  <si>
    <t>1289 Passiflora edulis</t>
  </si>
  <si>
    <t>1290 Trema tomentosum</t>
  </si>
  <si>
    <t>1291 Vesalea grandifolia</t>
  </si>
  <si>
    <t>1292 Citrus japonica</t>
  </si>
  <si>
    <t>1293 Cryptostegia madagascariensis</t>
  </si>
  <si>
    <t>1294 Ficus maxima</t>
  </si>
  <si>
    <t>1295 Guaiacum sanctum</t>
  </si>
  <si>
    <t>1296 Majidea zanguebarica</t>
  </si>
  <si>
    <t>1297 Myrcia splendens</t>
  </si>
  <si>
    <t>1298 Olea europaea</t>
  </si>
  <si>
    <t>1299 Philodendron erubescens</t>
  </si>
  <si>
    <t>1300 Rosa damascena</t>
  </si>
  <si>
    <t>1301 Tabebuia roseoalba</t>
  </si>
  <si>
    <t>1302 Varronia polycephala</t>
  </si>
  <si>
    <t>1303 Vitex agnus-castus</t>
  </si>
  <si>
    <t>1304 Koelreuteria bipinnata</t>
  </si>
  <si>
    <t>1305 Zygia sp</t>
  </si>
  <si>
    <t>1306 Acacia sp</t>
  </si>
  <si>
    <t>1307 Cecropia sp</t>
  </si>
  <si>
    <t>1308 Syzygium myrtifolium</t>
  </si>
  <si>
    <t>1309 Baccharis oblongifolia</t>
  </si>
  <si>
    <t>1310 Euphorbia sp</t>
  </si>
  <si>
    <t>1311 Hibiscus tiliaceus</t>
  </si>
  <si>
    <t>1313 Rosa banksiae</t>
  </si>
  <si>
    <t>1314 Cephalotaxus harringtonii</t>
  </si>
  <si>
    <t>1315 Verbena tweedieana</t>
  </si>
  <si>
    <t>1316 Jasminum sambac</t>
  </si>
  <si>
    <t>1317 Acacia retinodes</t>
  </si>
  <si>
    <t>1319 Cinnamomum camphora</t>
  </si>
  <si>
    <t>1320 Tephrosia vogelii</t>
  </si>
  <si>
    <t>1321 Varronia curassavica</t>
  </si>
  <si>
    <t>1322 Gymnanthemum amygdalinum</t>
  </si>
  <si>
    <t>1323  Combretum indicum</t>
  </si>
  <si>
    <t>1324 Syngonium auritum</t>
  </si>
  <si>
    <t>1325 Myosotis sp</t>
  </si>
  <si>
    <t>1326 Theobroma speciosum</t>
  </si>
  <si>
    <t>1 Frijolillo; Rayo; Guacamayo Blanco; Carbonero; Arenillo de Monte Chocho</t>
  </si>
  <si>
    <t>2 Abarema</t>
  </si>
  <si>
    <t>3 Hibisco</t>
  </si>
  <si>
    <t>4 Abutilon</t>
  </si>
  <si>
    <t>5 Faroolito Japones</t>
  </si>
  <si>
    <t>6 Abutilon</t>
  </si>
  <si>
    <t>7 Dormilón</t>
  </si>
  <si>
    <t>8 Acacia (Baileyana)</t>
  </si>
  <si>
    <t>9 Aromo</t>
  </si>
  <si>
    <t>10 Acacia Roja (Decurrens)</t>
  </si>
  <si>
    <t>11 Acacia de Desierto; Acacia Farnesiana</t>
  </si>
  <si>
    <t>12 Acacia Mangium</t>
  </si>
  <si>
    <t>13 Acacia Japonesa; Acacia Negra</t>
  </si>
  <si>
    <t>14 Acacia</t>
  </si>
  <si>
    <t>15 Acalifa Repollo; Carlota</t>
  </si>
  <si>
    <t>16 Carlota</t>
  </si>
  <si>
    <t>17 Cola de Zorro</t>
  </si>
  <si>
    <t>18 Ortiga</t>
  </si>
  <si>
    <t>19 Vara de Alcalde; Salvia de Monte</t>
  </si>
  <si>
    <t>20 Carlota</t>
  </si>
  <si>
    <t>21 Guayaba Feijoa</t>
  </si>
  <si>
    <t>22 Totocal O Limon Macho</t>
  </si>
  <si>
    <t>23 Güitite; Tabalgue; Tomatoquina</t>
  </si>
  <si>
    <t>24 Tasaa</t>
  </si>
  <si>
    <t>25 Cedro Rosado de la India</t>
  </si>
  <si>
    <t>26 Palma Chonta; Corozo Baboso</t>
  </si>
  <si>
    <t>27 Coralito; Chocho</t>
  </si>
  <si>
    <t>28 Chaparro</t>
  </si>
  <si>
    <t>29 Palma de Manila; Palma de Navidad</t>
  </si>
  <si>
    <t>30 Aegiceras Corniculatum</t>
  </si>
  <si>
    <t>31 Pavo; Juan Blanco</t>
  </si>
  <si>
    <t>32 Contraculebra de Venezuela</t>
  </si>
  <si>
    <t>33 Loro</t>
  </si>
  <si>
    <t>34 Tabaquillo; Palo Blanco; Mantequillo; Sapo de Vieja</t>
  </si>
  <si>
    <t>35 Motua; Chaguar; Maguey</t>
  </si>
  <si>
    <t>36 Maguey del Dragón</t>
  </si>
  <si>
    <t>37 Pita; Pitera; Magüey</t>
  </si>
  <si>
    <t>38 Laurel Feve</t>
  </si>
  <si>
    <t>39 Palma Corocito; Corozo Rojo; Chascaraiza; Mararay</t>
  </si>
  <si>
    <t>40 Corozo; Perrero</t>
  </si>
  <si>
    <t>41 Pisquín; Carbonero</t>
  </si>
  <si>
    <t>42 Igua</t>
  </si>
  <si>
    <t>43 Acacia de Constantinopla</t>
  </si>
  <si>
    <t>44 Carbonero Dormilón; Bayeto</t>
  </si>
  <si>
    <t>45 Pisquin; Guacamayo</t>
  </si>
  <si>
    <t>46 Saman</t>
  </si>
  <si>
    <t>47 Albizia</t>
  </si>
  <si>
    <t>48 Cafesito</t>
  </si>
  <si>
    <t>49 Tostado</t>
  </si>
  <si>
    <t>50 Escobo</t>
  </si>
  <si>
    <t>51 Escobo; Carcomo; Mazamorro</t>
  </si>
  <si>
    <t>52 Escobo; Quiebrapatas</t>
  </si>
  <si>
    <t>53 Reventillo; Algodoncillo; Carcomo</t>
  </si>
  <si>
    <t>54 Escobo (A otra sp de genero)</t>
  </si>
  <si>
    <t>55 Tung Asiatico</t>
  </si>
  <si>
    <t>56 Alfaroa</t>
  </si>
  <si>
    <t>57 Trompeta; Jalapa Morada</t>
  </si>
  <si>
    <t>58 Copa de Oro</t>
  </si>
  <si>
    <t>59 Flor de Mantequilla</t>
  </si>
  <si>
    <t>60 Cedrillo</t>
  </si>
  <si>
    <t>61 Aliso</t>
  </si>
  <si>
    <t>62 Sábila Candelabro Africano</t>
  </si>
  <si>
    <t>63 Cedron</t>
  </si>
  <si>
    <t>64 Yínyer; Yinye; Sanjuanico</t>
  </si>
  <si>
    <t>65 Falso Ocobo; Palo de Sombra</t>
  </si>
  <si>
    <t>66 Tebrol del Interior; Planta Percal; Alternatera</t>
  </si>
  <si>
    <t>67 Amherstia</t>
  </si>
  <si>
    <t>68 Ampeloceras</t>
  </si>
  <si>
    <t>69 Jicarillo</t>
  </si>
  <si>
    <t>70 Calabacillo (A otra sp de genero)</t>
  </si>
  <si>
    <t>71 Calabazo</t>
  </si>
  <si>
    <t>72 Calabacillo; Totumito (A otra sp de genero)</t>
  </si>
  <si>
    <t>73 Caracolí</t>
  </si>
  <si>
    <t>74 Marañón</t>
  </si>
  <si>
    <t>75 Andira Chigorodensis</t>
  </si>
  <si>
    <t>76 Borombolo; Congo de Agua</t>
  </si>
  <si>
    <t>77 Borombolo; Congo de Agua (sp)</t>
  </si>
  <si>
    <t>78 Comino Crespo (A otra sp de genero)</t>
  </si>
  <si>
    <t>79 Laurel</t>
  </si>
  <si>
    <t>80 Laurel Peque?O</t>
  </si>
  <si>
    <t>81 Comino</t>
  </si>
  <si>
    <t>82 Laurel Uncibe</t>
  </si>
  <si>
    <t>83 Comino (sp)</t>
  </si>
  <si>
    <t>84 Majagua</t>
  </si>
  <si>
    <t>85 Chirimoyo; Chirimoya; Anón de Monte; Chirimoya de Monte</t>
  </si>
  <si>
    <t>86 Guanabanilla</t>
  </si>
  <si>
    <t>87 Guanbana Cimarrona</t>
  </si>
  <si>
    <t>88 Guanábano</t>
  </si>
  <si>
    <t>89 Anon de Monte</t>
  </si>
  <si>
    <t>90 Anon de Monte; Anon Rolinia; Majagua</t>
  </si>
  <si>
    <t>91 Chirimolla</t>
  </si>
  <si>
    <t>93 Anon</t>
  </si>
  <si>
    <t>94 Laran; Cadamba</t>
  </si>
  <si>
    <t>95 Peine de Mono</t>
  </si>
  <si>
    <t>96 Peine de Mono</t>
  </si>
  <si>
    <t>97 Peine de Mono (Tibourbou)</t>
  </si>
  <si>
    <t>98 Cola de Gallo</t>
  </si>
  <si>
    <t>99 Árbol de Angélica China; Dimorphanthus</t>
  </si>
  <si>
    <t>100 Araucaria</t>
  </si>
  <si>
    <t>101 Araucaria</t>
  </si>
  <si>
    <t>102 Araucaria; Araucaria Real; Pino de la Isla de Norfolk</t>
  </si>
  <si>
    <t>103 Palma Alejandra; Reina Alejandra</t>
  </si>
  <si>
    <t>104 Palma Payanesa</t>
  </si>
  <si>
    <t>105 Ardisia Arborea</t>
  </si>
  <si>
    <t>106 Ardisia</t>
  </si>
  <si>
    <t>107 Ardisia</t>
  </si>
  <si>
    <t>108 Ardisia Rio Claro; Ajicito de Diablo; Fresco; Mote</t>
  </si>
  <si>
    <t>109 Palma de Betel; Nuez de Betel</t>
  </si>
  <si>
    <t>110 Palmera Bambú</t>
  </si>
  <si>
    <t>111 Palma Bambu</t>
  </si>
  <si>
    <t>112 Palma Arenga</t>
  </si>
  <si>
    <t>113 Artemisia</t>
  </si>
  <si>
    <t>114 Árbol del Pan</t>
  </si>
  <si>
    <t>115 Árbol del Pan; Jaca</t>
  </si>
  <si>
    <t>116 Arbol del Pan</t>
  </si>
  <si>
    <t>117 Artocarpus</t>
  </si>
  <si>
    <t>118 Rejalgar; Bencenuco; Niñomuerto; Mataganado</t>
  </si>
  <si>
    <t>119 Esparraguera</t>
  </si>
  <si>
    <t>120 Carreto</t>
  </si>
  <si>
    <t>121 Carreto</t>
  </si>
  <si>
    <t>122 Palma Malibú; Lanceta; Ancharma; Palma Estera; Anchamba</t>
  </si>
  <si>
    <t>123 Diomate; Gusanero</t>
  </si>
  <si>
    <t>124 Tortuguita; Nevado</t>
  </si>
  <si>
    <t>125 Palma Táparo; Palma Almendrón; Almendrón</t>
  </si>
  <si>
    <t>126 Palma de Vino; Palma de Cuesco; Palma Corozo de Puerco</t>
  </si>
  <si>
    <t>127 Taparo; Pindoba</t>
  </si>
  <si>
    <t>128 Laurel Manchado</t>
  </si>
  <si>
    <t>129 Carambolo; Tamarindo; Carambola</t>
  </si>
  <si>
    <t>130 Neem; Paraíso de la India</t>
  </si>
  <si>
    <t>131 Bacaris; Chilca; Carqueja</t>
  </si>
  <si>
    <t>132 Chilca; Chilco; Chilco Blanco</t>
  </si>
  <si>
    <t>133 Chilo; Cirro; Ciro</t>
  </si>
  <si>
    <t>134 Palma Chontaduro</t>
  </si>
  <si>
    <t>135 Lata Blanca; Chacarrá</t>
  </si>
  <si>
    <t>136 Bambú; Guadua Amarilla</t>
  </si>
  <si>
    <t>137 Casco Buey</t>
  </si>
  <si>
    <t>138 Casco de Vaca; Pata de Vaca; Pata de Buey; Casco de Buey</t>
  </si>
  <si>
    <t>139 Casco Buey; Casco de Vaca</t>
  </si>
  <si>
    <t>140 Casco de Vaca</t>
  </si>
  <si>
    <t>141 Pata de Vaca; Patevaca; Patebuey; Casco de Vaca; Casco de Buey</t>
  </si>
  <si>
    <t>142 Hernandiacea; Casco de Vaca</t>
  </si>
  <si>
    <t>143 Casco de Vaca; Árbol Orquídea</t>
  </si>
  <si>
    <t>144 Palma Pony</t>
  </si>
  <si>
    <t>145 Begonia Alas de Angel</t>
  </si>
  <si>
    <t>146 Laurel Negro; Aguacate Cimarrón</t>
  </si>
  <si>
    <t>147 Coronillo; Guayaba de Mico</t>
  </si>
  <si>
    <t>149 Bilia; Cucharo; Cariseco</t>
  </si>
  <si>
    <t>150 Biscofia; Toog; Cedro de Java</t>
  </si>
  <si>
    <t>151 Palma Bismarck Plateada</t>
  </si>
  <si>
    <t>152 Achiote; Achote; Bija</t>
  </si>
  <si>
    <t>153 Bien Me Sabe; Huevo de Gato</t>
  </si>
  <si>
    <t>154 Trompeto; Albacarrín; Sarno; Llora Sangre</t>
  </si>
  <si>
    <t>155 Zanca de Mula; Ortiguillo</t>
  </si>
  <si>
    <t>156 Zorrumbo; Cola de Gato</t>
  </si>
  <si>
    <t>157 Boehmeria Virgata</t>
  </si>
  <si>
    <t>158 Cedro Caqueta; Ceiba Tolua; Algodonero Rojo</t>
  </si>
  <si>
    <t>159 Borojó</t>
  </si>
  <si>
    <t>160 Curazao; Veranera</t>
  </si>
  <si>
    <t>162 Chumbera Brasileña</t>
  </si>
  <si>
    <t>163 Palma Brasiofenix</t>
  </si>
  <si>
    <t>164 Breonia</t>
  </si>
  <si>
    <t>165 Nivosa; Carnaval</t>
  </si>
  <si>
    <t>166 Sande; Ramón; Nogal Maya</t>
  </si>
  <si>
    <t>167 Morera de Papel</t>
  </si>
  <si>
    <t>168 Arizá; Palo Cruz</t>
  </si>
  <si>
    <t>169 Arizá Grandiceps</t>
  </si>
  <si>
    <t>170 Arizá Blanco</t>
  </si>
  <si>
    <t>171 Arizá; Florisanto; Clavellino</t>
  </si>
  <si>
    <t>172 Cruceto; Palo de Cruz</t>
  </si>
  <si>
    <t>173 Borrachero; Floripondio; Trompeta de Ángel</t>
  </si>
  <si>
    <t>174 Brugmansia</t>
  </si>
  <si>
    <t>175 Borrachero; Chiric Sanango; Chacruco; Picudo</t>
  </si>
  <si>
    <t>176 Francesino</t>
  </si>
  <si>
    <t>177 Francesina</t>
  </si>
  <si>
    <t>178 Huele Noche</t>
  </si>
  <si>
    <t>179 Francesina</t>
  </si>
  <si>
    <t>180 Acabí; Guayabillo; Granadillo</t>
  </si>
  <si>
    <t>181 Muli; Capacho</t>
  </si>
  <si>
    <t>182 Olivo Negro; Júcaro de Playa</t>
  </si>
  <si>
    <t>183 Budelia; Butleya; Arbusto de las Mariposas; Ramillete</t>
  </si>
  <si>
    <t>184 Guayacán de Bola</t>
  </si>
  <si>
    <t>185 Guayacán; Guayacán de Bola; Guayacán Caparro</t>
  </si>
  <si>
    <t>186 Confite; Ciruelo</t>
  </si>
  <si>
    <t>187 Ciruela de Fraile; Ciruelo Cimarrón; Cereza</t>
  </si>
  <si>
    <t>188 Carano; Crespín; Palo Santo; Aceitilla</t>
  </si>
  <si>
    <t>189 Indio Desnudo; Almacigo; Resbala Monos</t>
  </si>
  <si>
    <t>190 Palosanto; Tatamaco; Bijo</t>
  </si>
  <si>
    <t>191 Boj; Palma de Boj</t>
  </si>
  <si>
    <t>192 Nances Y Nanches</t>
  </si>
  <si>
    <t>193 Noro; Paralejo; Nance</t>
  </si>
  <si>
    <t>194 Noro; Tacasalejo; Doncella</t>
  </si>
  <si>
    <t>195 Dividivi; Agallo; Ichí; Nacascalote</t>
  </si>
  <si>
    <t>196 Ébano</t>
  </si>
  <si>
    <t>197 Acacia Amarilla; Palo Brasil</t>
  </si>
  <si>
    <t>198 Clavellino; Flor de Navidad</t>
  </si>
  <si>
    <t>199 Clavellino; Flor de Navidad</t>
  </si>
  <si>
    <t>200 Tara; Guarango</t>
  </si>
  <si>
    <t>201 Guandúl</t>
  </si>
  <si>
    <t>202 Carbonero</t>
  </si>
  <si>
    <t>203 Plumerillo Rosado</t>
  </si>
  <si>
    <t>204 Bellota; Carbonero Rojo</t>
  </si>
  <si>
    <t>205 Carbonero</t>
  </si>
  <si>
    <t>206 Carbonero</t>
  </si>
  <si>
    <t>207 Carbonero</t>
  </si>
  <si>
    <t>208 Carbonero</t>
  </si>
  <si>
    <t>209 Pavo Real; Carbonero Rojo; Rabo de Conejo; Saman de Jardín; Surinam</t>
  </si>
  <si>
    <t>210 Carbonero</t>
  </si>
  <si>
    <t>211 Carbonero Rojo</t>
  </si>
  <si>
    <t>212 Carbonero Rojo</t>
  </si>
  <si>
    <t>213 Callicarpa Macrophylla</t>
  </si>
  <si>
    <t>214 Calistemon; Eucalipto Ornamental</t>
  </si>
  <si>
    <t>215 Escobillón Rojo; Calistemo Rojo</t>
  </si>
  <si>
    <t>216 Callitropsis Glabra</t>
  </si>
  <si>
    <t>217 Cedro Colorado</t>
  </si>
  <si>
    <t>218 Aceite María; Aceite</t>
  </si>
  <si>
    <t>219 María; Santa María; Mamey Falso</t>
  </si>
  <si>
    <t>220 Aceite</t>
  </si>
  <si>
    <t>221 Calophyllum Soulattri</t>
  </si>
  <si>
    <t>222 Guayabo Alazano; Dágame; Canelo</t>
  </si>
  <si>
    <t>223 Calytranthes sp</t>
  </si>
  <si>
    <t>224 Camelia</t>
  </si>
  <si>
    <t>225 Camelia</t>
  </si>
  <si>
    <t>226 Guayaba de Leche</t>
  </si>
  <si>
    <t>227 Cadmio; Ylang Ylang</t>
  </si>
  <si>
    <t>228 Naranjillo; Naranjuelo</t>
  </si>
  <si>
    <t>229 Ají</t>
  </si>
  <si>
    <t>230 Ají</t>
  </si>
  <si>
    <t>231 Cedro Guino</t>
  </si>
  <si>
    <t>232 Papayo</t>
  </si>
  <si>
    <t>233 Papauelo Silvestre</t>
  </si>
  <si>
    <t>234 Abarco</t>
  </si>
  <si>
    <t>235 Espino</t>
  </si>
  <si>
    <t>236 Palma Iraca; Jipijapa</t>
  </si>
  <si>
    <t>237 Pacano; Pecán; Nuez Pecana</t>
  </si>
  <si>
    <t>238 Cagüí; Almendrón</t>
  </si>
  <si>
    <t>239 Yumbe</t>
  </si>
  <si>
    <t>240 Inchi; Almendro; Tacay</t>
  </si>
  <si>
    <t>241 Palma Mariposa; Cola de Pescado</t>
  </si>
  <si>
    <t>242 Palma Mariposa; Cola de Pescado</t>
  </si>
  <si>
    <t>243 Palma Mariposa; Cola de Pescado (Urens)</t>
  </si>
  <si>
    <t>244 Campanilla</t>
  </si>
  <si>
    <t>245 Guapanto; Capulín Corona</t>
  </si>
  <si>
    <t>246 Varablanca; Ondequera</t>
  </si>
  <si>
    <t>248 Zapote Blanco; Mango Matasano</t>
  </si>
  <si>
    <t>249 Zapote Blanco; Matasano</t>
  </si>
  <si>
    <t>250 Lluvia de Oro</t>
  </si>
  <si>
    <t>251 Cañafístula; Cañandonga</t>
  </si>
  <si>
    <t>252 Acacia Rosada; Acacia Brasilera</t>
  </si>
  <si>
    <t>253 Velero</t>
  </si>
  <si>
    <t>254 Caucho; Hule</t>
  </si>
  <si>
    <t>255 Casuariana; Pino Australiano; Pino de París; Agoho de Filipinas</t>
  </si>
  <si>
    <t>256 Crispeta; Catalpa</t>
  </si>
  <si>
    <t>257 Baobab; Barrigón</t>
  </si>
  <si>
    <t>258 Volao; Cuipo; Bonga; Güipo</t>
  </si>
  <si>
    <t>259 Uvitos; Uva de Anís; Zarcillo; Colmillo</t>
  </si>
  <si>
    <t>260 Uvito; Uvito de Monte</t>
  </si>
  <si>
    <t>261 Yarumo Negro</t>
  </si>
  <si>
    <t>262 Yarumo; Guarumo; Yarumo Blanco; Yagrumo</t>
  </si>
  <si>
    <t>263 Yarumo Blanco</t>
  </si>
  <si>
    <t>264 Cedro de Tierra Fría; Cedro de Montaña</t>
  </si>
  <si>
    <t>265 Cedro Rosado; Cedro Americano; Cedro Amargo; Cedro</t>
  </si>
  <si>
    <t>266 Cedro Macho; Cedro Chino; Cedro Oloroso</t>
  </si>
  <si>
    <t>267 Cedro</t>
  </si>
  <si>
    <t>268 Ceiba Bonga; Ceibo</t>
  </si>
  <si>
    <t>269 Ceiba</t>
  </si>
  <si>
    <t>270 Ceiba Rosada</t>
  </si>
  <si>
    <t>271 Celastro</t>
  </si>
  <si>
    <t>272 Falsa Dulcamara</t>
  </si>
  <si>
    <t>274 Falso Cedro</t>
  </si>
  <si>
    <t>275 Guayacán Jobo; Balaústre</t>
  </si>
  <si>
    <t>276 Palmas Cicadas</t>
  </si>
  <si>
    <t>277 Cirio; Vela</t>
  </si>
  <si>
    <t>278 Cereus sp</t>
  </si>
  <si>
    <t>279 Cacto Candelabro</t>
  </si>
  <si>
    <t>280 Palma de Cera</t>
  </si>
  <si>
    <t>281 Pacó</t>
  </si>
  <si>
    <t>282 Dama de Noche; Galán de Noche</t>
  </si>
  <si>
    <t>283 Zorrillo</t>
  </si>
  <si>
    <t>284 Zorrillo</t>
  </si>
  <si>
    <t>285 Duraznillo Negro; Cestrum Verde; Palqui (A otra sp de genero)</t>
  </si>
  <si>
    <t>286 Ciprés de Sawara; Ciprés de Hondo</t>
  </si>
  <si>
    <t>287 Palma Caña de San Pablo; Caña de Víbora</t>
  </si>
  <si>
    <t>288 Palma Metálica</t>
  </si>
  <si>
    <t>289 Palma Molinillo</t>
  </si>
  <si>
    <t>290 Palma Bambú; Palma de Miami; Camedorea</t>
  </si>
  <si>
    <t>291 Hoja de Pacaya</t>
  </si>
  <si>
    <t>292 Pacaya</t>
  </si>
  <si>
    <t>293 Palma de Hoja Roja</t>
  </si>
  <si>
    <t>294 Noli</t>
  </si>
  <si>
    <t>295 Quina</t>
  </si>
  <si>
    <t>296 Jacaré; Yacarí; Parasiempre</t>
  </si>
  <si>
    <t>297 Albahaquilla</t>
  </si>
  <si>
    <t>298 Icaco</t>
  </si>
  <si>
    <t>299 Cainito</t>
  </si>
  <si>
    <t>300 Caimito; Caimo Morado</t>
  </si>
  <si>
    <t>301 Laurel; Aguacatillo</t>
  </si>
  <si>
    <t>302 Canelo</t>
  </si>
  <si>
    <t>303 Pendo; Palo Blanco; Casposo</t>
  </si>
  <si>
    <t>304 Cajeto</t>
  </si>
  <si>
    <t>305 Cajeto; Palo de Guitarra</t>
  </si>
  <si>
    <t>306 Quimula; Cascarillo; Gavilán</t>
  </si>
  <si>
    <t>307 Calamondina; Planta de Naranjo Es Miniatura</t>
  </si>
  <si>
    <t>308 Naranjo Dulce</t>
  </si>
  <si>
    <t>309 Limon Tahiti</t>
  </si>
  <si>
    <t>310 Limon Mandarino</t>
  </si>
  <si>
    <t>311 Limon Criollo</t>
  </si>
  <si>
    <t>312 Limon de Coctel;Limón Aspero</t>
  </si>
  <si>
    <t>314 Pomelo Chino; Toronja; Toronjo; Pomelo; Pamplemusa</t>
  </si>
  <si>
    <t>315 Toronjo Dedos; Cridro</t>
  </si>
  <si>
    <t>316 Naranjo Moruno</t>
  </si>
  <si>
    <t>317 Mandarino Real</t>
  </si>
  <si>
    <t>318 Naranjo Dulce</t>
  </si>
  <si>
    <t>320 Naranjo Espinoso; Naranjo Trifoliado</t>
  </si>
  <si>
    <t>321 Naranjo Agrio; Naranjo Amargo</t>
  </si>
  <si>
    <t>322 Aji; Sande Mora</t>
  </si>
  <si>
    <t>323 Sapan</t>
  </si>
  <si>
    <t>324 Fariñero; Bizcocho; Masano; Fariñoso</t>
  </si>
  <si>
    <t>325 Durazno de Monte; Oreja de Burro</t>
  </si>
  <si>
    <t>326 Clavija</t>
  </si>
  <si>
    <t>327 Cometa</t>
  </si>
  <si>
    <t>328 Gloria Enramada Sangrante; Corazón Sangrante</t>
  </si>
  <si>
    <t>331 Salvia Amarga; Conami; Barbasco</t>
  </si>
  <si>
    <t>332 Camasay</t>
  </si>
  <si>
    <t>333 Barbasco; Sombrero</t>
  </si>
  <si>
    <t>334 Chagualo</t>
  </si>
  <si>
    <t>335 Chagualo</t>
  </si>
  <si>
    <t>336 Chagualo</t>
  </si>
  <si>
    <t>337 Flor de Cera</t>
  </si>
  <si>
    <t>338 Chagualo (A otra sp de genero)</t>
  </si>
  <si>
    <t>339 Papayuelo</t>
  </si>
  <si>
    <t>340 Maíz Tostao; Maíz Cocho</t>
  </si>
  <si>
    <t>341 Kino Americano</t>
  </si>
  <si>
    <t>342 Uvito de Playa</t>
  </si>
  <si>
    <t>343 Palma de Plata; Pactá</t>
  </si>
  <si>
    <t>344 Bototo; Majagua</t>
  </si>
  <si>
    <t>345 Rosa Amarilla</t>
  </si>
  <si>
    <t>346 Palma de Coco; Cocotero</t>
  </si>
  <si>
    <t>347 Croto</t>
  </si>
  <si>
    <t>348 Cafeto</t>
  </si>
  <si>
    <t>349 Carbonero Zorro; Dormilón</t>
  </si>
  <si>
    <t>351 Mabí; Abejuelo</t>
  </si>
  <si>
    <t>352 Soto</t>
  </si>
  <si>
    <t>353 Azuceno; Cascarillo; Quino Blanco</t>
  </si>
  <si>
    <t>354 Mangle Botoncillo</t>
  </si>
  <si>
    <t>355 Canime; Aceite; Copaiba; Copayero</t>
  </si>
  <si>
    <t>356 Canines</t>
  </si>
  <si>
    <t>357 Nogal Cafetero</t>
  </si>
  <si>
    <t>358 Guayaibí; Guayaibí Blanco</t>
  </si>
  <si>
    <t>359 Palo Noble; Uvito</t>
  </si>
  <si>
    <t>360 Moncoro</t>
  </si>
  <si>
    <t>361 Carambolí; Sanjoaquín; Nomeolvides; Gomo</t>
  </si>
  <si>
    <t>362 Nogal (A otra sp de genero)</t>
  </si>
  <si>
    <t>363 Árbol de Queroseno</t>
  </si>
  <si>
    <t>364 Palma de Torbay</t>
  </si>
  <si>
    <t>365 Carey; Palma de Cementerio; Flor de Difunto</t>
  </si>
  <si>
    <t>366 Drácena Roja</t>
  </si>
  <si>
    <t>368 Sansá; Matarratones</t>
  </si>
  <si>
    <t>369 Lengua de Vaca; Ahumapescado</t>
  </si>
  <si>
    <t>370 Eucalipto Pomarroso</t>
  </si>
  <si>
    <t>371 Jengibre Espiral</t>
  </si>
  <si>
    <t>372 Griñolera Lechosa</t>
  </si>
  <si>
    <t>373 Holly; Cotonister</t>
  </si>
  <si>
    <t>374 Cabuyo; Cachimbo; Coco Cabuyo; Congolo</t>
  </si>
  <si>
    <t>375 Bala de Cañón; Cocuelo; Ayahuma</t>
  </si>
  <si>
    <t>376 Acerolo; Acerola</t>
  </si>
  <si>
    <t>377 Cachimonda; Naranjuelo; Manzana de Playa</t>
  </si>
  <si>
    <t>378 Totumo; Mate</t>
  </si>
  <si>
    <t>379 Drago</t>
  </si>
  <si>
    <t>380 Gallinazo; Croton</t>
  </si>
  <si>
    <t>381 Drago</t>
  </si>
  <si>
    <t>382 Sangre de Drago</t>
  </si>
  <si>
    <t>383 Palma Escoba; Barbasco</t>
  </si>
  <si>
    <t>384 Cedro Japonés; Sugi</t>
  </si>
  <si>
    <t>385 Cedro Japonés; Sugi</t>
  </si>
  <si>
    <t>386 Aliso Rojo Africano</t>
  </si>
  <si>
    <t>387 Mestizo; Guacamayo</t>
  </si>
  <si>
    <t>388 Mestizo; Gaucharaco</t>
  </si>
  <si>
    <t>389 Pino Azul</t>
  </si>
  <si>
    <t>390 Pino Ciprés; Cedro Blanco</t>
  </si>
  <si>
    <t>391 Pino Vela</t>
  </si>
  <si>
    <t>392 Chaparro; Peralejo; Paralejo Macho; Chaparro Bobo</t>
  </si>
  <si>
    <t>393 Helecho Arboreo; Helecho Sarro; Sarro</t>
  </si>
  <si>
    <t>394 Helecho Arboreo; Helecho Sarro; Sarro</t>
  </si>
  <si>
    <t>395 Helecho Arboreo; Helecho Sarro; Sarro</t>
  </si>
  <si>
    <t>396 Helecho Arboreo</t>
  </si>
  <si>
    <t>398 Cica; Palma Helecho; Cica de Hoja Larga</t>
  </si>
  <si>
    <t>399 Palma de Segú; Palma Funebre</t>
  </si>
  <si>
    <t>400 Palma Cyca</t>
  </si>
  <si>
    <t>401 Helecho Arbóreo; Sarro; Helecho Macho; Helecho Arborecente</t>
  </si>
  <si>
    <t>402 Papiro Sombrilla</t>
  </si>
  <si>
    <t>403 Papiro</t>
  </si>
  <si>
    <t>404 Tamarillo; Tomate de Palo</t>
  </si>
  <si>
    <t>405 Palma Roja</t>
  </si>
  <si>
    <t>406 Dalia</t>
  </si>
  <si>
    <t>407 Acacia Roja; Flamboyán</t>
  </si>
  <si>
    <t>408 Teterete; Navajuelo</t>
  </si>
  <si>
    <t>410 Guayacan de Tierra Fria; Navajuelo</t>
  </si>
  <si>
    <t>411 Gimpi Gimpi O Yimpi Yimpi</t>
  </si>
  <si>
    <t>412 Zapotillo</t>
  </si>
  <si>
    <t>413 Zapotillo</t>
  </si>
  <si>
    <t>414 Tamarindo de Monte</t>
  </si>
  <si>
    <t>415 Sangria; Singamochila</t>
  </si>
  <si>
    <t>416 Helecho Arboreo; Helecho Sarro; Sarro</t>
  </si>
  <si>
    <t>417 Macana; Barrigona Blanca; Mapora</t>
  </si>
  <si>
    <t>418 Loro; Iguano</t>
  </si>
  <si>
    <t>419 Ojo de Dragón</t>
  </si>
  <si>
    <t>420 Siete Sabores</t>
  </si>
  <si>
    <t>421 Marfil</t>
  </si>
  <si>
    <t>422 Zapote Negro; Zapote Prieto; Ébano; Guayabota</t>
  </si>
  <si>
    <t>423 Limpiadientes; Diospiro; Juandedios; Limocillo; Granadillo</t>
  </si>
  <si>
    <t>424 Zapote Negro; Limpia Dientes</t>
  </si>
  <si>
    <t>425 Zapote Negro</t>
  </si>
  <si>
    <t>426 Choibá; Palo de Piedra</t>
  </si>
  <si>
    <t>427 Hayuelo</t>
  </si>
  <si>
    <t>428 Árbol de las Hortensias</t>
  </si>
  <si>
    <t>429 Espino</t>
  </si>
  <si>
    <t>430 Drago de Madagasca; Carey; Banderilla</t>
  </si>
  <si>
    <t>431 Dracena; Cana de Maiz</t>
  </si>
  <si>
    <t>432 Bambú de la Suerte</t>
  </si>
  <si>
    <t>433 Árbol Dragon</t>
  </si>
  <si>
    <t>434 Cinta Variegada</t>
  </si>
  <si>
    <t>435 Árbol de la Felicidad</t>
  </si>
  <si>
    <t>436 Dracaena (Reflexa); Canción de la India</t>
  </si>
  <si>
    <t>437 Palma de Carey; Drácena Roja</t>
  </si>
  <si>
    <t>438 Palo de Brasil</t>
  </si>
  <si>
    <t>439 Tronco del Brasil</t>
  </si>
  <si>
    <t>440 Duranta</t>
  </si>
  <si>
    <t>441 Espino</t>
  </si>
  <si>
    <t>442 Duranta</t>
  </si>
  <si>
    <t>443 Duranta</t>
  </si>
  <si>
    <t>444 Palma Triangular</t>
  </si>
  <si>
    <t>445 Palma Areca; Palma de Frutos de Oro</t>
  </si>
  <si>
    <t>446 Palma de Madagascar</t>
  </si>
  <si>
    <t>447 Caoba de Marfil</t>
  </si>
  <si>
    <t>448 Dysoxylum Macranthum</t>
  </si>
  <si>
    <t>449 Ébano</t>
  </si>
  <si>
    <t>450 Palma Africana; Palma de Aceite</t>
  </si>
  <si>
    <t>451 Corozo; Nolí; Corozo de Manteca; Coroza</t>
  </si>
  <si>
    <t>452 Cerezo Azul; Higo; Marmol Azul</t>
  </si>
  <si>
    <t>453 Laurel Indio Viejo</t>
  </si>
  <si>
    <t>454 Piñón de Oreja; Orejero; Piñón</t>
  </si>
  <si>
    <t>455 Nazareno</t>
  </si>
  <si>
    <t>456 Níspero del Japón</t>
  </si>
  <si>
    <t>457 Cresta de Gallo</t>
  </si>
  <si>
    <t>458 Chachafruto; Poroto; Balu</t>
  </si>
  <si>
    <t>459 Búcaro</t>
  </si>
  <si>
    <t>460 Cámbulo; Cachimbo; Barbatuco</t>
  </si>
  <si>
    <t>461 Chocho; Siriguay</t>
  </si>
  <si>
    <t>463 Árbol Coral</t>
  </si>
  <si>
    <t>464 Búcaro Variegado; Colorin</t>
  </si>
  <si>
    <t>465 Coca</t>
  </si>
  <si>
    <t>466 Loqueto; Mangle</t>
  </si>
  <si>
    <t>467 Olleto; Catelisoto; Olla de Mono</t>
  </si>
  <si>
    <t>468 Fono; Carguero de Boa; Palo de Lombriz; Popay</t>
  </si>
  <si>
    <t>469 Cargadero Blanco; Coco Blanco</t>
  </si>
  <si>
    <t>470 Castaño; Catelisoto</t>
  </si>
  <si>
    <t>472 Eucalipto</t>
  </si>
  <si>
    <t>473 Eucalipto Plateado; Ocalita</t>
  </si>
  <si>
    <t>474 Eucalipto Arcoíris; Eucalipti Guayabo</t>
  </si>
  <si>
    <t>475 Eucalypto Rosado; Eucalipto</t>
  </si>
  <si>
    <t>476 Eucalipto Rojo</t>
  </si>
  <si>
    <t>477 Eucalipto Robusto</t>
  </si>
  <si>
    <t>478 Eucalipto</t>
  </si>
  <si>
    <t>479 Eucalipto</t>
  </si>
  <si>
    <t>480 Grosello; Grosella; Grosellero; Cereza; Ciruela; Arrayán</t>
  </si>
  <si>
    <t>481 Arrayán; Arrayán Limón</t>
  </si>
  <si>
    <t>482 Flor Azul; Payo; Guayabillo</t>
  </si>
  <si>
    <t>483 Cereza de Río Grande; Cerella ;Cerejeira</t>
  </si>
  <si>
    <t>484 Eugenio</t>
  </si>
  <si>
    <t>485 Arazá; Guayaba Brasileña; Arrayán</t>
  </si>
  <si>
    <t>486 Pitanga; Grosella; Mirto; Cereza de Cayena; Uvo</t>
  </si>
  <si>
    <t>487 Huso de la Fortuna</t>
  </si>
  <si>
    <t>488 El Huso Japonés; El Bonetero; El Evónimo</t>
  </si>
  <si>
    <t>489 Liberal; Lechero; Manzanillo; Caucho; Yuco</t>
  </si>
  <si>
    <t>490 Euphorbia Grantii</t>
  </si>
  <si>
    <t>491 Lechero; Lechero Espinoso; Carató</t>
  </si>
  <si>
    <t>492 Navidad; Sombrilla; Olayaherrera; Paragua; Carnaval</t>
  </si>
  <si>
    <t>493 Letra China; Quebradura; Cactus; Coralito</t>
  </si>
  <si>
    <t>494 Lechero; Cactus</t>
  </si>
  <si>
    <t>495 Lechero Africano; Lechero Verde</t>
  </si>
  <si>
    <t>496 Naidi; Murrapo; Asaí de Pará; Manaca Brasilera; Tapafrío</t>
  </si>
  <si>
    <t>497 Palmicho; Palma Asaí; Asaí; Manaca; Palmito; Palmiche</t>
  </si>
  <si>
    <t>498 Feijoa; Guayaba Feijoa; Guayabo</t>
  </si>
  <si>
    <t>499 Caucho Sabanero; Caucho; Lechero; Higuerón; Matapalo</t>
  </si>
  <si>
    <t>500 Laurel; Falso Laurel; Ficus Variegata</t>
  </si>
  <si>
    <t>501 Higueron</t>
  </si>
  <si>
    <t>502 Higuera</t>
  </si>
  <si>
    <t>503 Brevo; Breva; Higo; Higuera; Caucho de la India</t>
  </si>
  <si>
    <t>504 Higueron</t>
  </si>
  <si>
    <t>505 Mata Palo</t>
  </si>
  <si>
    <t>506 Caucho Matapalo; Matapalo; Suan; Abrazapalo; Higuerón; Caucho</t>
  </si>
  <si>
    <t>507 Higuerón Guayabo; Higuerón; Breva de Monte</t>
  </si>
  <si>
    <t>508 Caucho; Caucho de la India; Falso Caucho; Lechón</t>
  </si>
  <si>
    <t>509 Caucho; Cauchito; Caucho Higuerón; Caucho Rosado; Lechero</t>
  </si>
  <si>
    <t>510 Higo</t>
  </si>
  <si>
    <t>511 Higuerón; Matapalo; Ojé; Copé; Caucho Glabrata; Caucho Incipida</t>
  </si>
  <si>
    <t>512 Caucho; Higuero; Lechero</t>
  </si>
  <si>
    <t>513 Lechero; Matapalo Guayanés</t>
  </si>
  <si>
    <t>514 Pandurata; Caucho Lira; Lirata; Ficus Lira</t>
  </si>
  <si>
    <t>515 Caucho Microcarpa; Caucho; Matapalo</t>
  </si>
  <si>
    <t>516 Amate; Higuerón; Caucho; Matapalo; Herrerún; Lechero</t>
  </si>
  <si>
    <t>517 Matapalo; Caucho; Lechudo; Caucho Común</t>
  </si>
  <si>
    <t>518 Caucho de la India; Ficus; Caucho Acorazonado</t>
  </si>
  <si>
    <t>519 Pivijay; Caucho</t>
  </si>
  <si>
    <t>520 Mata Palos; Higuerón; Lechudo</t>
  </si>
  <si>
    <t>521 Caucho</t>
  </si>
  <si>
    <t>522 Caucho Tequendama; Caucho</t>
  </si>
  <si>
    <t>523 Higuerón; Caucho; Higuerón Grande; Caucho Tonduzii</t>
  </si>
  <si>
    <t>524 Ficus Variegado</t>
  </si>
  <si>
    <t>525 Cerezo del Gobernador; Ciruela del Gobernador; Ciruelo del Gobernador; Uva Lisa</t>
  </si>
  <si>
    <t>526 Frángula; Avellanillo; Hediondo; Alno Baccífero; Sangueño; Abiacán</t>
  </si>
  <si>
    <t>527 Ojo de Perdiz; Palo Amarillo; Cabo de Hacha</t>
  </si>
  <si>
    <t>528 Cabo de Hacha</t>
  </si>
  <si>
    <t>529 Fresno Rojo; Fresno Blanco; Fresno Americano</t>
  </si>
  <si>
    <t>530 Urapan; Fresno</t>
  </si>
  <si>
    <t>531 Urapan; Fresno</t>
  </si>
  <si>
    <t>532 Fucsia</t>
  </si>
  <si>
    <t>533 Luvia de Oro; Flor Amarillo</t>
  </si>
  <si>
    <t>534 Madroño; Madroña; Madruño</t>
  </si>
  <si>
    <t>535 Mangostino</t>
  </si>
  <si>
    <t>536 Madroño</t>
  </si>
  <si>
    <t>537 Gardenia; Malabar; Jazmín del Cabo; Jazmín</t>
  </si>
  <si>
    <t>538 Jagua; Caruto; Huito; Jaguo; Jigua</t>
  </si>
  <si>
    <t>539 Silvadero</t>
  </si>
  <si>
    <t>540 Ebano Falso; Ébano Ornamental; Silbadero</t>
  </si>
  <si>
    <t>541 Cortadera</t>
  </si>
  <si>
    <t>542 Palmicha; Palma Macuma</t>
  </si>
  <si>
    <t>543 Mata Ratón</t>
  </si>
  <si>
    <t>544 Melina; Gumhar</t>
  </si>
  <si>
    <t>545 Algodon; Algodonero</t>
  </si>
  <si>
    <t>546 Algodon</t>
  </si>
  <si>
    <t>547 Planta de Caricatura</t>
  </si>
  <si>
    <t>548 Grevileo de Jardín</t>
  </si>
  <si>
    <t>549 Roble Australiano; Árbol de Seda; Rabo de Pavo; Grevilia; Roble de Australia</t>
  </si>
  <si>
    <t>550 Guadua</t>
  </si>
  <si>
    <t>551 Guayacán Azul; Guayacán; Guayaco; Florazul; Palosanto</t>
  </si>
  <si>
    <t>552 Guayacan Azul</t>
  </si>
  <si>
    <t>553 Trompillo; Cedrillo; Cedro Macho; Mestizo; Cartagüeño</t>
  </si>
  <si>
    <t>554 Cedrillo</t>
  </si>
  <si>
    <t>555 Cedrillo</t>
  </si>
  <si>
    <t>556 Cargadero</t>
  </si>
  <si>
    <t>557 Guácimo</t>
  </si>
  <si>
    <t>558 Mula Muerta; Membrillo; Almanegra</t>
  </si>
  <si>
    <t>559 Mula Muerta; Coco Hediondo</t>
  </si>
  <si>
    <t>560 Membrillo; Cocuelo Blanco; Chupo; Chupa</t>
  </si>
  <si>
    <t>561 Pacó; Membrillo; Chupo</t>
  </si>
  <si>
    <t>562 Coralillo; Bencenuco; Hamelia</t>
  </si>
  <si>
    <t>563 Algodoncillo</t>
  </si>
  <si>
    <t>564 Guayacán Amarillo; Cañaguate; Guayacán; Chicalá; Polvillo</t>
  </si>
  <si>
    <t>565 Guayacán Peludo; Guayacán</t>
  </si>
  <si>
    <t>566 Polvillo; Chicalá; Floramarillo; Guayacán Polvillo; Guayacán; Guayacán Dorado</t>
  </si>
  <si>
    <t>567 Chicalá; Floramarilla; Floramarillo; Curarire; Guayacán; Guayacán Polvillo</t>
  </si>
  <si>
    <t>568 Harpulia</t>
  </si>
  <si>
    <t>569 Pechuga de Gallina; Hueso; Huesito; Coronillo</t>
  </si>
  <si>
    <t>570 Pestaña de Mula; Balso Blanco; Palo Bobo</t>
  </si>
  <si>
    <t>571 Schefflera; Cheflera; Pategallina Hojigrande</t>
  </si>
  <si>
    <t>572 Cheflera Variegada; Cheflera Enana</t>
  </si>
  <si>
    <t>573 Cacaito</t>
  </si>
  <si>
    <t>574 Caucho de Pará; Caucho; Hule; Caucho Amazónico</t>
  </si>
  <si>
    <t>575 Roselle; Jamaica</t>
  </si>
  <si>
    <t>576 Majagua</t>
  </si>
  <si>
    <t>577 Cayena Doble Flor</t>
  </si>
  <si>
    <t>578 Rosa de Mayo; Algodón Rosa; Algodón; Cayeno; Malva</t>
  </si>
  <si>
    <t>579 San Joaquín; Cayeno; Sanjoaquín; Resucitado</t>
  </si>
  <si>
    <t>580 Planta de Jamaica</t>
  </si>
  <si>
    <t>581 San Joaquín Rojo; Cardenal; Rosa China; Canastilla; Farolito; Rojo Chiroso; Rosito de Canasta</t>
  </si>
  <si>
    <t>582 San Joaquin</t>
  </si>
  <si>
    <t>583 San Joaquin Morado; Resucitado</t>
  </si>
  <si>
    <t>584 Candelo; Palo Curtidor</t>
  </si>
  <si>
    <t>585 Plumel; Árbol de la Vida</t>
  </si>
  <si>
    <t>587 Hoheria Sexstylosa</t>
  </si>
  <si>
    <t>588 Sombrilla China</t>
  </si>
  <si>
    <t>589 Palma de Kentia</t>
  </si>
  <si>
    <t>590 Carrá; Naguare; Volador</t>
  </si>
  <si>
    <t>591 Ceiba Bruja; Ceiba Amarilla; Tronador; Ceiba de Leche; Ceiba de Agua</t>
  </si>
  <si>
    <t>592 Algarrobo; Algarrobillo; Ámbar; Copal; Courbail</t>
  </si>
  <si>
    <t>593 Algarrobillo; Algarrobo; Coca de Mico</t>
  </si>
  <si>
    <t>594 Palma Botella; Palma Botella Enana; Palma Botella Mascarena</t>
  </si>
  <si>
    <t>595 Palma Huso; Palma de Cemento</t>
  </si>
  <si>
    <t>596 Cardenillo</t>
  </si>
  <si>
    <t>597 Añil</t>
  </si>
  <si>
    <t>598 Guamo Churimo; Guamo; Guamo Machete</t>
  </si>
  <si>
    <t>599 Guamo; Guamo Churimo; Carbonero; Guamo Caliente; Churimo</t>
  </si>
  <si>
    <t>600 Guama</t>
  </si>
  <si>
    <t>601 Guamo Santafereño</t>
  </si>
  <si>
    <t>602 Guamo Macheto; Guamo; Guamo Machete</t>
  </si>
  <si>
    <t>603 Guamo Rabodemico; Guamo; Algarroba; Algarrobillo; Ámbar; Copal</t>
  </si>
  <si>
    <t>604 Guama</t>
  </si>
  <si>
    <t>605 Guamo Macheto; Guamo Copero; Churimba; Guamo Machete</t>
  </si>
  <si>
    <t>606 Inga; Guama</t>
  </si>
  <si>
    <t>607 Guamba; Guama del Orinoco</t>
  </si>
  <si>
    <t>608 Amapola Rosa</t>
  </si>
  <si>
    <t>609 Zancona; Palmito Dulce</t>
  </si>
  <si>
    <t>610 Coralillo; Tabaquillo; Guacharaco; Flor de Mayo</t>
  </si>
  <si>
    <t>611 Coral; Coralito; Coral de la India; Coral Rojo</t>
  </si>
  <si>
    <t>612 Ixora</t>
  </si>
  <si>
    <t>613 Cruz de Malta; Coralillo; Santa Rita; Rangan; Kheme; Ponna</t>
  </si>
  <si>
    <t>614 Gualanday; Chingalé; Flormorado</t>
  </si>
  <si>
    <t>615 Chingalé; Pavito; Gualanday; Vainillo; Gualancho</t>
  </si>
  <si>
    <t>616 Gualanday Nativo; Chingalé; Gualanday</t>
  </si>
  <si>
    <t>617 Jacaranda; Gualanday</t>
  </si>
  <si>
    <t>618 Gualanday; Flormorado; Gualanday Caliente; Jacaranda; Palisandro</t>
  </si>
  <si>
    <t>619 Jazmín; Jazmín de Estrella</t>
  </si>
  <si>
    <t>620 Jazmín Estrella; Jazmin Alas de Ángel</t>
  </si>
  <si>
    <t>621 Jazmin</t>
  </si>
  <si>
    <t>622 Piñon de Purga; Piñón; Coquillo; Frailecillo; Piñón de la India; Miñon</t>
  </si>
  <si>
    <t>623 Jaquillo; Brailejón; Carretillo; Frailecillo</t>
  </si>
  <si>
    <t>624 Peregrina; Flor Roja; Peregrina; Fuscia</t>
  </si>
  <si>
    <t>625 Planta Coral; Tártago; Avellano Purgante; Cabalongo</t>
  </si>
  <si>
    <t>626 Yuco; Yuca; Corales; Novio; Patihinchado</t>
  </si>
  <si>
    <t>627 Nogal; Cedro Nogal; Cedro Negro</t>
  </si>
  <si>
    <t>628 Nogal Americano</t>
  </si>
  <si>
    <t>629 Cedro Negro; Nogal del Castillo</t>
  </si>
  <si>
    <t>630 Enebro Común</t>
  </si>
  <si>
    <t>631 Juniperus Conferta</t>
  </si>
  <si>
    <t>632 Enebro de Virginia</t>
  </si>
  <si>
    <t>633 Justicia Adhatoda</t>
  </si>
  <si>
    <t>634 Tango; Justicia</t>
  </si>
  <si>
    <t>635 Sanguinaria; Singamochila; Yerba de la Sangre; Árnica; Sangre de Cristo; Cascajera</t>
  </si>
  <si>
    <t>636 Sanguinaria</t>
  </si>
  <si>
    <t>637 Árbol de las Salchichas</t>
  </si>
  <si>
    <t>638 Jabonero de la China</t>
  </si>
  <si>
    <t>639 Jabonero de la China; Arbol de Los Farolillos; Sombrilla Japones</t>
  </si>
  <si>
    <t>640 Lluvia de Oro; Falso Ébano</t>
  </si>
  <si>
    <t>641 Palma de Atherton</t>
  </si>
  <si>
    <t>642 Huesito; Café de Monte; Cafecillo; Coral; Coralito; Laurel Rosado</t>
  </si>
  <si>
    <t>643 Leche Miel; Lechemiel; Palo Espino; Chicle; Chicle Con Espinas; Chicle Espinoso</t>
  </si>
  <si>
    <t>644 Dorado; Manteco; Lagunero</t>
  </si>
  <si>
    <t>645 Guayacán de Manizales; Mirto; Guayabo Manizaleño</t>
  </si>
  <si>
    <t>646 Guayacán de Manizales; Guayacán del Cauca; Arrayán Escobo; Pelincú</t>
  </si>
  <si>
    <t>647 Guayacan</t>
  </si>
  <si>
    <t>648 Guayacan; Arrayan de Manizales</t>
  </si>
  <si>
    <t>649 Júpiter; Astromelio; Júpiter; Astromelia; Gólgota</t>
  </si>
  <si>
    <t>650 Flor de la Reina; Reina de las Flores; Astromelia; Embrujo de la India; Orgullo de la India</t>
  </si>
  <si>
    <t>651 Cinco Negritos</t>
  </si>
  <si>
    <t>653 Lantana Viburnoides</t>
  </si>
  <si>
    <t>652 Camará; Lantana; Bandera Española; Cinco Negritos</t>
  </si>
  <si>
    <t>654 Palma Latania</t>
  </si>
  <si>
    <t>655 Latania Roja</t>
  </si>
  <si>
    <t>656 Laurel; Laurel Real; Canlón; Laurel Europeo</t>
  </si>
  <si>
    <t>657 Carrapo; la Costilla Danto</t>
  </si>
  <si>
    <t>658 Olletico; Olla de Mono; Olleto; Cocuelo; Coquillo</t>
  </si>
  <si>
    <t>659 Olla de Mono; Olleto; Olleta de Mono</t>
  </si>
  <si>
    <t>660 Coccinea; Talyantan</t>
  </si>
  <si>
    <t>661 Acebo Hawaiano Rojo</t>
  </si>
  <si>
    <t>662 Leptospermum; Arbol de Te</t>
  </si>
  <si>
    <t>663 Guaje</t>
  </si>
  <si>
    <t>664 Leucaena; Acacia Blanca; Panelo; Carbonero Blanco; Acacia Forrajera</t>
  </si>
  <si>
    <t>665 Leucothoe Fontanesiana</t>
  </si>
  <si>
    <t>666 Licania</t>
  </si>
  <si>
    <t>667 Oití; Árbol de Cúcuta; Aití</t>
  </si>
  <si>
    <t>668 Laurel; Canelo; Tuabe Canelo; Jigua Canelo; Laurel; Laurel de Bola</t>
  </si>
  <si>
    <t>669 Palma Totuma; Licuala; Palma Licuala</t>
  </si>
  <si>
    <t>670 Licuala de Manglar</t>
  </si>
  <si>
    <t>671 Aligustre; Alheña; Ligustro Común; Ligustro Europeo</t>
  </si>
  <si>
    <t>672 Jazmín de la China; Paraseto</t>
  </si>
  <si>
    <t>673 Ligustro</t>
  </si>
  <si>
    <t>674 Paraseto; Aligustrina; Ligustrina; Ligustrín; Aligustre</t>
  </si>
  <si>
    <t>675 Paraseto</t>
  </si>
  <si>
    <t>676 Ligustrum</t>
  </si>
  <si>
    <t>677 Alcornoque; Liquidambar; Estoraque</t>
  </si>
  <si>
    <t>678 Mamoncillo Chino; Lychee; Lich</t>
  </si>
  <si>
    <t>679 Litsea Monopetala</t>
  </si>
  <si>
    <t>680 Palma Abanico de la China</t>
  </si>
  <si>
    <t>681 Palma Abanico (Drudei)</t>
  </si>
  <si>
    <t>682 Palma Abanico (Rotundifolia)</t>
  </si>
  <si>
    <t>683 Barbasco; Matapez; Baurá; Palo de José</t>
  </si>
  <si>
    <t>684 Fresno</t>
  </si>
  <si>
    <t>685 Clavo de Laguna; Clavito; Clavo; Clavo Amarillo; Yerba de Rejo</t>
  </si>
  <si>
    <t>686 Guácimo Colorado; Malagano</t>
  </si>
  <si>
    <t>687 Palma Coquito</t>
  </si>
  <si>
    <t>688 Macadamia</t>
  </si>
  <si>
    <t>689 Pico de Loro; Capote; Sietecueros; Carbón; Chucunda</t>
  </si>
  <si>
    <t>690 Machetico</t>
  </si>
  <si>
    <t>691 Ají Mora; Rabito de Mora; Dindé</t>
  </si>
  <si>
    <t>692 Tabaquillo</t>
  </si>
  <si>
    <t>693 Guamillo; Encenillo; Cuero de Marrano</t>
  </si>
  <si>
    <t>694 Magnolia; Magnolio; Magnolia Blanca</t>
  </si>
  <si>
    <t>695 Molinillo; Copachí; Guanábano de Monte</t>
  </si>
  <si>
    <t>696 Magnolio (Silvioi)</t>
  </si>
  <si>
    <t>697 Guanábano de Monte; Guanabanillo; Guanabanadillo; Fruta de Molinillo</t>
  </si>
  <si>
    <t>698 Arbolito de Navidad; Holly Brillante; Joli</t>
  </si>
  <si>
    <t>699 Huesito; Arrayan Cerezo; Cerezo de Monte; Acerola</t>
  </si>
  <si>
    <t>700 Ciruelo Rojo; Cereza de Barbados; Cerezo Montañero</t>
  </si>
  <si>
    <t>701 Manzana; Manzano</t>
  </si>
  <si>
    <t>702 Falso Hibiscus; Altea</t>
  </si>
  <si>
    <t>703 Campanita Roja; San Joaquín</t>
  </si>
  <si>
    <t>704 Mamey</t>
  </si>
  <si>
    <t>705 Mango; Mango de Azúcar</t>
  </si>
  <si>
    <t>706 Yuca</t>
  </si>
  <si>
    <t>707 Caimo Rojo</t>
  </si>
  <si>
    <t>708 Níspero</t>
  </si>
  <si>
    <t>709 Ojo de Paloma; Ojo de Palomo; Perlito</t>
  </si>
  <si>
    <t>710 Trestablas</t>
  </si>
  <si>
    <t>711 Zapote; Sapote; Chupa Chupa; Chupachupa</t>
  </si>
  <si>
    <t>712 Matisia Obliquifolia</t>
  </si>
  <si>
    <t>713 Sarno; Manzanillo; Caspi; Birringo (A otra sp de genero)</t>
  </si>
  <si>
    <t>714 Maytenus Segoviarum</t>
  </si>
  <si>
    <t>715 Camarón Rojo; Manto Rojo; Capote Brasilero</t>
  </si>
  <si>
    <t>716 Corcho; Calistemo Blanco</t>
  </si>
  <si>
    <t>717 Melastoma Malabathricum</t>
  </si>
  <si>
    <t>718 Paraíso; Jazmín; Árbol del Paraíso; Alelí</t>
  </si>
  <si>
    <t>719 Mamoncillo; Mamón</t>
  </si>
  <si>
    <t>720 Cotoprís; Mamón</t>
  </si>
  <si>
    <t>721 Cotoprix; Mamoncillo de Monte</t>
  </si>
  <si>
    <t>722 Meliosma Occidentalis</t>
  </si>
  <si>
    <t>723 Meliosma; Baboso; Babillo; Calabazo</t>
  </si>
  <si>
    <t>724 Amarrabollo; Amarraboyo</t>
  </si>
  <si>
    <t>725 Laurel Amarillo</t>
  </si>
  <si>
    <t>726 Zafiro; Migüito</t>
  </si>
  <si>
    <t>727 Miconia; Mortiño; Cenizo</t>
  </si>
  <si>
    <t>728 Miconia; Capulincillo</t>
  </si>
  <si>
    <t>729 Hoja de Lanza; Punta Lanza</t>
  </si>
  <si>
    <t>730 Cuatrofilos; Tuno</t>
  </si>
  <si>
    <t>731 Tuno; Mortiño Negro; Macanillo</t>
  </si>
  <si>
    <t>732 Miconia; Nigüito; Mortiño</t>
  </si>
  <si>
    <t>733 Miconia; Pajarito</t>
  </si>
  <si>
    <t>734 Miconia Ligustroides</t>
  </si>
  <si>
    <t>735 Nigüito (Minutiflora); Tuno; Mortiño</t>
  </si>
  <si>
    <t>736 Nigüito</t>
  </si>
  <si>
    <t>737 Niguito; Teñidor</t>
  </si>
  <si>
    <t>738 Mortiño Blanco; Florentino; Mortiño; Huesito</t>
  </si>
  <si>
    <t>739 Niguito; Tuno Negro</t>
  </si>
  <si>
    <t>740 Tabaida; Tuno Rosado; Mortiño</t>
  </si>
  <si>
    <t>742 Amaillo; Cántaro; Mortiño</t>
  </si>
  <si>
    <t>743 Nigüito</t>
  </si>
  <si>
    <t>744 Bejuco de Criatura; Guaquito; Cernilla</t>
  </si>
  <si>
    <t>745 Haba de la India; Pogam</t>
  </si>
  <si>
    <t>746 Zarzón; Dormidera; Vergonzosa; Zarza Prieta</t>
  </si>
  <si>
    <t>747 Mimosa; Dormidera</t>
  </si>
  <si>
    <t>748 Punta de Candado; Punte; Oquendo; Melcocho</t>
  </si>
  <si>
    <t>749 Arboloco; Pauche</t>
  </si>
  <si>
    <t>750 Olivo de Cera; Laurel de Cera; Aromo; Laurel</t>
  </si>
  <si>
    <t>751 Noni; Piñuela</t>
  </si>
  <si>
    <t>752 Moringa</t>
  </si>
  <si>
    <t>753 Morisonia Oblongifolia</t>
  </si>
  <si>
    <t>754 Moral Negro; Morera Negra</t>
  </si>
  <si>
    <t>755 Morera Blanca</t>
  </si>
  <si>
    <t>756 Chitató; Capulín; Chitato; Nigua</t>
  </si>
  <si>
    <t>757 Bergera Koenigii</t>
  </si>
  <si>
    <t>758 Azahar de la India; Jazmín</t>
  </si>
  <si>
    <t>759 Musaenda Roja; Musaenda; Musaendo; Musaendra</t>
  </si>
  <si>
    <t>760 Musaenda; Musaendra</t>
  </si>
  <si>
    <t>762 Guamo Peludo</t>
  </si>
  <si>
    <t>763 Arrayán; Árbol de Cera</t>
  </si>
  <si>
    <t>764 Guayabillo</t>
  </si>
  <si>
    <t>765 Arrayán de Hoja Grande; Arrayán</t>
  </si>
  <si>
    <t>766 Arrayán Blanco; Arrayán Negro; Guayabo de Castilla</t>
  </si>
  <si>
    <t>767 Jaboticaba; Guayabo Jaboticaba</t>
  </si>
  <si>
    <t>768 Bálsamo; Bálsamo de Tolú</t>
  </si>
  <si>
    <t>769 Espadero; Cucharo; Cucharo Blanco</t>
  </si>
  <si>
    <t>770 Espadero; Chagualo; Cucharo</t>
  </si>
  <si>
    <t>771 Amarillo; Laurel (Acutifolia); Laurel Jigua</t>
  </si>
  <si>
    <t>772 Laurel; Palialte</t>
  </si>
  <si>
    <t>773 Laurel</t>
  </si>
  <si>
    <t>774 Rambután</t>
  </si>
  <si>
    <t>775 Habano; Adelfa; Azuceno</t>
  </si>
  <si>
    <t>776 Contragavilana; Gavilana</t>
  </si>
  <si>
    <t>777 Palmera Negra; Normambia</t>
  </si>
  <si>
    <t>778 Mickey Mouse</t>
  </si>
  <si>
    <t>779 Árbol Mickey Mouse</t>
  </si>
  <si>
    <t>780 Balso; Palo de Balsa</t>
  </si>
  <si>
    <t>781 Laurel Tunoso; Laurel Ojo de Mula; Jigua Laurel</t>
  </si>
  <si>
    <t>782 Laurel; Jigua Amarillo</t>
  </si>
  <si>
    <t>783 Laurel Mono; Laurel Pajita; Laurel; Laurel Tabaidá</t>
  </si>
  <si>
    <t>784 Laurel Blanco</t>
  </si>
  <si>
    <t>785 Laurel; Matatigre; Tigrito; Laurel Guacharaco</t>
  </si>
  <si>
    <t>786 Laurel Yema de Huevo</t>
  </si>
  <si>
    <t>787 Laurel de Bola</t>
  </si>
  <si>
    <t>788 Palma Mil Pesos; Milpesos; Chapil</t>
  </si>
  <si>
    <t>789 Nopal; Chumbo; Tuna</t>
  </si>
  <si>
    <t>790 Blanco</t>
  </si>
  <si>
    <t>791 Mano de Oso</t>
  </si>
  <si>
    <t>792 Chocho; Alcornoque; Frijolillo de la Suerte</t>
  </si>
  <si>
    <t>793 Chocho</t>
  </si>
  <si>
    <t>794 Otobo; Cuangare; Sangregallino; Soto Sangre</t>
  </si>
  <si>
    <t>796 Ceibo de Agua; Castaño de Agua; Cacao de Monte</t>
  </si>
  <si>
    <t>797 Castaño (Insignis); Castaño Silvestre; Cacao Ornamental; Zapotolongo</t>
  </si>
  <si>
    <t>798 Tolúa; Ceiba Tolúa</t>
  </si>
  <si>
    <t>799 Nuez del Brasil</t>
  </si>
  <si>
    <t>800 Castaño; Cacao de Monte</t>
  </si>
  <si>
    <t>801 Guardia de Cardenal</t>
  </si>
  <si>
    <t>802 Camaron Amarillo</t>
  </si>
  <si>
    <t>803 Aguadulce; Cafeto de Monte; Café de Montaña; Café de Monte</t>
  </si>
  <si>
    <t>804 Cagalera; Flor de Mayo; Corpus</t>
  </si>
  <si>
    <t>805 Flor de Mayo</t>
  </si>
  <si>
    <t>806 Lato</t>
  </si>
  <si>
    <t>807 Pandanus</t>
  </si>
  <si>
    <t>808 Palma de Tornillo; Pandano</t>
  </si>
  <si>
    <t>809 Acacia; Acacia Bracatinga; Acacia Negra; Acacia Baracatinga</t>
  </si>
  <si>
    <t>810 Cachiporro; Navidad</t>
  </si>
  <si>
    <t>811 Parkia</t>
  </si>
  <si>
    <t>812 Espino de Jerusalén; Palo Verde; Retama; Sauce Guajiro</t>
  </si>
  <si>
    <t>813 Curubo de Árbol; Granadilla de Árbol</t>
  </si>
  <si>
    <t>814 Paulownia</t>
  </si>
  <si>
    <t>815 Caguingo</t>
  </si>
  <si>
    <t>816 Escobilla; Cadillo</t>
  </si>
  <si>
    <t>817 Nazareno; Tananeo; Mochilero; Algarrobito</t>
  </si>
  <si>
    <t>818 Acacia Ferruginea; Acacia</t>
  </si>
  <si>
    <t>819 Dormilón; Capitancillo</t>
  </si>
  <si>
    <t>820 Árbol Murciélago; Tapaculo</t>
  </si>
  <si>
    <t>821 Quiebra Hacha; Carnegallina; Negrito; Cucharo</t>
  </si>
  <si>
    <t>822 Varasanta; Palodiablo; Paparua</t>
  </si>
  <si>
    <t>823 Bleo; Chupamelón; Bledochupa; Bleo de Chupa</t>
  </si>
  <si>
    <t>824 Aguacate</t>
  </si>
  <si>
    <t>825 Aguacatillo</t>
  </si>
  <si>
    <t>826 Laurel Orquideas</t>
  </si>
  <si>
    <t>827 Tastacame</t>
  </si>
  <si>
    <t>828 Copa Blanca; Capá</t>
  </si>
  <si>
    <t>829 Anamú; Chimú</t>
  </si>
  <si>
    <t>830 Estrella de Oriente; Chaparrito; Chaparrillo; Chaparro</t>
  </si>
  <si>
    <t>831 Flor Azúl; Azulito; Carrasposo; Chaparrillo</t>
  </si>
  <si>
    <t>832 Plumon; Jazmín Azul; Chaparrito</t>
  </si>
  <si>
    <t>833 Mano de Tigre; Güembé</t>
  </si>
  <si>
    <t>834 Palma Datil de las Canarias; Palma Fénix; Datilera de las Canarias; Palma de Canarias</t>
  </si>
  <si>
    <t>835 Dátil; Palma de Dátil; Palma Datilera; Datilera</t>
  </si>
  <si>
    <t>836 Palma Datilera del Senegal; Palma Fénix</t>
  </si>
  <si>
    <t>837 Palma Robeleni</t>
  </si>
  <si>
    <t>838 Ditalera Plateada</t>
  </si>
  <si>
    <t>839 Photinia; Fotinia</t>
  </si>
  <si>
    <t>840 Grosello; Phyllantus</t>
  </si>
  <si>
    <t>841 Grosello (Acuminatus); Barbasco; Barbasquillo; Chirrinche</t>
  </si>
  <si>
    <t>842 Physocarpus Opulifolius</t>
  </si>
  <si>
    <t>843 Tagua; Palmera de Marfil; Marfil Vegetal</t>
  </si>
  <si>
    <t>844 Tagua</t>
  </si>
  <si>
    <t>845 Ombú; Yerba de Culebra; Guaba; Árbol de la Bella Sombra</t>
  </si>
  <si>
    <t>846 Pimienta de Olor; Pimienta Dulce; Pimiento</t>
  </si>
  <si>
    <t>847 Aceituno; Malagueto</t>
  </si>
  <si>
    <t>848 Pino Caribe; Pino Caribeño; Pino; Pino Caribea</t>
  </si>
  <si>
    <t>849 Ocote Chino; Pino; Pino Ocarpa</t>
  </si>
  <si>
    <t>850 Pino Pátula; Pino; Pino Espátula</t>
  </si>
  <si>
    <t>851 Cordoncillo; Matico; Hierba del Soldado</t>
  </si>
  <si>
    <t>852 Cordoncillo; Santamaría de Anís; Anisillo; Santamaría</t>
  </si>
  <si>
    <t>853 Cordoncillo</t>
  </si>
  <si>
    <t>854 Cordoncillo</t>
  </si>
  <si>
    <t>855 Cordoncillo</t>
  </si>
  <si>
    <t>856 Uña de Perro; Uña de Gato; Aruñagato</t>
  </si>
  <si>
    <t>857 Chiminango; Payandé</t>
  </si>
  <si>
    <t>858 Espino de Mono; Chiminango Rojo; Punta de Mono; Payandé</t>
  </si>
  <si>
    <t>860 Pítosporo de Hoja Fina</t>
  </si>
  <si>
    <t>861 Galán de Noche; Huesito; Jazmín del Cabo</t>
  </si>
  <si>
    <t>862 Tuya; Pino Libro; Pino Tuya</t>
  </si>
  <si>
    <t>863 Trebol; Salero</t>
  </si>
  <si>
    <t>864 Guayacán Trébol</t>
  </si>
  <si>
    <t>865 Lomo de Caimán; Matarratón Extranjero; Cajón</t>
  </si>
  <si>
    <t>866 Falsa Aralia; Aralia Araña</t>
  </si>
  <si>
    <t>869 Laurel Jabon</t>
  </si>
  <si>
    <t>870 Azulina; Bellaemilia; Floroazul</t>
  </si>
  <si>
    <t>871 Alcamancayo; Amancayo; Azuceno; Blanco</t>
  </si>
  <si>
    <t>872 Frangipani Blanco; Amancayo Amarillo</t>
  </si>
  <si>
    <t>873 Florón; Floral; Azuceno; Plumeria</t>
  </si>
  <si>
    <t>874 Flor de Mayo; Amancayo Rosado; Frangipán; Azuceno</t>
  </si>
  <si>
    <t>875 Plumeria</t>
  </si>
  <si>
    <t>876 Cipresillo; Pinotea; Chaquiro Dulce</t>
  </si>
  <si>
    <t>877 Kusamaki O Inumaki</t>
  </si>
  <si>
    <t>878 Chaquiro; Pino Colombiano (Oleifolius)</t>
  </si>
  <si>
    <t>879 Pino Colombiano</t>
  </si>
  <si>
    <t>880 Llovizno</t>
  </si>
  <si>
    <t>881 Chorcha de Gallo; Quina; Chibigui; Madroño</t>
  </si>
  <si>
    <t>882 Péndulo</t>
  </si>
  <si>
    <t>883 Sereno; Millonaria</t>
  </si>
  <si>
    <t>884 Millonaria (Fructicosa); Elegantísima</t>
  </si>
  <si>
    <t>885 Millón; Pestañaevieja; Millonario Blanco; Geranio</t>
  </si>
  <si>
    <t>886 Polyscias Paniculata</t>
  </si>
  <si>
    <t>887 Crispa; Millonaria; Millonario; Millón</t>
  </si>
  <si>
    <t>888 Millonaria</t>
  </si>
  <si>
    <t>889 Haba de la India</t>
  </si>
  <si>
    <t>890 Chopo</t>
  </si>
  <si>
    <t>891 Azuceno de Monte; Jazmin Naranjo</t>
  </si>
  <si>
    <t>892 Uva Caimarona; Caimarón</t>
  </si>
  <si>
    <t>893 Uva Caimarona</t>
  </si>
  <si>
    <t>894 Mediacara; Lechero de Plomo</t>
  </si>
  <si>
    <t>895 Caimito de Monte; Zapote Amarillo</t>
  </si>
  <si>
    <t>896 Caimo Peludo; Caimito; Caimo</t>
  </si>
  <si>
    <t>897 Caimitillo; Níspero de Monte; Sapotillo</t>
  </si>
  <si>
    <t>898 Níspero; Caimo Cafe; Caimo Negro</t>
  </si>
  <si>
    <t>899 Caimo Cerezo; Zapotillo</t>
  </si>
  <si>
    <t>900 Caimito; Ojo de Venado</t>
  </si>
  <si>
    <t>901 Zapote de Carne; Zapote Costeño</t>
  </si>
  <si>
    <t>902 Caimo Peludo; Guaimaro; Sapotillo</t>
  </si>
  <si>
    <t>903 Palmicho; Palmito</t>
  </si>
  <si>
    <t>904 Cola de Pescado</t>
  </si>
  <si>
    <t>905 Cativo; Trementino</t>
  </si>
  <si>
    <t>906 Palma Abanico de Fiji; Palma Pritchardia</t>
  </si>
  <si>
    <t>907 Trupillo; Cuji; Algarrobo; Tropillo</t>
  </si>
  <si>
    <t>908 Ánime; Ánime Rojo; Breo; Laurel Perico</t>
  </si>
  <si>
    <t>909 Durazno; Melocotón</t>
  </si>
  <si>
    <t>910 Cerezo; Cereza; Capulí</t>
  </si>
  <si>
    <t>911 Truco</t>
  </si>
  <si>
    <t>912 Pseuderanthemum Maculatum</t>
  </si>
  <si>
    <t>913 Ceiba Verde; Majagua; Bonga</t>
  </si>
  <si>
    <t>914 Cedro Amarillo; Iguá; Iguamarillo</t>
  </si>
  <si>
    <t>915 Guayabo Peruano; Guayabo de Monte; Guayabo Agrio</t>
  </si>
  <si>
    <t>916 Guayaba Coronilla; Guayaba Agria; Guayabo de Castilla</t>
  </si>
  <si>
    <t>917 Guayabo; Guayaba; Guayaba Común; Guayaba Manzana</t>
  </si>
  <si>
    <t>918 Guayabo Agrio; Guayaba Agria; Guayabito Agrio</t>
  </si>
  <si>
    <t>919 Guayabo de Monte</t>
  </si>
  <si>
    <t>920 Psychotria Nervosa</t>
  </si>
  <si>
    <t>921 Sangre de Gallo; Drago; Ojo de Venado; Sangregado</t>
  </si>
  <si>
    <t>922 Palo de Arco</t>
  </si>
  <si>
    <t>923 Barbasco</t>
  </si>
  <si>
    <t>924 Palma Solitaria; Ticosperma</t>
  </si>
  <si>
    <t>925 Palma Mcarthur; Macarthur</t>
  </si>
  <si>
    <t>926 Pueraria</t>
  </si>
  <si>
    <t>927 Granada; Granado</t>
  </si>
  <si>
    <t>928 Mortiño; Holly Espinoso; Piracanta</t>
  </si>
  <si>
    <t>929 Olivo Santo; Olivo; Olivo Hembra; Naranjuelo; Naranjillo</t>
  </si>
  <si>
    <t>930 Canela; Canelilla; Flor de Cacao; Madre Cacao; Madre de Cacao; Molinillo; Palo Copado; Palo de Canela; Palo de Molinillo; Rosa de Cacao</t>
  </si>
  <si>
    <t>931 Roble de Tierra Fría; Roble</t>
  </si>
  <si>
    <t>932 Quercus</t>
  </si>
  <si>
    <t>933 Quillay</t>
  </si>
  <si>
    <t>934 Palma del Viajero</t>
  </si>
  <si>
    <t>935 Palma Majestad</t>
  </si>
  <si>
    <t>936 Pino Colombiano; Chaquiro; Pino de Montaña; Pino Romerón</t>
  </si>
  <si>
    <t>937 Palma Rafis; Palmerita China</t>
  </si>
  <si>
    <t>938 Azalea; Biflora; Miflora</t>
  </si>
  <si>
    <t>939 Laurel; Jigua Baboso; Jigua Laurel; Jigua Negro; Jigua Pava; Aguacatillo Gigante</t>
  </si>
  <si>
    <t>940 Rhopalostylis Sapida</t>
  </si>
  <si>
    <t>941 Rhus Glabra</t>
  </si>
  <si>
    <t>942 Rhus Virens</t>
  </si>
  <si>
    <t>943 Higuerilla; Higuerillo; Higuereta; Higuereto; Higuerillo Blanco</t>
  </si>
  <si>
    <t>944 Anón; Anón de Monte; Anón Cimarón; Majagua</t>
  </si>
  <si>
    <t>945 Rosa</t>
  </si>
  <si>
    <t>946 Rosa Alpina</t>
  </si>
  <si>
    <t>947 Rosa</t>
  </si>
  <si>
    <t>948 Rosa de Japón; Rosa Multiflora</t>
  </si>
  <si>
    <t>949 Rosa</t>
  </si>
  <si>
    <t>950 Rosa</t>
  </si>
  <si>
    <t>951 Mapora; Palma Botella; Palma Mapora; Palma Imperial</t>
  </si>
  <si>
    <t>952 Palma Real de Cuba; Palma Real</t>
  </si>
  <si>
    <t>953 Trompillo; Cedrillo</t>
  </si>
  <si>
    <t>954 Petunia Mexicana</t>
  </si>
  <si>
    <t>956 Palma Cana</t>
  </si>
  <si>
    <t>957 Palmiche; Palma Amarga; Palmiche; Palmito; Calicá; Palmicho</t>
  </si>
  <si>
    <t>958 Sabal; Palmicha</t>
  </si>
  <si>
    <t>959 Zalac</t>
  </si>
  <si>
    <t>960 Sauce Llorón</t>
  </si>
  <si>
    <t>961 Sauce Llorón; Sauce; Sauce Macho; Sausa; Sauce Colorado; Icaco</t>
  </si>
  <si>
    <t>962 Sauce Negro</t>
  </si>
  <si>
    <t>963 Salvia Rosa</t>
  </si>
  <si>
    <t>964 Salviarroja; Liberal; Calzón del Diablo; Viudalegre; Liberal</t>
  </si>
  <si>
    <t>965 Samán; Campano; Algarrobillo; Árbol de Lluvia</t>
  </si>
  <si>
    <t>966 Sauco; Saúco; Sauco de Castilla; Salbuguera; Sabuguera</t>
  </si>
  <si>
    <t>967 Sauco</t>
  </si>
  <si>
    <t>968 Espinazo; Afelandra</t>
  </si>
  <si>
    <t>969 Cachimbo Amarillo</t>
  </si>
  <si>
    <t>970 Chumbimbo; Jaboncillo; Árbol de Jabón; Jabo; Jabón; Chambimbe</t>
  </si>
  <si>
    <t>971 Marañon; Caucho; Ñipi</t>
  </si>
  <si>
    <t>972 Lechudo</t>
  </si>
  <si>
    <t>973 Dulomoco; Chupachupa</t>
  </si>
  <si>
    <t>974 Schefflera; Cheflera; Pategallina Hojigrande</t>
  </si>
  <si>
    <t>975 Cheflera (Arborícola); Cheflera Enana</t>
  </si>
  <si>
    <t>976 Falsa Aralia</t>
  </si>
  <si>
    <t>977 Falso Pimiento; Muelle; Pimiento</t>
  </si>
  <si>
    <t>978 Falso Pimiento; Pimiento; Terebinto; Pimineto Negro; Turibinto</t>
  </si>
  <si>
    <t>979 Tambor; Tambolero; Tamborero; Frijolillo; Arenillas; Chingalé Tamborero</t>
  </si>
  <si>
    <t>980 Alcaparro; Babacú; Martinable; Frisolito; Cacaona; Jagua</t>
  </si>
  <si>
    <t>981 Bombito; Cuchillito; Platanito; Chivato; Ahitera</t>
  </si>
  <si>
    <t>982 Sen del Campo</t>
  </si>
  <si>
    <t>983 Potra; Frijolato; Bicho</t>
  </si>
  <si>
    <t>984 Alcaparro; Palo Bonito; Pichuelo; Galvis; Cucaracho; Frutillo</t>
  </si>
  <si>
    <t>985 Hawaii</t>
  </si>
  <si>
    <t>986 Dorancé; Floramarillo; Bajagua; Galvis; Majagüito; Dorancel</t>
  </si>
  <si>
    <t>987 Alcaparro</t>
  </si>
  <si>
    <t>988 Acacia Siamea; Abeto; Acacio Santandereano; Alcaparro; Acacia; Carmín</t>
  </si>
  <si>
    <t>989 Acacia</t>
  </si>
  <si>
    <t>990 Cassia</t>
  </si>
  <si>
    <t>991 Cantagallo Blanco; Gallito; Pirigallo; Sesbania; Agatí</t>
  </si>
  <si>
    <t>992 Escobilla; Escobadura; Malva de Escoba; Malva de Puerco Y Malva Prieta</t>
  </si>
  <si>
    <t>993 Amargo; Cedrillo; Aceituno; Amargo; Caratero; Chapul</t>
  </si>
  <si>
    <t>994 Cofalillo; Hoja de Pasmo; Limoncillo</t>
  </si>
  <si>
    <t>995 Cacao Montano</t>
  </si>
  <si>
    <t>996 Zancona; Palma Mulata; Chuapo; Araco; Pachúa Zancona; Pona Lisa</t>
  </si>
  <si>
    <t>997 Copa de Oro</t>
  </si>
  <si>
    <t>998 Copa de Oro</t>
  </si>
  <si>
    <t>999 Tomate de Árbol; Pepino de Árbol ; Tamarillo ; Tomate ; Tomate de Montaña ; Tomate de Monte</t>
  </si>
  <si>
    <t>1000 Lulo de Ciudad; Lulo Ornamental; Arbol de las Papas</t>
  </si>
  <si>
    <t>1001 Lulo de Perro; Friegaplatos; Matacucharachas</t>
  </si>
  <si>
    <t>1002 Tabaquillo; Fona de Porca</t>
  </si>
  <si>
    <t>1003 Borrachero; Borrachero Chiquito; Borrachero Cimarrón; Bodoquillo; Cucubo; Tinto</t>
  </si>
  <si>
    <t>1004 Lulo; Lulo de Castilla; Lulo de Perro; Lulo Morado; Lulo Pequeño; Bombolo</t>
  </si>
  <si>
    <t>1005 Indioviejo</t>
  </si>
  <si>
    <t>1006 Sacalaestaca; Sacaestaca; Friegaplatos; Limpiaplato; Mancatigre</t>
  </si>
  <si>
    <t>1007 Solanum</t>
  </si>
  <si>
    <t>1008 Cujarco; Cucubo; Cujaco; Almanegra; Lulo; Tachuelo</t>
  </si>
  <si>
    <t>1009 Friegaplatos; Cujaca; Berenjenita Cimarrona; Frutillo</t>
  </si>
  <si>
    <t>1010 Chucho Lanudo; Pepo; Borrachero</t>
  </si>
  <si>
    <t>1011 Tachuelo; Lulo</t>
  </si>
  <si>
    <t>1012 Espaquea</t>
  </si>
  <si>
    <t>1013 Tulipán Africano; Tulipán; Miona; Rosa China; Barquitos</t>
  </si>
  <si>
    <t>1014 Ceiba Tierra Fria</t>
  </si>
  <si>
    <t>1015 Espiroteca</t>
  </si>
  <si>
    <t>1016 Cancharana; Canyarana; Canllarana; Cancharama; Ciruelo Dulce; Hobo</t>
  </si>
  <si>
    <t>1017 Hobo; Jobo; Ubo; Uvo; Hobo Arisco; Ciruelo</t>
  </si>
  <si>
    <t>1018 Ciruelo; Cirgüelo; Ciruela; Ciruela Calentana; Ciruelo Blanco</t>
  </si>
  <si>
    <t>1019 Verbena Lila</t>
  </si>
  <si>
    <t>1020 Mora de Terciopelo; Hierba de Serpiente</t>
  </si>
  <si>
    <t>1021 Verbena Azul</t>
  </si>
  <si>
    <t>1022 Azuceno; Huevos de Perro; Cojon de Gato; Jazmín; Estremadelio</t>
  </si>
  <si>
    <t>1023 Camajón; Piñón; Camajonduro; Camajorú; Camajurú; Camajón Duro</t>
  </si>
  <si>
    <t>1024 Barbatimao</t>
  </si>
  <si>
    <t>1025 Chuchillo</t>
  </si>
  <si>
    <t>1026 Mucuna; Guacharaco; Rumbo; Macuná; Mucuná</t>
  </si>
  <si>
    <t>1027 Fresno; Frijolillo; Costillo; Latigo</t>
  </si>
  <si>
    <t>1028 Cucharo; Frijolillo</t>
  </si>
  <si>
    <t>1029 Cucharo; Frijolillo (A otra sp de genero)</t>
  </si>
  <si>
    <t>1030 Caoba; Caobo; Caoba Americana; Cedro Caoba; Palo Santo</t>
  </si>
  <si>
    <t>1031 Caoba Dominicana; Caoba; Caobo; Caoba Americana; Caobo Cubano; Caoba de Santo Domingo</t>
  </si>
  <si>
    <t>1032 Limonacho; Limoncillo; Limón Swinglia; Limón Suingla</t>
  </si>
  <si>
    <t>1033 Palma de Azúcar; Palma Reina; Coco Plumoso</t>
  </si>
  <si>
    <t>1034 Palma Sancona; Sarare; Zancona; Quirache; Saray; Palma de Sarare</t>
  </si>
  <si>
    <t>1035 Falso Camedor; Corosilla</t>
  </si>
  <si>
    <t>1036 Fruta Milagrosa</t>
  </si>
  <si>
    <t>1037 Aceituno Dulce; Aceituno; Uva; Uvito; Jambolán; Aceituna</t>
  </si>
  <si>
    <t>1038 Pomo; Pomarroso; Pomarrosa; Pomarrosa Común; Pomorroso; Pomorroso de Castilla</t>
  </si>
  <si>
    <t>1039 Pero de Agua; Pomarroso; Pomarroso Brasilero; Pomarroso Brasileño; Pomarrosa del Brasil; Pera de Malaca</t>
  </si>
  <si>
    <t>1040 Eugenia</t>
  </si>
  <si>
    <t>1041 Syzygium</t>
  </si>
  <si>
    <t>1042 Polvillo; Coralibre; Cañaguate Blanco</t>
  </si>
  <si>
    <t>1043 Roble Amarillo; Cañaguate; Guayacán; Alumbre</t>
  </si>
  <si>
    <t>1044 Guayacan Peludo</t>
  </si>
  <si>
    <t>1045 Lapacho Rosado; Corazonfino; Cañaguate Morado</t>
  </si>
  <si>
    <t>1046 Guayacán; Chicalá; Floramarillo; Guayacán Polvillo; Guayacán Amarillo</t>
  </si>
  <si>
    <t>1047 Cáliz de Papel; Roble Merrill</t>
  </si>
  <si>
    <t>1048 Apamate; Guayacán Rosado; Ocobo; Roble; Guayacán; Guayacán Morado</t>
  </si>
  <si>
    <t>1049 Guayacán Enano</t>
  </si>
  <si>
    <t>1050 Cojon de Frayle; Lirio Macho; Jazmín del Monte</t>
  </si>
  <si>
    <t>1051 Jazmín de Malabar; Jazmín; Malabar; Sanango; Malabarí</t>
  </si>
  <si>
    <t>1052 Jazmín de Malabar; Jazmín; Malabar; Malabarí; Azuceno</t>
  </si>
  <si>
    <t>1053 Azuceno; Cojón de Gato; Jazmín; Cachito</t>
  </si>
  <si>
    <t>1054 Piangüita; Lechito</t>
  </si>
  <si>
    <t>1055 Cojón de Perro (A otra sp de genero)</t>
  </si>
  <si>
    <t>1056 Tostado</t>
  </si>
  <si>
    <t>1057 Majaguo; Sanjoaquín; Chitú; Majagua</t>
  </si>
  <si>
    <t>1058 Pitomba Sacha</t>
  </si>
  <si>
    <t>1059 Tamarindo</t>
  </si>
  <si>
    <t>1060 Fresno; Cedrillo; Guarupayo; Cedro Macho</t>
  </si>
  <si>
    <t>1061 Ciprés Moctezuma; Ahuehuete; Sabino</t>
  </si>
  <si>
    <t>1062 Bignonia Roja; Llamarada; Candela; Bignonia; Tecomaria</t>
  </si>
  <si>
    <t>1063 Chirlobirlo; Floramarillo; Fresno; Amarillo; Fresnillo; Chicalá</t>
  </si>
  <si>
    <t>1064 Teca; Teco</t>
  </si>
  <si>
    <t>1065 Almendro Amazónico; Amarillón; Roble Coral; Vara de León</t>
  </si>
  <si>
    <t>1067 Almendro; Almendrón; Almendra; Almendrillo</t>
  </si>
  <si>
    <t>1068 Guayabillo</t>
  </si>
  <si>
    <t>1069 Terminalia; Almendro Ovirensis</t>
  </si>
  <si>
    <t>1070 Terminalia Mantaly</t>
  </si>
  <si>
    <t>1071 Guayabillo; Vara de León; Guayabito; Guayabo</t>
  </si>
  <si>
    <t>1072 Limba; Terminalia</t>
  </si>
  <si>
    <t>1073 Sauce Playero; Aliso de Rio; Sauce de Playa; Sauce; Cenizo</t>
  </si>
  <si>
    <t>1074 Papel Arroz</t>
  </si>
  <si>
    <t>1075 Maraco; Bacao; Bacao de Monte; Maraca</t>
  </si>
  <si>
    <t>1076 Cacao; Cacaotero; Chocolate</t>
  </si>
  <si>
    <t>1077 Copoazú; Copuazú; Cupuazú; Cacao de Monte; Maraca Silvestre</t>
  </si>
  <si>
    <t>1078 Clemón; Algodoncillo; Algodon de Arbol</t>
  </si>
  <si>
    <t>1079 Huevos de Tigre</t>
  </si>
  <si>
    <t>1080 Catape; Cobalongo</t>
  </si>
  <si>
    <t>1081 Mirasol; Boton de Oro; Margaritón</t>
  </si>
  <si>
    <t>1082 Palma Abanico</t>
  </si>
  <si>
    <t>1083 Manto de Rey</t>
  </si>
  <si>
    <t>1084 Manto de Rey</t>
  </si>
  <si>
    <t>1085 Flor de Princesa; Planta de la Gloria</t>
  </si>
  <si>
    <t>1086 Siete Cueros</t>
  </si>
  <si>
    <t>1087 Oreja de Venado</t>
  </si>
  <si>
    <t>1088 Sietecueros; Sietecueros Real</t>
  </si>
  <si>
    <t>1089 Siete Cueros; Sietecueros Brasilero; Sietecueros Nazareno</t>
  </si>
  <si>
    <t>1090 Tilia Europaea</t>
  </si>
  <si>
    <t>1092 Trompillo; Rapabarbo</t>
  </si>
  <si>
    <t>1093 Manzanillo; Chiraco; Caspi; Pedrohernández</t>
  </si>
  <si>
    <t>1094 Molino del Viento Chino; Palma de Viento; Palma Molino de Viento Chino</t>
  </si>
  <si>
    <t>1095 Amor de Hombre</t>
  </si>
  <si>
    <t>1096 Guarda Parque Morado</t>
  </si>
  <si>
    <t>1097 Cariaño; Caraño; Ampó</t>
  </si>
  <si>
    <t>1098 Zurrumbo; Látigo; Verraco; Surundé; Cargadero; Raspador; Berraco</t>
  </si>
  <si>
    <t>1099 Quiebra Barrigo; Quiebrabarrigo; Nacedero; Madre de Agua</t>
  </si>
  <si>
    <t>1100 Chalahuite</t>
  </si>
  <si>
    <t>1101 Cedrillo; Cacique; Cedro</t>
  </si>
  <si>
    <t>1102 Jobo Macho; Trompillo; Jobo; Tautano; Tuétano</t>
  </si>
  <si>
    <t>1103 Tuétano; Cedrillo; Vara de Piedra</t>
  </si>
  <si>
    <t>1104 Melao; Chillalde</t>
  </si>
  <si>
    <t>1105 Cerezo Asiatico</t>
  </si>
  <si>
    <t>1106 Vara Santa; Varasanta; Guacamayo; Palosanto</t>
  </si>
  <si>
    <t>1107 Palma Carandilla</t>
  </si>
  <si>
    <t>1108 Santalucía; Damiana; Panchecito; Amapola</t>
  </si>
  <si>
    <t>1109 Olmo Chino</t>
  </si>
  <si>
    <t>1110 Ortiga</t>
  </si>
  <si>
    <t>1111 Pringamosa; Pringamoza; Ortiga; Ortigo</t>
  </si>
  <si>
    <t>1112 Tamarindo; Tamarindo de Montaña</t>
  </si>
  <si>
    <t>1113 Cornezuelo; Torito; Árbol de Cuerno</t>
  </si>
  <si>
    <t>1114 Aromo; Espino</t>
  </si>
  <si>
    <t>1115 Papayo de Monte; Papayo de Rastrojo</t>
  </si>
  <si>
    <t>1116 Guacimo Blanco</t>
  </si>
  <si>
    <t>1117 Palo de Gallinazo; Guerra; Marimari; Palo de Grulla; Gallinazo Ordinario</t>
  </si>
  <si>
    <t>1118 Palma Montgomery</t>
  </si>
  <si>
    <t>1119 Pauche; Camargo; Tabaquillo</t>
  </si>
  <si>
    <t>1120 Olivon</t>
  </si>
  <si>
    <t>1121 Indioviejo; Olivón; Varejón; Salvión</t>
  </si>
  <si>
    <t>1122 Juco; Pita; Sauco de Monte; Cabo de Hacha</t>
  </si>
  <si>
    <t>1123 Viburno</t>
  </si>
  <si>
    <t>1124 Sauco</t>
  </si>
  <si>
    <t>1125 Virola Multiflora</t>
  </si>
  <si>
    <t>1126 Sangretoro; Soto; Cuangare</t>
  </si>
  <si>
    <t>1127 Murdago</t>
  </si>
  <si>
    <t>1128 Carate; Punta de Lanza; Puntalanza; Puntelanza</t>
  </si>
  <si>
    <t>1129 Sangre Gallina; Manchado; Manchador; Carate; Punta de Lanza; Carate Negro</t>
  </si>
  <si>
    <t>1130 Aceituno; Aceituna; Guayacán Azul; Taruma</t>
  </si>
  <si>
    <t>1131 Aceituno</t>
  </si>
  <si>
    <t>1132 Roble Guayo; Penda; Higüerillo</t>
  </si>
  <si>
    <t>1133 Truntago</t>
  </si>
  <si>
    <t>1134 Nispero Amazonico</t>
  </si>
  <si>
    <t>1135 Palma Abanico; Washingtonia; Palma Washingtonia; Palma de Abanico; Palma Washingtoniana</t>
  </si>
  <si>
    <t>1136 Washingtonia; Palma Washingtonia</t>
  </si>
  <si>
    <t>1137 Encenillo; Encino; Encenillo Crespo</t>
  </si>
  <si>
    <t>1138 Encenillo; Encino; Encenillo Peludo</t>
  </si>
  <si>
    <t>1139 Sanjuán; Amargo; Cuasbil; Sanjuán; Palma Sanjuán;</t>
  </si>
  <si>
    <t>1140 Palma Macana; Baqueta; Crespa</t>
  </si>
  <si>
    <t>1141 Palma Crespa; Macana</t>
  </si>
  <si>
    <t>1142 Punteguayabo; Cabo de Hacha; Mantequillo</t>
  </si>
  <si>
    <t>1143 Palma Cola de Zorro; Cola de Zorro</t>
  </si>
  <si>
    <t>1144 Xilopia; Copillo; Sembé; Malagueto; Escobillo; Frisolillo</t>
  </si>
  <si>
    <t>1145 Yucca; Palma de Yuca; Palma de Bayoneta</t>
  </si>
  <si>
    <t>1146 Espadillo; Palma Yuca</t>
  </si>
  <si>
    <t>1147 Palma Yuca; Palma Bayoneta; Palmiche</t>
  </si>
  <si>
    <t>1148 Yuca Brillante</t>
  </si>
  <si>
    <t>1149 Tachuelo</t>
  </si>
  <si>
    <t>1150 Tachuelo; Tacho; Doncel; Cilantrón; Mamica de Cadela</t>
  </si>
  <si>
    <t>1151 Guinda; Manzanita; Manzanito</t>
  </si>
  <si>
    <t>1152 Guinda; Manzanita Costeña; Pistacho</t>
  </si>
  <si>
    <t>1153 Suribio; Chíparo; Achil; Payandé; Playero</t>
  </si>
  <si>
    <t>1154 Cadillo Africano</t>
  </si>
  <si>
    <t>1155 Tanag de Filipinas</t>
  </si>
  <si>
    <t>1156 Pronto Alibio; Sanalotodo</t>
  </si>
  <si>
    <t>1157 Campanilla de Invierno; Perforanieves; Galanto</t>
  </si>
  <si>
    <t>1158 Hierba Buena</t>
  </si>
  <si>
    <t>1159 Achita; Amaranto</t>
  </si>
  <si>
    <t>1160 Árbol del Cielo</t>
  </si>
  <si>
    <t>1161 Duraznillo; Chirlobirlo; Sacaojos Colorado</t>
  </si>
  <si>
    <t>1162 Anón</t>
  </si>
  <si>
    <t>1163 Indeterminado</t>
  </si>
  <si>
    <t>1164 Indeterminado</t>
  </si>
  <si>
    <t>1165 Chilco</t>
  </si>
  <si>
    <t>1166 Bambú</t>
  </si>
  <si>
    <t>1167 Carbonero de Monte; Pegamosco</t>
  </si>
  <si>
    <t>1168 Trompeto; Curador</t>
  </si>
  <si>
    <t>1169 Veranera; Curazao</t>
  </si>
  <si>
    <t>1170 Veranera; Curazao</t>
  </si>
  <si>
    <t>1171 Borrachero; Borrachero Blanco</t>
  </si>
  <si>
    <t>1172 Cedrillo</t>
  </si>
  <si>
    <t>1173 Francesino; Jazmín de Malabar</t>
  </si>
  <si>
    <t>1177 Cañafístula; Acacia</t>
  </si>
  <si>
    <t>1178 Limón; Limón Dulce</t>
  </si>
  <si>
    <t>1179 Chiriguaco; Cargagua; Ahuyamo</t>
  </si>
  <si>
    <t>1180 Chagualo; Chagualito</t>
  </si>
  <si>
    <t>1181 Chagualo</t>
  </si>
  <si>
    <t>1182 Café; Cafeto</t>
  </si>
  <si>
    <t>1183 Cascabelito; Guache; Chucho</t>
  </si>
  <si>
    <t>1184 Ciprés; Pino; Pino Limon</t>
  </si>
  <si>
    <t>1185 Palma Cica; Cyca; Cica; Palma de Sagú</t>
  </si>
  <si>
    <t>1186 Guasco; Granado; Mote</t>
  </si>
  <si>
    <t>1187 Dombeya</t>
  </si>
  <si>
    <t>1188 Canelo de Páramo; Ají de Páramo; Canelo</t>
  </si>
  <si>
    <t>1189 Chocho; Gachingo; Secó</t>
  </si>
  <si>
    <t>1190 Chilco Colorado; Chilco; Carbón; Tíbar</t>
  </si>
  <si>
    <t>1191 Eugenia; Grosello</t>
  </si>
  <si>
    <t>1193 Ficus Bomba</t>
  </si>
  <si>
    <t>1194 Caucho; Higuerón</t>
  </si>
  <si>
    <t>1195 Cerezo de Monte</t>
  </si>
  <si>
    <t>1196 Fique</t>
  </si>
  <si>
    <t>1197 Fique; Cabuya; Maguey</t>
  </si>
  <si>
    <t>1198 Colorado; Cucharo</t>
  </si>
  <si>
    <t>1199 Caunce; Floramarillo</t>
  </si>
  <si>
    <t>1200 Cargadero; Cargadera; Garrapato</t>
  </si>
  <si>
    <t>1201 Lechero</t>
  </si>
  <si>
    <t>1202 Balso Blanco; Balso; Pestaña de Mula</t>
  </si>
  <si>
    <t>1203 Majagua</t>
  </si>
  <si>
    <t>1204 Candelo; Motilon</t>
  </si>
  <si>
    <t>1205 Cardenillo</t>
  </si>
  <si>
    <t>1206 Cardenillo; Piedro; Algodón</t>
  </si>
  <si>
    <t>1207 Guamo; Churimo; Barbasco</t>
  </si>
  <si>
    <t>1208 Guamo; Guama; Guabo; Churimo de Orilla;</t>
  </si>
  <si>
    <t>1209 Guamo Churimo; Guamo; Guamo Cazamuelas; Brijolito</t>
  </si>
  <si>
    <t>1210 Pino Azul</t>
  </si>
  <si>
    <t>1211 Enebro azul; Ciprés Azul; Juníspero</t>
  </si>
  <si>
    <t>1213 Leucaena; Acacia Blanca; Panelo; Carbonero Blanco</t>
  </si>
  <si>
    <t>1214 Almanegra; Bolenillo</t>
  </si>
  <si>
    <t>1216 Guacharaco; Patepaujil; Joropo; Bálsamo</t>
  </si>
  <si>
    <t>1217 Sarno; Manguito; Caspi; Palo de Sarno</t>
  </si>
  <si>
    <t>1218 Niguito; Esmeraldo; Tuno; Mortiño</t>
  </si>
  <si>
    <t>1219 Toronjil</t>
  </si>
  <si>
    <t>1220 Niguito; Morochillo; Mortiño; Granizo</t>
  </si>
  <si>
    <t>1221 Rúchica</t>
  </si>
  <si>
    <t>1222 Monina</t>
  </si>
  <si>
    <t>1223 Morera; Mora</t>
  </si>
  <si>
    <t>1224 Arrayán Grande; Arrayán; Guayabito; Guayabito Liso</t>
  </si>
  <si>
    <t>1225 Arrayán Negro; Almanegra; Chiso; Chisa</t>
  </si>
  <si>
    <t>1226 Cucharo; Espadero; Cucharo Blanco; Chagualo; Garrocho</t>
  </si>
  <si>
    <t>1228 Jigua Laurel; Guacharaco; Laurel; Jigua Negro; Laurel Amarillo</t>
  </si>
  <si>
    <t>1229 Laurel; Amargo; Laurel Amarillo; Laurel Llanero</t>
  </si>
  <si>
    <t>1230 Mano de Oso; Amarillo; Higuerón; Higuerillo</t>
  </si>
  <si>
    <t>1231 Mano de Oso; Guache; Candelero; Pata de Gallina</t>
  </si>
  <si>
    <t>1233 Pino Maximinoi</t>
  </si>
  <si>
    <t>1241 Romero; Romero Común</t>
  </si>
  <si>
    <t>1234 Pino</t>
  </si>
  <si>
    <t>1242 Carnefiambre; Jigracaspi; Azufre; Carafiambre; Carneasao; Fiambre</t>
  </si>
  <si>
    <t>1235 Gallinazo; Cenizo; Cacique</t>
  </si>
  <si>
    <t>1237 Ciruelo; Ciruela</t>
  </si>
  <si>
    <t>1238 Piracanto; Coralito</t>
  </si>
  <si>
    <t>1239 Coralito; Holly; Mortiño</t>
  </si>
  <si>
    <t>1251 Mantequillo; Almendro</t>
  </si>
  <si>
    <t>1253 Terminalia; Almendro</t>
  </si>
  <si>
    <t>1254 Verdenegro; Guásimo</t>
  </si>
  <si>
    <t>1255 Guácimo Blanco</t>
  </si>
  <si>
    <t>1244 Cabuyo</t>
  </si>
  <si>
    <t>1256 Guasco</t>
  </si>
  <si>
    <t>1257 Papayuela; Papayuelo</t>
  </si>
  <si>
    <t>1246 Lechero; Caucho; Murillo; Mantequilla; Mantequillo; Lechudo</t>
  </si>
  <si>
    <t>1259 Yesco; Camargo</t>
  </si>
  <si>
    <t>1248 Dulumoco; Lulumoco; Dulomoco; Moco; Moquillo; Aguanoso</t>
  </si>
  <si>
    <t>1249 Cheflera; Yuco</t>
  </si>
  <si>
    <t>1261 Sauco de Monte; Pitá</t>
  </si>
  <si>
    <t>1262 Karité</t>
  </si>
  <si>
    <t>1263 Corono; Puyón; Aguja de Arria; Tachuelo; Cacho de Venado; Espino</t>
  </si>
  <si>
    <t>1264 Guaudilla; Bambú</t>
  </si>
  <si>
    <t>1265 Fique Rayado; Maguey</t>
  </si>
  <si>
    <t>1252 Eugenia; Eugenio</t>
  </si>
  <si>
    <t>1267 Marfil; Chaquiro Marfil</t>
  </si>
  <si>
    <t>1268 Chilca; Chilco; Muchacho</t>
  </si>
  <si>
    <t>1269 Despeinada</t>
  </si>
  <si>
    <t>1270 Aguacero</t>
  </si>
  <si>
    <t>1271 Covalonga; Cobalonga</t>
  </si>
  <si>
    <t>1272 Medallón de Oro</t>
  </si>
  <si>
    <t>1273 Casiguano</t>
  </si>
  <si>
    <t>1274 Turmetoro; Turmemono; Babasaino</t>
  </si>
  <si>
    <t>1275 Croton; Drago</t>
  </si>
  <si>
    <t>1276 Draco de Canarias</t>
  </si>
  <si>
    <t>1277 Higo de Hojas Gigantes</t>
  </si>
  <si>
    <t>1279 Grocello; Huesito</t>
  </si>
  <si>
    <t>1280 Laurel Baboso</t>
  </si>
  <si>
    <t>1281 Espina Santa</t>
  </si>
  <si>
    <t>1282 Amboyna</t>
  </si>
  <si>
    <t>1283 Avellano</t>
  </si>
  <si>
    <t>1284 Jazmín Español</t>
  </si>
  <si>
    <t>1285 Cenizo</t>
  </si>
  <si>
    <t>1286 Falsa Morera Asiática</t>
  </si>
  <si>
    <t>1287 Morera Roja</t>
  </si>
  <si>
    <t>1288 Coral de Jardín</t>
  </si>
  <si>
    <t>1289 Maracuyá</t>
  </si>
  <si>
    <t>1290 Guamilla</t>
  </si>
  <si>
    <t>1291 Abelia; Villareal</t>
  </si>
  <si>
    <t>1292 Calamondin</t>
  </si>
  <si>
    <t>1293 Flor de Estrella</t>
  </si>
  <si>
    <t>1294 Álamo</t>
  </si>
  <si>
    <t>1295 Guayacán; Palo Santo</t>
  </si>
  <si>
    <t>1296 Perla Negra</t>
  </si>
  <si>
    <t>1297 Guayabillo</t>
  </si>
  <si>
    <t>1298 Olivo</t>
  </si>
  <si>
    <t>1299 Lengua de Suegra</t>
  </si>
  <si>
    <t>1300 Rosa</t>
  </si>
  <si>
    <t>1301 Guayacán Blanco</t>
  </si>
  <si>
    <t>1302 Varronia</t>
  </si>
  <si>
    <t>1303 Sauzgatillo</t>
  </si>
  <si>
    <t>1304 Jabonero de la China</t>
  </si>
  <si>
    <t>1305 Suribio</t>
  </si>
  <si>
    <t>1306 Acacia</t>
  </si>
  <si>
    <t>1307 Yarumo</t>
  </si>
  <si>
    <t>1308 Labio Rojo; Aceite de Kelat</t>
  </si>
  <si>
    <t>1309 Baccharis</t>
  </si>
  <si>
    <t>1310 Euforbia</t>
  </si>
  <si>
    <t>1311 Hibisco Afroasiático Marítimo</t>
  </si>
  <si>
    <t>1313 Rosa</t>
  </si>
  <si>
    <t>1314 Tejo</t>
  </si>
  <si>
    <t>1315 Cola de Alacrán</t>
  </si>
  <si>
    <t>1316 Jazmín Estrellado; Jazmín de Arabia</t>
  </si>
  <si>
    <t>1317 Acacia Amarilla; Acacia</t>
  </si>
  <si>
    <t>1319 Canelo; Canela Criolla; Canela de Monte</t>
  </si>
  <si>
    <t>1320 Barbasco; Frijol Pezguero; Pezguero</t>
  </si>
  <si>
    <t>1321 Totumo de Playa; Totumillo</t>
  </si>
  <si>
    <t>1322 Hoja Amarga; Vernonia Amarga</t>
  </si>
  <si>
    <t>1323 Jazmín de la India; Quisqualis; Flor de San Diego</t>
  </si>
  <si>
    <t>1324 Pico de loro; Garrobo; Bejuco de Oreja</t>
  </si>
  <si>
    <t>1325 No me Olvides</t>
  </si>
  <si>
    <t>1326 Cacao silvestre; Cacao de Monte</t>
  </si>
  <si>
    <t>Número de Familia</t>
  </si>
  <si>
    <t>Género</t>
  </si>
  <si>
    <t>Genero</t>
  </si>
  <si>
    <t>_# de Familia</t>
  </si>
  <si>
    <t># y familia</t>
  </si>
  <si>
    <t># y género</t>
  </si>
  <si>
    <t>Cochlospermaceae</t>
  </si>
  <si>
    <t>Fabaceae sp.</t>
  </si>
  <si>
    <t>Lauraceae sp.</t>
  </si>
  <si>
    <t>Myrtaceae sp.</t>
  </si>
  <si>
    <t>Papaveraceae sp.</t>
  </si>
  <si>
    <t>Callistemon</t>
  </si>
  <si>
    <t>Rosaceae sp.</t>
  </si>
  <si>
    <t>Sapotaceae sp.</t>
  </si>
  <si>
    <t>Solanaceae sp.</t>
  </si>
  <si>
    <t>Verbenaceae sp.</t>
  </si>
  <si>
    <t>Total general</t>
  </si>
  <si>
    <t>Pineaceae</t>
  </si>
  <si>
    <t>Definiciones usadas en Savia Servicios SAS ESP.</t>
  </si>
  <si>
    <t xml:space="preserve">Hábitos de crecimiento </t>
  </si>
  <si>
    <t xml:space="preserve">Definición </t>
  </si>
  <si>
    <t>Plantas leñosas con múltiples tallos que generalmente son más cortos que los árboles. Hasta 5 metros de altura</t>
  </si>
  <si>
    <t>Plantas leñosas con un solo tallo principal o tronco que generalmente crece verticalmente y tiene ramificaciones superiores.</t>
  </si>
  <si>
    <t>Palnta que crece a partir de uno o varios tallos con una corona de hojas agrupadas en el extremo del tallo. Se pueden incluir familias como Arecaceae, Cycadaceae y Asparagaceae</t>
  </si>
  <si>
    <t>Epífita</t>
  </si>
  <si>
    <t>Plantas que crecen sobre otras plantas, usualmente en árboles, sin ser parásitas, obtienen sus nutrientes del aire y de materia orgánica acumulada.</t>
  </si>
  <si>
    <t xml:space="preserve">Hierba </t>
  </si>
  <si>
    <t>Plantas herbáceas con tallos suaves y flexibles, generalmente de porte bajo y con ciclos de vida cortos.</t>
  </si>
  <si>
    <t>Plantas que no pueden mantenerse erguidas por sí mismas y se apoyan en otras estructuras para crecer verticalmente.</t>
  </si>
  <si>
    <t>Plantas con hojas dispuestas en una forma circular alrededor de una base central.</t>
  </si>
  <si>
    <t>Saprófita</t>
  </si>
  <si>
    <t>Plantas que obtienen su nutrición de la materia orgánica muerta en descomposición en el suelo.</t>
  </si>
  <si>
    <t>Hemiparásita</t>
  </si>
  <si>
    <t>Plantas que obtienen parte de sus nutrientes a través de la conexión con las raíces de otras plantas, pero aún son capaces de realizar fotosíntesis.</t>
  </si>
  <si>
    <t>Parasita</t>
  </si>
  <si>
    <t>Plantas que obtienen todos sus nutrientes de otras plantas a través de conexiones especializadas, a menudo perjudicando a su hospedador.</t>
  </si>
  <si>
    <t>Flotante</t>
  </si>
  <si>
    <t>Plantas que crecen sobre la superficie del agua sin estar arraigadas en el suelo.</t>
  </si>
  <si>
    <t>Anfibias</t>
  </si>
  <si>
    <t>Plantas que pueden crecer tanto en tierra como en agua, adaptadas a ambientes acuáticos o terrestres.</t>
  </si>
  <si>
    <t>Lithophyta</t>
  </si>
  <si>
    <t>Plantas que crecen sobre rocas o en ambientes rocosos, adaptadas a suelos escasos o inexistentes.</t>
  </si>
  <si>
    <t>Psammophyta</t>
  </si>
  <si>
    <t>Plantas adaptadas a la vida en ambientes arenosos o dunas.</t>
  </si>
  <si>
    <t>Halófita</t>
  </si>
  <si>
    <t>Plantas adaptadas a ambientes salinos, como áreas costeras o salinas.</t>
  </si>
  <si>
    <t>Plantas adaptadas a condiciones de sequía o ambientes áridos.</t>
  </si>
  <si>
    <t>Hidrófita</t>
  </si>
  <si>
    <t>Plantas adaptadas a ambientes acuáticos o sumergidos.</t>
  </si>
  <si>
    <t>Colombia, región del norte de sur America y Centro america</t>
  </si>
  <si>
    <t>Que colombia no está dentro de su zona de distribución natural</t>
  </si>
  <si>
    <t xml:space="preserve">Exclusiva de la región </t>
  </si>
  <si>
    <t>Proyecto</t>
  </si>
  <si>
    <t>Otro</t>
  </si>
  <si>
    <t>Podas Cartago</t>
  </si>
  <si>
    <t>Podas Rionegro</t>
  </si>
  <si>
    <t>Nombres científicos</t>
  </si>
  <si>
    <t>Nombres comunes</t>
  </si>
  <si>
    <t>Herbario</t>
  </si>
  <si>
    <t>http://www.biovirtual.unal.edu.co/es/colecciones/search/plants/</t>
  </si>
  <si>
    <t>http://www.biovirtual.unal.edu.co/nombrescomunes/es/</t>
  </si>
  <si>
    <t>Taxones internacionales</t>
  </si>
  <si>
    <t>https://wfoplantlist.org/</t>
  </si>
  <si>
    <t>https://catalogofloravalleaburra.eia.edu.co/species/scientific-name</t>
  </si>
  <si>
    <t>Distribución en Colombia</t>
  </si>
  <si>
    <t>https://biodiversidad.co/data/?taxonKey=2735935</t>
  </si>
  <si>
    <t>https://catalogoarbolesurbanos.eia.edu.co/</t>
  </si>
  <si>
    <t>No definible</t>
  </si>
  <si>
    <t>UEIA. (2014). Catálogo virtual de flora de Alta Montaña. Grupo de Investigación, Sostenibilidad, Infraestructura y Territorio (SITE). https://catalogofloraaltamontana.eia.edu.co/species/250</t>
  </si>
  <si>
    <t>UEIA. (2014). Catálogo virtual de flora del Valle del Aburra. Grupo de Investigación, Sostenibilidad, Infraestructura y Territorio (SITE). https://catalogofloraaltamontana.eia.edu.co/species/250</t>
  </si>
  <si>
    <t>UEIA &amp; USFS. (2018). Catálogo de árboles urbanos de Colombia.</t>
  </si>
  <si>
    <t>Benedetti, S. (2012). Monografía de Espino Acacia caven (Mol.)Mol. Programa de invenstigación de productos forestales.Instituto Forestal. Chile.</t>
  </si>
  <si>
    <t>(NaturalisCO, 2024)</t>
  </si>
  <si>
    <t>Rodríguez Bonet, Sergio, Chaparro Aguilera, Laura, Benítez Villalba, Julio, Villalba, Domitila, Arévalos Rotela, Laura, &amp; Benítez Franco, Rossana. (2020). Caracterización fisicoquímica de la pulpa y almendra de Acrocomia aculeata. Investigación Agraria, 22(1), 46-52. Epub June 00, 2020.https://doi.org/10.18004/investig.agrar.2020.junio.46-52</t>
  </si>
  <si>
    <t>(Catálogo de la Biodiversidad, 2024)</t>
  </si>
  <si>
    <t>https://catalogo.biodiversidad.co/file/56d0c6343c16479905cba835/summary</t>
  </si>
  <si>
    <t>Varón, T. Morales, L. (2014). Arboretum y Palmetum, guía de identificación. Universidad Nacional de Colombia.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</si>
</sst>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2.0"/>
      <color rgb="FF333333"/>
      <name val="&quot;Source Sans&quot;"/>
    </font>
    <font>
      <sz val="12.0"/>
      <color rgb="FF333333"/>
      <name val="Arial"/>
    </font>
    <font>
      <b/>
      <sz val="11.0"/>
      <color theme="0"/>
      <name val="Calibri"/>
    </font>
    <font>
      <b/>
      <sz val="11.0"/>
      <color rgb="FF00FF00"/>
      <name val="Calibri"/>
    </font>
    <font/>
    <font>
      <sz val="10.0"/>
      <color rgb="FF0D0D0D"/>
      <name val="Quattrocento Sans"/>
    </font>
    <font>
      <u/>
      <sz val="11.0"/>
      <color rgb="FF0563C1"/>
      <name val="Calibri"/>
    </font>
    <font>
      <u/>
      <sz val="11.0"/>
      <color theme="10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385623"/>
        <bgColor rgb="FF385623"/>
      </patternFill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ABABAB"/>
      </left>
    </border>
    <border>
      <left style="thin">
        <color rgb="FFABABAB"/>
      </left>
      <right style="thin">
        <color rgb="FFABABAB"/>
      </right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2" fontId="1" numFmtId="4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1" numFmtId="49" xfId="0" applyAlignment="1" applyBorder="1" applyFont="1" applyNumberFormat="1">
      <alignment horizontal="center" vertical="center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5" fontId="2" numFmtId="0" xfId="0" applyBorder="1" applyFill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 vertical="center"/>
    </xf>
    <xf borderId="3" fillId="0" fontId="2" numFmtId="49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readingOrder="0"/>
    </xf>
    <xf borderId="1" fillId="6" fontId="2" numFmtId="0" xfId="0" applyBorder="1" applyFill="1" applyFont="1"/>
    <xf borderId="1" fillId="7" fontId="2" numFmtId="0" xfId="0" applyBorder="1" applyFill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2" numFmtId="49" xfId="0" applyAlignment="1" applyBorder="1" applyFont="1" applyNumberFormat="1">
      <alignment horizontal="center"/>
    </xf>
    <xf borderId="1" fillId="8" fontId="2" numFmtId="0" xfId="0" applyBorder="1" applyFill="1" applyFont="1"/>
    <xf borderId="0" fillId="0" fontId="2" numFmtId="0" xfId="0" applyAlignment="1" applyFont="1">
      <alignment readingOrder="0"/>
    </xf>
    <xf borderId="1" fillId="0" fontId="2" numFmtId="49" xfId="0" applyAlignment="1" applyBorder="1" applyFont="1" applyNumberFormat="1">
      <alignment horizontal="center" readingOrder="0" vertical="center"/>
    </xf>
    <xf borderId="0" fillId="7" fontId="2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 readingOrder="0"/>
    </xf>
    <xf borderId="4" fillId="7" fontId="2" numFmtId="0" xfId="0" applyBorder="1" applyFont="1"/>
    <xf borderId="1" fillId="0" fontId="4" numFmtId="0" xfId="0" applyAlignment="1" applyBorder="1" applyFont="1">
      <alignment readingOrder="0"/>
    </xf>
    <xf borderId="1" fillId="5" fontId="5" numFmtId="0" xfId="0" applyAlignment="1" applyBorder="1" applyFont="1">
      <alignment horizontal="left" readingOrder="0"/>
    </xf>
    <xf borderId="1" fillId="5" fontId="6" numFmtId="0" xfId="0" applyAlignment="1" applyBorder="1" applyFont="1">
      <alignment horizontal="left" readingOrder="0"/>
    </xf>
    <xf borderId="0" fillId="9" fontId="4" numFmtId="0" xfId="0" applyAlignment="1" applyFill="1" applyFont="1">
      <alignment readingOrder="0"/>
    </xf>
    <xf borderId="0" fillId="9" fontId="2" numFmtId="0" xfId="0" applyAlignment="1" applyFont="1">
      <alignment readingOrder="0"/>
    </xf>
    <xf borderId="1" fillId="9" fontId="2" numFmtId="0" xfId="0" applyBorder="1" applyFont="1"/>
    <xf borderId="1" fillId="5" fontId="2" numFmtId="0" xfId="0" applyAlignment="1" applyBorder="1" applyFont="1">
      <alignment readingOrder="0"/>
    </xf>
    <xf borderId="0" fillId="5" fontId="4" numFmtId="0" xfId="0" applyFont="1"/>
    <xf borderId="1" fillId="10" fontId="4" numFmtId="0" xfId="0" applyAlignment="1" applyBorder="1" applyFill="1" applyFont="1">
      <alignment horizontal="center" readingOrder="0"/>
    </xf>
    <xf borderId="1" fillId="10" fontId="4" numFmtId="0" xfId="0" applyAlignment="1" applyBorder="1" applyFont="1">
      <alignment horizontal="center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0" xfId="0" applyBorder="1" applyFont="1"/>
    <xf borderId="6" fillId="0" fontId="4" numFmtId="0" xfId="0" applyBorder="1" applyFont="1"/>
    <xf borderId="7" fillId="11" fontId="4" numFmtId="0" xfId="0" applyAlignment="1" applyBorder="1" applyFill="1" applyFont="1">
      <alignment readingOrder="0"/>
    </xf>
    <xf borderId="7" fillId="0" fontId="4" numFmtId="0" xfId="0" applyBorder="1" applyFont="1"/>
    <xf borderId="7" fillId="0" fontId="4" numFmtId="0" xfId="0" applyAlignment="1" applyBorder="1" applyFont="1">
      <alignment readingOrder="0"/>
    </xf>
    <xf borderId="8" fillId="0" fontId="2" numFmtId="0" xfId="0" applyBorder="1" applyFont="1"/>
    <xf borderId="0" fillId="0" fontId="4" numFmtId="0" xfId="0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4" fillId="12" fontId="7" numFmtId="0" xfId="0" applyBorder="1" applyFill="1" applyFont="1"/>
    <xf borderId="1" fillId="12" fontId="7" numFmtId="0" xfId="0" applyBorder="1" applyFont="1"/>
    <xf borderId="4" fillId="13" fontId="7" numFmtId="0" xfId="0" applyBorder="1" applyFill="1" applyFont="1"/>
    <xf borderId="1" fillId="0" fontId="1" numFmtId="0" xfId="0" applyBorder="1" applyFont="1"/>
    <xf borderId="19" fillId="14" fontId="8" numFmtId="0" xfId="0" applyAlignment="1" applyBorder="1" applyFill="1" applyFont="1">
      <alignment horizontal="center"/>
    </xf>
    <xf borderId="20" fillId="0" fontId="9" numFmtId="0" xfId="0" applyBorder="1" applyFont="1"/>
    <xf borderId="1" fillId="0" fontId="2" numFmtId="0" xfId="0" applyAlignment="1" applyBorder="1" applyFont="1">
      <alignment shrinkToFit="0" wrapText="1"/>
    </xf>
    <xf borderId="1" fillId="0" fontId="10" numFmtId="0" xfId="0" applyAlignment="1" applyBorder="1" applyFont="1">
      <alignment shrinkToFit="0" wrapText="1"/>
    </xf>
    <xf borderId="0" fillId="0" fontId="11" numFmtId="0" xfId="0" applyFont="1"/>
    <xf borderId="0" fillId="0" fontId="1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1">
    <dxf>
      <font>
        <color rgb="FF0D0D0D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13</xdr:row>
      <xdr:rowOff>38100</xdr:rowOff>
    </xdr:from>
    <xdr:ext cx="5067300" cy="3571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28575</xdr:rowOff>
    </xdr:from>
    <xdr:ext cx="4267200" cy="2714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243" sheet="Diccionario Nombre científicos"/>
  </cacheSource>
  <cacheFields>
    <cacheField name="Asignado a" numFmtId="0">
      <sharedItems containsBlank="1">
        <s v="Leiner Victoria"/>
        <s v="LAURA RENGIFO"/>
        <m/>
        <s v="ALEJANDRA REYES"/>
        <s v="MARIA FERNANDA LOPEZ"/>
        <s v="JUAN JOSÉ OLARTE"/>
        <s v="SALOMÉ CARDONA"/>
        <s v="No determinado"/>
        <s v="Paulina Mesa"/>
      </sharedItems>
    </cacheField>
    <cacheField name="Contrato de Origen" numFmtId="0">
      <sharedItems containsBlank="1">
        <s v="Todos"/>
        <s v="Podas Sur"/>
        <s v="Clus Cartago"/>
        <m/>
        <s v="Rionegro"/>
      </sharedItems>
    </cacheField>
    <cacheField name="Item" numFmtId="0">
      <sharedItems containsString="0" containsBlank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3.0"/>
        <m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5.0"/>
        <n v="1166.0"/>
        <n v="1167.0"/>
        <n v="1168.0"/>
        <n v="1169.0"/>
        <n v="1170.0"/>
        <n v="1171.0"/>
        <n v="1172.0"/>
        <n v="1173.0"/>
        <n v="1174.0"/>
        <n v="1179.0"/>
        <n v="1180.0"/>
        <n v="1182.0"/>
        <n v="1183.0"/>
        <n v="1184.0"/>
        <n v="1185.0"/>
        <n v="1186.0"/>
        <n v="1187.0"/>
        <n v="1188.0"/>
        <n v="1189.0"/>
        <n v="1190.0"/>
        <n v="1191.0"/>
        <n v="1194.0"/>
        <n v="1195.0"/>
        <n v="1196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8.0"/>
        <n v="1219.0"/>
        <n v="1221.0"/>
        <n v="1217.0"/>
        <n v="1223.0"/>
        <n v="1224.0"/>
        <n v="1225.0"/>
        <n v="1227.0"/>
        <n v="1222.0"/>
        <n v="1229.0"/>
        <n v="1230.0"/>
        <n v="1231.0"/>
        <n v="1232.0"/>
        <n v="1228.0"/>
        <n v="1235.0"/>
        <n v="1236.0"/>
        <n v="1237.0"/>
        <n v="1233.0"/>
        <n v="1241.0"/>
        <n v="1234.0"/>
        <n v="1242.0"/>
        <n v="1243.0"/>
        <n v="1245.0"/>
        <n v="1247.0"/>
        <n v="1239.0"/>
        <n v="1251.0"/>
        <n v="1253.0"/>
        <n v="1254.0"/>
        <n v="1255.0"/>
        <n v="1244.0"/>
        <n v="1256.0"/>
        <n v="1257.0"/>
        <n v="1258.0"/>
        <n v="1259.0"/>
        <n v="1248.0"/>
        <n v="1249.0"/>
        <n v="1261.0"/>
        <n v="1262.0"/>
        <n v="1263.0"/>
        <n v="1264.0"/>
      </sharedItems>
    </cacheField>
    <cacheField name="Nombre Científico corregido" numFmtId="0">
      <sharedItems>
        <s v="Indeterminado"/>
        <s v="Abarema jupunba"/>
        <s v="Abarema sp"/>
        <s v="Abelmoschus moschatus"/>
        <s v="Abutilon insigne"/>
        <s v="Abutilon pictum"/>
        <s v="Abutilon sp"/>
        <s v="Acacia angustissima"/>
        <s v="Acacia baileyana"/>
        <s v="Acacia caven"/>
        <s v="Acacia decurrens"/>
        <s v="Acacia farnesiana"/>
        <s v="Acacia mangium"/>
        <s v="Acacia melanoxylon"/>
        <s v="Acacia muricata"/>
        <s v="Acalypha amentacea"/>
        <s v="Acalypha diversifolia"/>
        <s v="Acalypha hispida"/>
        <s v="Acalypha macrostachya"/>
        <s v="Acalypha villosa"/>
        <s v="Acalypha wilkesiana"/>
        <s v="Acca sellowiana"/>
        <s v="Achatocarpus nigricans"/>
        <s v="Iochroma arborescens"/>
        <s v="Acosmium dasycarpum"/>
        <s v="Acrocarpus fraxinifolius"/>
        <s v="Acrocomia aculeata"/>
        <s v="Adenanthera pavonina"/>
        <s v="Adenaria floribunda"/>
        <s v="Adonidia merrillii"/>
        <s v="Aegiceras corniculatum"/>
        <s v="Aegiphila integrifolia"/>
        <s v="Aegiphila mollis"/>
        <s v="Aegiphila panamensis"/>
        <s v="Aegiphila sp"/>
        <s v="Agave americana"/>
        <s v="Agave attenuata"/>
        <s v="Agave sp"/>
        <s v="Aiouea sp"/>
        <s v="Aiphanes horrida"/>
        <s v="Aiphanes simplex"/>
        <s v="Albizia carbonaria"/>
        <s v="Albizia guachapele"/>
        <s v="Albizia julibrissin"/>
        <s v="Albizia lebbeck"/>
        <s v="Albizia niopoides"/>
        <s v="Albizia saman"/>
        <s v="Albizia sp"/>
        <s v="Alchornea costaricensis"/>
        <s v="Alchornea glandulosa"/>
        <s v="Alchornea grandiflora"/>
        <s v="Alchornea latifolia"/>
        <s v="Alchornea sp"/>
        <s v="Alchornea triplinervia"/>
        <s v="Alchornea verticillata"/>
        <s v="Aleurites fordii"/>
        <s v="Alfaroa colombiana"/>
        <s v="Allamanda blanchetii"/>
        <s v="Allamanda cathartica"/>
        <s v="Allamanda schottii"/>
        <s v="Allophylus sp"/>
        <s v="Alnus acuminata"/>
        <s v="Aloe arborescens"/>
        <s v="Aloysia citrodora"/>
        <s v="Alpinia purpurata"/>
        <s v="Alstonia scholaris"/>
        <s v="Alternanthera brasiliana"/>
        <s v="Amherstia nobilis"/>
        <s v="Ampelocera sp"/>
        <s v="Amphitecna apiculata"/>
        <s v="Amphitecna isthmica"/>
        <s v="Amphitecna latifolia"/>
        <s v="Amphitecna sp"/>
        <s v="Anacardium excelsum"/>
        <s v="Anacardium occidentale"/>
        <s v="Andira chigorodensis"/>
        <s v="Andira inermis"/>
        <s v="Andira sp"/>
        <s v="Aniba riparia"/>
        <s v="Aniba coto"/>
        <s v="Aniba muca"/>
        <s v="Aniba perutilis"/>
        <s v="Aniba puchury-minor"/>
        <s v="Aniba sp"/>
        <s v="Annona acuminata"/>
        <s v="Annona cherimola"/>
        <s v="Annona glabra"/>
        <s v="Annona montana"/>
        <s v="Annona muricata"/>
        <s v="Annona quinduensis"/>
        <s v="Annona rensoniana"/>
        <s v="Annona reticulata"/>
        <s v="Annona squamosa"/>
        <s v="Neolamarckia cadamba"/>
        <s v="Apeiba glabra"/>
        <s v="Apeiba membranacea"/>
        <s v="Apeiba tibourbou"/>
        <s v="Aphelandra crenata"/>
        <s v="Aralia chinensis"/>
        <s v="Araucaria angustifolia"/>
        <s v="Araucaria bidwillii"/>
        <s v="Araucaria heterophylla"/>
        <s v="Archontophoenix alexandrae"/>
        <s v="Archontophoenix cunninghamiana"/>
        <s v="Ardisia arborea"/>
        <s v="Ardisia crenata"/>
        <s v="Ardisia elliptica"/>
        <s v="Ardisia guianensis"/>
        <s v="Areca catechu"/>
        <s v="Areca sp"/>
        <s v="Areca triandra"/>
        <s v="Arenga engleri"/>
        <s v="Artemisia arborescens"/>
        <s v="Artocarpus altilis"/>
        <s v="Artocarpus heterophyllus"/>
        <s v="Artocarpus integer"/>
        <s v="Artocarpus lacucha"/>
        <s v="Asclepias curassavica"/>
        <s v="Asparagus sp"/>
        <s v="Aspidosperma sp"/>
        <s v="Aspidosperma spruceanum"/>
        <s v="Astrocaryum malybo"/>
        <s v="Astronium graveolens"/>
        <s v="Asystasia gangetica"/>
        <s v="Attalea amygdalina"/>
        <s v="Attalea butyracea"/>
        <s v="Attalea oleifera"/>
        <s v="Aucuba japonica"/>
        <s v="Averrhoa carambola"/>
        <s v="Azadirachta indica"/>
        <s v="Baccharis halimifolia"/>
        <s v="Baccharis latifolia"/>
        <s v="Baccharis macrantha"/>
        <s v="Bactris gasipaes"/>
        <s v="Bactris pilosa"/>
        <s v="Bambusa vulgaris"/>
        <s v="Bauhinia forficata"/>
        <s v="Bauhinia kalbreyeri"/>
        <s v="Bauhinia monandra"/>
        <s v="Bauhinia picta"/>
        <s v="Bauhinia purpurea"/>
        <s v="Bauhinia sp"/>
        <s v="Bauhinia variegata"/>
        <s v="Beaucarnea recurvata"/>
        <s v="Begonia coccinea"/>
        <s v="Beilschmiedia pendula"/>
        <s v="Bellucia pentamera"/>
        <s v="Bellucia sp"/>
        <s v="Billia rosea"/>
        <s v="Bischofia javanica"/>
        <s v="Bismarckia nobilis"/>
        <s v="Bixa orellana"/>
        <s v="Blighia sapida"/>
        <s v="Bocconia integrifolia"/>
        <s v="Boehmeria caudata"/>
        <s v="Boehmeria japonica"/>
        <s v="Boehmeria virgata"/>
        <s v="Bombax ceiba"/>
        <s v="Alibertia patinoi"/>
        <s v="Bougainvillea glabra"/>
        <s v="Brachylaena sp"/>
        <s v="Brasiliopuntia brasiliensis"/>
        <s v="Brassiophoenix schumanii"/>
        <s v="Breonia chinensis"/>
        <s v="Breynia disticha"/>
        <s v="Brosimum alicastrum"/>
        <s v="Broussonetia papyrifera"/>
        <s v="Brownea ariza"/>
        <s v="Brownea grandiceps"/>
        <s v="Brownea sp"/>
        <s v="Brownea stenantha"/>
        <s v="Browneopsis excelsa"/>
        <s v="Brugmansia arborea"/>
        <s v="Brugmansia sp"/>
        <s v="Brunfelsia grandiflora"/>
        <s v="Brunfelsia pauciflora"/>
        <s v="Brunfelsia sp"/>
        <s v="Brunfelsia undulata"/>
        <s v="Brunfelsia uniflora"/>
        <s v="Terminalia pulcherrima"/>
        <s v="Terminalia tetraphylla"/>
        <s v="Terminalia buceras"/>
        <s v="Buddleja davidii"/>
        <s v="Bulnesia arborea"/>
        <s v="Plectrocarpa carrapo"/>
        <s v="Bunchosia armeniaca"/>
        <s v="Bunchosia nitida"/>
        <s v="Bursera graveolens"/>
        <s v="Bursera simaruba"/>
        <s v="Bursera tomentosa"/>
        <s v="Buxus sempervirens"/>
        <s v="Byrsonima arthropoda"/>
        <s v="Byrsonima crassifolia"/>
        <s v="Byrsonima spicata"/>
        <s v="Libidibia coriaria"/>
        <s v="Libidibia punctata"/>
        <s v="Cenostigma pluviosum"/>
        <s v="Caesalpinia pulcherrima"/>
        <s v="Caesalpinia sp"/>
        <s v="Tara spinosa"/>
        <s v="Cajanus cajan"/>
        <s v="Calliandra antioquiae"/>
        <s v="Calliandra selloi"/>
        <s v="Calliandra haematocephala"/>
        <s v="Calliandra magdalenae"/>
        <s v="Calliandra medellinensis"/>
        <s v="Calliandra pittieri"/>
        <s v="Calliandra sp"/>
        <s v="Calliandra surinamensis"/>
        <s v="Calliandra tergemina"/>
        <s v="Calliandra trinervia"/>
        <s v="Calliandra tweedii"/>
        <s v="Callicarpa macrophylla"/>
        <s v="Melaleuca citrina"/>
        <s v="Melaleuca glauca"/>
        <s v="Hesperocyparis glabra"/>
        <s v="Calocedrus decurrens"/>
        <s v="Calophyllum brasiliense"/>
        <s v="Calophyllum calaba"/>
        <s v="Calophyllum inophyllum"/>
        <s v="Calophyllum soulattri"/>
        <s v="Calycophyllum candidissimum"/>
        <s v="Calyptranthes sp"/>
        <s v="camellia japonica"/>
        <s v="Camellia sp"/>
        <s v="Campomanesia lineatifolia"/>
        <s v="Cananga odorata"/>
        <s v="Morisonia odoratissmia"/>
        <s v="Capsicum frutescens"/>
        <s v="Capsicum sp"/>
        <s v="Carapa guianensis"/>
        <s v="Carica papaya"/>
        <s v="Carica sp"/>
        <s v="Cariniana pyriformis"/>
        <s v="Carissa macrocarpa"/>
        <s v="Carludovica palmata"/>
        <s v="Carya illinoinensis"/>
        <s v="Caryocar glabrum"/>
        <s v="Caryodaphnopsis cogolloi"/>
        <s v="Caryodendron orinocense"/>
        <s v="Caryota mitis"/>
        <s v="Caryota sp"/>
        <s v="Caryota urens"/>
        <s v="Cascabela gaumeri (Hemsl)"/>
        <s v="Casearia aculeata"/>
        <s v="Casearia corymbosa"/>
        <s v="Casearia sp"/>
        <s v="Casimiroa edulis"/>
        <s v="Casimiroa sapota Oerst"/>
        <s v="Cassia fistula"/>
        <s v="Cassia grandis"/>
        <s v="Cassia javanica"/>
        <s v="Senna spectabilis"/>
        <s v="Castilla elastica"/>
        <s v="Casuarina equisetifolia"/>
        <s v="Catalpa longissima"/>
        <s v="Cavanillesia chicamochae"/>
        <s v="Cavanillesia platanifolia"/>
        <s v="Cavendishia bracteata"/>
        <s v="Cavendishia pubescens"/>
        <s v="Cecropia angustifolia"/>
        <s v="Cecropia peltata"/>
        <s v="Cecropia telenitida"/>
        <s v="Cedrela montana"/>
        <s v="Cedrela odorata"/>
        <s v="Cedrela salvadorensis"/>
        <s v="Cedrela sp"/>
        <s v="Ceiba pentandra"/>
        <s v="Ceiba sp"/>
        <s v="Ceiba speciosa"/>
        <s v="Celastrus orbiculatus"/>
        <s v="Celastrus scandens"/>
        <s v="Celastrus sp"/>
        <s v="Centrolobium paraense Tul"/>
        <s v="Centrolobium yavizanum"/>
        <s v="Ceratozamia fuscoviridis"/>
        <s v="Cereus hexagonus"/>
        <s v="cereus sp"/>
        <s v="Cereus uruguayanus"/>
        <s v="Ceroxylon quindiuense"/>
        <s v="Cespedesia macrophylla"/>
        <s v="Cestrum nocturnum"/>
        <s v="cestrum racemosum"/>
        <s v="Cestrum schlechtendalii"/>
        <s v="Cestrum sp"/>
        <s v="Chamaecyparis pisifera"/>
        <s v="Chamaedorea linearis"/>
        <s v="Chamaedorea metallica"/>
        <s v="Chamaedorea pinnatifrons"/>
        <s v="Chamaedorea seifrizii"/>
        <s v="Chamaedorea sp"/>
        <s v="Chamaedorea tepejilote"/>
        <s v="Chambeyronia macrocarpa"/>
        <s v="Chelyocarpus dianeurus"/>
        <s v="Cinchona sp"/>
        <s v="Chloroleucon tortum"/>
        <s v="Chromolaena odorata"/>
        <s v="Chrysobalanus icaco"/>
        <s v="Chrysophyllum argenteum"/>
        <s v="Chrysophyllum cainito"/>
        <s v="Cinnamomum triplinerve"/>
        <s v="Cinnamomum zeylanicum"/>
        <s v="Citharexylum kunthianum"/>
        <s v="Citharexylum montanum"/>
        <s v="Citharexylum sp"/>
        <s v="Citharexylum subflavescens"/>
        <s v="Citrus x microcarpa"/>
        <s v="Citrus x sinensis"/>
        <s v="Citrus x latifolia"/>
        <s v="Citrus x limonia"/>
        <s v="Citrus aurantifolia"/>
        <s v="Citrus jambhiri"/>
        <s v="Citrus maxima"/>
        <s v="Citrus medica"/>
        <s v="citrus x myrtifolia"/>
        <s v="Citrus reticulata"/>
        <s v="Citrus sinensis"/>
        <s v="Citrus sp"/>
        <s v="Citrus trifoliata"/>
        <s v="Citrus x aurantium"/>
        <s v="Clarisia racemosa"/>
        <s v="Clathrotropis brunnea"/>
        <s v="Clathrotropis macrocarpa"/>
        <s v="Clavija longifolia"/>
        <s v="Clavija sp"/>
        <s v="Clerodendrum quadriloculare"/>
        <s v="Clerodendrum sp"/>
        <s v="Clethra sp"/>
        <s v="Clibadium sp"/>
        <s v="Clibadium surinamense"/>
        <s v="Clidemia umbrosa"/>
        <s v="Clitoria fairchildiana"/>
        <s v="Clusia alata"/>
        <s v="Clusia articulata"/>
        <s v="Clusia multiflora"/>
        <s v="Clusia orthoneura"/>
        <s v="Clusia sp"/>
        <s v="Cnidoscolus aconitifolius"/>
        <s v="Coccoloba acuminata"/>
        <s v="Coccoloba sp"/>
        <s v="Coccoloba uvifera"/>
        <s v="Coccothrinax argentata"/>
        <s v="Cochlospermum orinocense"/>
        <s v="Cochlospermum vitifolium"/>
        <s v="Cocos nucifera"/>
        <s v="Codiaeum variegatum"/>
        <s v="Coffea arabica"/>
        <s v="Cojoba arborea"/>
        <s v="Coleus spp"/>
        <s v="Colubrina arborescens"/>
        <s v="Compsoneura sp"/>
        <s v="Condaminea corymbosa"/>
        <s v="Conocarpus erectus"/>
        <s v="Copaifera canime"/>
        <s v="Copaifera sp"/>
        <s v="Cordia alliodora"/>
        <s v="Guayubirá"/>
        <s v="Cordia dentata"/>
        <s v="Cordia gerascanthus"/>
        <s v="Cordia sebestena"/>
        <s v="Cordia sp"/>
        <s v="Cordia subcordata"/>
        <s v="Cordyline australis"/>
        <s v="Cordyline fruticosa"/>
        <s v="Cordyline rubra"/>
        <s v="Coriaria ruscifolia L"/>
        <s v="Cornutia pyramidata"/>
        <s v="Corymbia ficifolia"/>
        <s v="Costus barbatus Suess"/>
        <s v="Cotoneaster coriaceus"/>
        <s v="Cotoneaster sp"/>
        <s v="Couratari guianensis"/>
        <s v="Couroupita guianensis"/>
        <s v="Crataegus azarolus"/>
        <s v="Crateva tapia"/>
        <s v="Crescentia cujete"/>
        <s v="Croton magdalenensis"/>
        <s v="Croton smithianus"/>
        <s v="Croton sp"/>
        <s v="Croton urucurana"/>
        <s v="Cryosophila kalbreyeri"/>
        <s v="Cryptomeria japonica"/>
        <s v="Cryptomeria japonica elegans"/>
        <s v="Cunonia capensis"/>
        <s v="Cupania americana"/>
        <s v="Cupania cinerea Poepp"/>
        <s v="Cupressus glabra"/>
        <s v="Cupressus lusitanica"/>
        <s v="Cupressus sempervirens"/>
        <s v="Curatella americana"/>
        <s v="Cyathea delgadii"/>
        <s v="Cyathea meridensis"/>
        <s v="Cyathea multiflora"/>
        <s v="Cyathea sp"/>
        <s v="Cyca sp"/>
        <s v="Cycas circinalis"/>
        <s v="Cycas revoluta Thunb"/>
        <s v="Cycas rumphii"/>
        <s v="Cycas thouarsii"/>
        <s v="Cyperus involucratus"/>
        <s v="Cyperus papyrus L"/>
        <s v="Cyphomandra betacea"/>
        <s v="Cyrtostachys renda"/>
        <s v="Dahlia x pinnata"/>
        <s v="Delonix regia"/>
        <s v="Delostoma integrifolium"/>
        <s v="Delostoma sp"/>
        <s v="Dendrocnide moroides"/>
        <s v="Dendropanax arboreus"/>
        <s v="Dendropanax sp"/>
        <s v="Dialium guianensis"/>
        <s v="Dianthera secunda"/>
        <s v="Dicksonia sellowiana"/>
        <s v="Dictyocaryum lamarckianum"/>
        <s v="Dilodendron costaricense"/>
        <s v="Dimocarpus longan"/>
        <s v="Diospyros blancoi"/>
        <s v="Diospyros Artanthifolia"/>
        <s v="Diospyros digyna Jacq"/>
        <s v="Diospyros inconstans"/>
        <s v="Diospyros nigra"/>
        <s v="Diospyros sp"/>
        <s v="Dipteryx oleifera"/>
        <s v="Dodonaea viscosa"/>
        <s v="Dombeya wallichii"/>
        <s v="Dovyalis hebecarpa"/>
        <s v="Dracaena angustifolia"/>
        <s v="Dracaena arborea"/>
        <s v="Dracaena braunii"/>
        <s v="Dracaena concinna"/>
        <s v="Dracaena deremensis"/>
        <s v="Dracaena fragrans"/>
        <s v="Dracaena reflexa"/>
        <s v="Dracaena rubra"/>
        <s v="Dracaena sp"/>
        <s v="Dracaena compacta"/>
        <s v="Duranta erecta"/>
        <s v="Duranta mutisii"/>
        <s v="Duranta repens"/>
        <s v="Duranta sp"/>
        <s v="Dypsis decaryi"/>
        <s v="Dypsis lutescens"/>
        <s v="Dypsis madagascariensis"/>
        <s v="Dysoxylum gaudichaudianum"/>
        <s v="Dysoxylum macranthum"/>
        <s v="Caesalpinia ebano"/>
        <s v="Elaeis guineensis"/>
        <s v="Elaeis oleifera"/>
        <s v="Elaeocarpus angustifolius"/>
        <s v="Endlicheria sericea"/>
        <s v="Enterolobium cyclocarpum"/>
        <s v="Eperua sp"/>
        <s v="Eriobotrya japonica"/>
        <s v="Erythrina crista-galli"/>
        <s v="Erythrina edulis"/>
        <s v="Erythrina fusca"/>
        <s v="Erythrina poeppigiana"/>
        <s v="Erythrina rubrinervia"/>
        <s v="Erythrina sp"/>
        <s v="Erythrina speciosa"/>
        <s v="Erythrina variegata"/>
        <s v="Erythroxylum coca"/>
        <s v="Escallonia pendula"/>
        <s v="Eschweilera antioquensis"/>
        <s v="Eschweilera parviflora"/>
        <s v="Eschweilera reversa"/>
        <s v="Eschweilera sp"/>
        <s v="Escobedia sp"/>
        <s v="Eucalyptus camaldulensis"/>
        <s v="Eucalyptus cinerea"/>
        <s v="Eucalyptus deglupta"/>
        <s v="Eucalyptus grandis"/>
        <s v="Eucalyptus polyanthemos"/>
        <s v="Eucalyptus robusta"/>
        <s v="Eucalyptus saligna"/>
        <s v="Eucalyptus sp"/>
        <s v="Eugenia biflora"/>
        <s v="Eugenia flavescens"/>
        <s v="Eugenia florida"/>
        <s v="Eugenia involucrata"/>
        <s v="Eugenia myrtifolia"/>
        <s v="Eugenia stipitata"/>
        <s v="Eugenia uniflora"/>
        <s v="Euonymus fortunei"/>
        <s v="Euonymus japonicus"/>
        <s v="Euphorbia cotinifolia"/>
        <s v="Euphorbia grantii"/>
        <s v="Euphorbia lactea"/>
        <s v="Euphorbia pulcherrima"/>
        <s v="Euphorbia tirucalli"/>
        <s v="Euphorbia trigona"/>
        <s v="Euphorbia umbellata"/>
        <s v="Euterpe oleracea"/>
        <s v="Euterpe precatoria"/>
        <s v="Feijoa sellowiana"/>
        <s v="Ficus americana"/>
        <s v="Ficus benjamina"/>
        <s v="Ficus brevibracteata"/>
        <s v="Ficus callosa"/>
        <s v="Ficus carica"/>
        <s v="Ficus citrifolia"/>
        <s v="Ficus cuatrecasasiana"/>
        <s v="Ficus dendrocida"/>
        <s v="Ficus dulciaria"/>
        <s v="Ficus elastica"/>
        <s v="Ficus hartwegii"/>
        <s v="Ficus ingens"/>
        <s v="Ficus insipida"/>
        <s v="Ficus involuta"/>
        <s v="Ficus longifolia"/>
        <s v="Ficus lyrata"/>
        <s v="Ficus microcarpa"/>
        <s v="Ficus obtusifolia"/>
        <s v="Ficus pertusa"/>
        <s v="Ficus religiosa"/>
        <s v="Ficus retusa"/>
        <s v="Ficus sp"/>
        <s v="Ficus sur"/>
        <s v="Ficus tequendamae"/>
        <s v="Ficus tonduzii"/>
        <s v="Ficus variegata"/>
        <s v="Flacourtia indica"/>
        <s v="Frangula caroliniana"/>
        <s v="Frangula goudotiana"/>
        <s v="Frangula sphaerosperma"/>
        <s v="Fraxinus americana"/>
        <s v="Fraxinus chinensis"/>
        <s v="Fraxinus udhei"/>
        <s v="Fuchsia sp"/>
        <s v="Galphimia gracilis"/>
        <s v="Garcinia madruno"/>
        <s v="Garcinia mangostana"/>
        <s v="Garcinia sp"/>
        <s v="Gardenia jasminoides"/>
        <s v="Genipa americana"/>
        <s v="Geoffroea sp"/>
        <s v="Geoffroea spinosa"/>
        <s v="Geonoma interrupta"/>
        <s v="Geonoma sp"/>
        <s v="Gliricidia sepium"/>
        <s v="Gmelina arborea"/>
        <s v="Gossypium barbadense"/>
        <s v="Gossypium sp"/>
        <s v="Graptophyllum pictum"/>
        <s v="Grevillea banksii"/>
        <s v="Grevillea robusta"/>
        <s v="Guadua angustifolia"/>
        <s v="Guaiacum officinale"/>
        <s v="Guaiacum sp"/>
        <s v="Guarea guidonia"/>
        <s v="Guarea macrophylla"/>
        <s v="Guarea sp"/>
        <s v="Guatteria sp"/>
        <s v="Guazuma ulmifolia"/>
        <s v="Gustavia dubia"/>
        <s v="Gustavia romeroi"/>
        <s v="Gustavia speciosa"/>
        <s v="Gustavia superba"/>
        <s v="Hamelia patens"/>
        <s v="Hampea sp"/>
        <s v="Handroanthus chrysanthus"/>
        <s v="Handroanthus chrysotrichus"/>
        <s v="Handroanthus ochraceus"/>
        <s v="Handroanthus serratifolius"/>
        <s v="Harpullia arborea"/>
        <s v="Hasseltia floribunda"/>
        <s v="Heliocarpus americanus"/>
        <s v="Heptapleurum actinophyllum"/>
        <s v="Heptapleurum arboricola"/>
        <s v="Herrania sp"/>
        <s v="Hevea brasiliensis"/>
        <s v="Hibiscus acetosella"/>
        <s v="Hibiscus elatus"/>
        <s v="Hibiscus fragilis"/>
        <s v="Hibiscus mutabilis"/>
        <s v="Hibiscus rosa-sinensis"/>
        <s v="Hibiscus sabdariffa"/>
        <s v="Hibiscus schizopetalus"/>
        <s v="Hibiscus sp"/>
        <s v="Hibiscus syriacus"/>
        <s v="Hieronyma alchorneoides"/>
        <s v="Himatanthus drasticus"/>
        <s v="Himatanthus sp"/>
        <s v="Hoheria sexstylosa"/>
        <s v="Holmskioldia sanguinea"/>
        <s v="Howea forsteriana"/>
        <s v="Huberodendron patinoi"/>
        <s v="Hura crepitans"/>
        <s v="Hymenaea courbaril"/>
        <s v="Hymenaea oblongifolia"/>
        <s v="Hyophorbe lagenicaulis"/>
        <s v="Hyophorbe verschaffeltii"/>
        <s v="Ilex sp"/>
        <s v="Indigofera sp"/>
        <s v="Inga acrocephala"/>
        <s v="Inga alba"/>
        <s v="Inga chocoensis"/>
        <s v="Inga codonantha"/>
        <s v="Inga densiflora"/>
        <s v="Inga edulis"/>
        <s v="Inga laurina"/>
        <s v="Inga spectabilis"/>
        <s v="Inga sp"/>
        <s v="Inga vera"/>
        <s v="Ipomoea carnea"/>
        <s v="Iriartea deltoidea"/>
        <s v="Isertia haenkeana"/>
        <s v="Ixora coccinea"/>
        <s v="Ixora nicaraguensis"/>
        <s v="Ixora sp"/>
        <s v="Jacaranda caucana"/>
        <s v="Jacaranda copaia"/>
        <s v="Jacaranda hesperia"/>
        <s v="Jacaranda mimosifolia"/>
        <s v="Jacaranda obtusifolia"/>
        <s v="Jasminum multiflorum"/>
        <s v="Jasminum nitidum"/>
        <s v="Jasminum sp"/>
        <s v="Jatropha curcas"/>
        <s v="Jatropha gossypiifolia"/>
        <s v="Jatropha integerrima"/>
        <s v="Jatropha multifida"/>
        <s v="Jatropha podagrica"/>
        <s v="Juglans neotropica"/>
        <s v="Juglans nigra"/>
        <s v="Juglans regia"/>
        <s v="Juniperus communis"/>
        <s v="Juniperus conferta"/>
        <s v="Juniperus virginiana"/>
        <s v="Justicia adhatoda"/>
        <s v="Justicia carnea"/>
        <s v="Justicia secunda"/>
        <s v="Justicia sp"/>
        <s v="Kigelia africana"/>
        <s v="Koelreuteria elegans"/>
        <s v="Koelreuteria paniculata"/>
        <s v="Laburnum anagyroides"/>
        <s v="Laccospadix australasicus"/>
        <s v="Lacistema aggregatum"/>
        <s v="Lacmellea edulis"/>
        <s v="Laetia corymbulosa"/>
        <s v="Lafoensia acuminata"/>
        <s v="Lafoensia punicifolia"/>
        <s v="lafoensia sp"/>
        <s v="Lafoensia speciosa"/>
        <s v="Lagerstroemia indica"/>
        <s v="Lagerstroemia speciosa"/>
        <s v="Lantana aculeata"/>
        <s v="Lantana viburnoides"/>
        <s v="Lantana camara"/>
        <s v="Latania loddigesii"/>
        <s v="Latania lontaroides"/>
        <s v="Laurus nobilis"/>
        <s v="Lecointea amazonica"/>
        <s v="Lecythis minor"/>
        <s v="Lecythis tuyrana"/>
        <s v="Leea guineensis"/>
        <s v="Leea rubra"/>
        <s v="Leptospermum scoparium"/>
        <s v="Leucaena latisiliqua"/>
        <s v="Leucaena leucocephala"/>
        <s v="Leucothoe fontanesiana"/>
        <s v="Licania sp"/>
        <s v="Licania tomentosa"/>
        <s v="Licaria triandra"/>
        <s v="Licuala grandis"/>
        <s v="Licuala spinosa"/>
        <s v="Ligustrum japonicum"/>
        <s v="Ligustrum lucidum"/>
        <s v="Ligustrum ovalifolium"/>
        <s v="Ligustrum sinense"/>
        <s v="Ligustrum sp"/>
        <s v="Ligustrum vulgare"/>
        <s v="Liquidambar styraciflua"/>
        <s v="Litchi chinensis"/>
        <s v="Litsea monopetala"/>
        <s v="Livistona chinensis"/>
        <s v="Livistona drudei"/>
        <s v="Livistona rotundifolia"/>
        <s v="Lonchocarpus macrophyllus"/>
        <s v="Lonchocarpus sp"/>
        <s v="Ludwigia peruviana"/>
        <s v="Luehea seemannii"/>
        <s v="Lytocaryum weddellianum"/>
        <s v="Macadamia integrifolia"/>
        <s v="Machaerium capote"/>
        <s v="Machaerium sp"/>
        <s v="Maclura tinctoria"/>
        <s v="Macrocarpaea Macrophylla"/>
        <s v="Macrolobium colombianum"/>
        <s v="Magnolia grandiflora"/>
        <s v="Magnolia hernandezii"/>
        <s v="Magnolia silvioi"/>
        <s v="Magnolia sp"/>
        <s v="Malpighia coccigera"/>
        <s v="Malpighia glabra"/>
        <s v="Malpighia punicifolia"/>
        <s v="Malus domestica"/>
        <s v="Malvaviscus arboreus"/>
        <s v="Malvaviscus penduliflorus"/>
        <s v="Mammea americana"/>
        <s v="Mangifera indica"/>
        <s v="Manihot esculenta"/>
        <s v="Manilkara sp"/>
        <s v="Manilkara zapota"/>
        <s v="Margaritaria nobilis"/>
        <s v="Matayba purgans"/>
        <s v="Matisia cordata"/>
        <s v="Matisia obliquifolia"/>
        <s v="Mauria sp"/>
        <s v="Maytenus segoviarum"/>
        <s v="Megaskepasma erythrochlamys"/>
        <s v="Melaleuca quinquenervia"/>
        <s v="Melastoma malabathricum"/>
        <s v="Melia azedarach"/>
        <s v="Melicoccus bijugatus"/>
        <s v="Melicoccus oliviformis"/>
        <s v="Melicoccus sp"/>
        <s v="Meliosma occidentalis"/>
        <s v="Meliosma sp"/>
        <s v="Meriania nobilis"/>
        <s v="Mespilodaphne veraguensis"/>
        <s v="Miconia affinis"/>
        <s v="Miconia albicans"/>
        <s v="Miconia argentea"/>
        <s v="Miconia caudata"/>
        <s v="Miconia dodecandra"/>
        <s v="Miconia elata"/>
        <s v="Miconia ibaguensis"/>
        <s v="Miconia laevigata"/>
        <s v="Miconia ligustroides"/>
        <s v="Miconia minutiflora"/>
        <s v="Miconia mirabilis"/>
        <s v="Miconia multiflora"/>
        <s v="Miconia notabilis"/>
        <s v="Miconia resima"/>
        <s v="Miconia serrulata"/>
        <s v="Miconia theaezans"/>
        <s v="Miconia tinifolia"/>
        <s v="Mikania micrantha"/>
        <s v="Millettia pinnata"/>
        <s v="Mimosa pigra"/>
        <s v="Mimosa sp"/>
        <s v="Minquartia guianensis"/>
        <s v="Montanoa quadrangularis"/>
        <s v="Morella pubescens"/>
        <s v="Morinda citrifolia"/>
        <s v="Moringa oleifera"/>
        <s v="Morisonia oblongifolia"/>
        <s v="Morus nigra"/>
        <s v="Morus sp"/>
        <s v="Muntingia calabura"/>
        <s v="Bergera koenigii"/>
        <s v="Murraya paniculata"/>
        <s v="Mussaenda erythrophylla"/>
        <s v="Mussaenda philippica"/>
        <s v="Mussaenda sp"/>
        <s v="Myrcia antioquensis"/>
        <s v="Myrcia popayanensis"/>
        <s v="Myrcia sp"/>
        <s v="Myrcia subsessilis"/>
        <s v="Myrcianthes sp"/>
        <s v="Plinia cauliflora"/>
        <s v="Myroxylon balsamum"/>
        <s v="Myrsine coriacea"/>
        <s v="Myrsine guianensis"/>
        <s v="Nectandra acutifolia"/>
        <s v="Nectandra lineata"/>
        <s v="Nectandra sp"/>
        <s v="Nephelium lappaceum"/>
        <s v="Nerium oleander"/>
        <s v="Neurolaena lobata"/>
        <s v="Normanbya normanbyi"/>
        <s v="Ochna serrulata"/>
        <s v="Ochna thomasiana"/>
        <s v="Ochroma pyramidale"/>
        <s v="Ocotea aurantiodora"/>
        <s v="Ocotea macrophylla"/>
        <s v="Ocotea guianensis"/>
        <s v="Ocotea insularis"/>
        <s v="Ocotea longifolia"/>
        <s v="Ocotea macropoda"/>
        <s v="Ocotea sp"/>
        <s v="Oenocarpus bataua"/>
        <s v="Opuntia ficus-indica"/>
        <s v="Orania palindan"/>
        <s v="Oreopanax sp"/>
        <s v="Ormosia colombiana"/>
        <s v="Ormosia sp"/>
        <s v="Otoba novogranatensis"/>
        <s v="Ozoroa sphaerocarpa"/>
        <s v="Pachira aquatica"/>
        <s v="Pachira insignis"/>
        <s v="Pachira quinata"/>
        <s v="Pachira sp"/>
        <s v="Pachira speciosa"/>
        <s v="Pachystachys coccinea"/>
        <s v="Pachystachys lutea"/>
        <s v="Palicourea angustifolia"/>
        <s v="Palicourea guianensis"/>
        <s v="Palicourea quadrilateralis"/>
        <s v="Palicourea sp"/>
        <s v="Pandanus tectorius"/>
        <s v="Pandanus utilis"/>
        <s v="Paraserianthes lophantha"/>
        <s v="Parkia pendula"/>
        <s v="Parkia sp"/>
        <s v="Parkinsonia aculeata"/>
        <s v="Passiflora arborea"/>
        <s v="Paulownia tomentosa"/>
        <s v="Pausandra sp"/>
        <s v="Pavonia sepium"/>
        <s v="Peltogyne paniculata"/>
        <s v="Peltophorum pterocarpum"/>
        <s v="Pentaclethra macroloba"/>
        <s v="Pentagonia pinnatifida"/>
        <s v="Pera arborea"/>
        <s v="Perebea guianensis"/>
        <s v="Pereskia bleo"/>
        <s v="Persea americana"/>
        <s v="Persea caerulea"/>
        <s v="Persea sp"/>
        <s v="Perymenium grande"/>
        <s v="Petitia domingensis"/>
        <s v="Petiveria alliacea"/>
        <s v="Petrea rugosa"/>
        <s v="Petrea pubescens"/>
        <s v="Petrea volubilis"/>
        <s v="Philodendron bipinnatifidum"/>
        <s v="Phoenix canariensis"/>
        <s v="Phoenix dactylifera"/>
        <s v="Phoenix reclinata"/>
        <s v="Phoenix roebelenii"/>
        <s v="Phoenix sylvestris"/>
        <s v="Photinia sp"/>
        <s v="Phyllanthus acidus"/>
        <s v="Phyllanthus acuminatus"/>
        <s v="Physocarpus opulifolius"/>
        <s v="Phytelephas macrocarpa"/>
        <s v="Phytelephas sp"/>
        <s v="Phytolacca dioica"/>
        <s v="Pimenta dioica"/>
        <s v="Pimenta racemosa"/>
        <s v="Pinus caribaea"/>
        <s v="Pinus oocarpa"/>
        <s v="Pinus patula"/>
        <s v="Piper aduncum"/>
        <s v="Piper auritum"/>
        <s v="Piper hispidum"/>
        <s v="Piper holtonii"/>
        <s v="Piper sp"/>
        <s v="Pisonia aculeata"/>
        <s v="Pithecellobium dulce"/>
        <s v="Pithecellobium lanceolatum"/>
        <s v="Pittosporum sp"/>
        <s v="Pittosporum tenuifolium"/>
        <s v="Pittosporum undulatum"/>
        <s v="Platycladus orientalis"/>
        <s v="Platymiscium darienense"/>
        <s v="Platymiscium pinnatum"/>
        <s v="Platypodium elegans"/>
        <s v="Plerandra elegantissima"/>
        <s v="Pleuropetalum sp"/>
        <s v="Pleuropetalum sprucei"/>
        <s v="Pleurothyrium sp"/>
        <s v="Plumbago auriculata"/>
        <s v="Plumeria alba"/>
        <s v="Plumeria obtusa"/>
        <s v="Plumeria pudica"/>
        <s v="Plumeria rubra"/>
        <s v="Plumeria sp"/>
        <s v="Podocarpus guatemalensis"/>
        <s v="Podocarpus macrophyllus"/>
        <s v="Podocarpus oleifolius"/>
        <s v="Podocarpus sp"/>
        <s v="Poeppigia procera"/>
        <s v="Pogonopus exsertus"/>
        <s v="Monoon longifolium"/>
        <s v="Polyscias balfouriana"/>
        <s v="Polyscias fruticosa"/>
        <s v="Polyscias guilfoylei"/>
        <s v="Polyscias paniculata"/>
        <s v="Polyscias scutellaria"/>
        <s v="Polyscias sp"/>
        <s v="Pongamia pinnata"/>
        <s v="Populus deltoides"/>
        <s v="Posoqueria latifolia"/>
        <s v="Pourouma sp"/>
        <s v="Pourouma cecropiifolia"/>
        <s v="Pouteria baehniana"/>
        <s v="Pouteria caimito"/>
        <s v="Pouteria torta"/>
        <s v="Pouteria durlandii"/>
        <s v="Pouteria guianensis"/>
        <s v="Pouteria krukovii"/>
        <s v="Pouteria multiflora"/>
        <s v="Pouteria sapota"/>
        <s v="Pouteria sp"/>
        <s v="Prestoea acuminata"/>
        <s v="Prestoea carderi"/>
        <s v="Prioria copaifera"/>
        <s v="Pritchardia pacifica"/>
        <s v="Prosopis juliflora"/>
        <s v="Protium apiculatum"/>
        <s v="Prunus persica"/>
        <s v="Prunus serotina"/>
        <s v="Prunus urotaenia"/>
        <s v="Pseuderanthemum maculatum"/>
        <s v="Pseudobombax septenatum"/>
        <s v="Pseudosamanea guachapele"/>
        <s v="Psidium cattleianum"/>
        <s v="Psidium friedrichsthalianum"/>
        <s v="Psidium guajava"/>
        <s v="Psidium guineense"/>
        <s v="Psidium sp"/>
        <s v="Psychotria nervosa"/>
        <s v="Pterocarpus acapulcensis"/>
        <s v="Pterocarpus santalinoides"/>
        <s v="Pterocarpus sp"/>
        <s v="Ptychosperma elegans"/>
        <s v="Ptychosperma macarthurii"/>
        <s v="Pueraria montana"/>
        <s v="Punica granatum"/>
        <s v="Pyracantha coccinea"/>
        <s v="Quadrella odoratissima"/>
        <s v="Quararibea funebris"/>
        <s v="Quercus humboldtii"/>
        <s v="Quercus phellos"/>
        <s v="Quillaja saponaria"/>
        <s v="Ravenala madagascariensis"/>
        <s v="Ravenea rivularis"/>
        <s v="Retrophyllum rospigliosii"/>
        <s v="Rhapis excelsa"/>
        <s v="Rhododendron simsii"/>
        <s v="Rhodostemonodaphne kunthiana"/>
        <s v="Rhopalostylis sapida"/>
        <s v="Rhus glabra"/>
        <s v="Rhus virens"/>
        <s v="Ricinus communis"/>
        <s v="Rollinia membranacea"/>
        <s v="Rosa chinensis"/>
        <s v="Rosa cinnamomea L"/>
        <s v="Rosa pendulina"/>
        <s v="Rosa multiflora"/>
        <s v="Rosa sempervirens"/>
        <s v="Rosa sp"/>
        <s v="Roystonea oleracea"/>
        <s v="Roystonea regia"/>
        <s v="Ruagea pubescens"/>
        <s v="Ruellia simplex"/>
        <s v="Ruellia sp"/>
        <s v="Sabal domingensis"/>
        <s v="Sabal mauritiiformis"/>
        <s v="Sabal palmetto"/>
        <s v="Salacca zalacca"/>
        <s v="Salix babylonica"/>
        <s v="Salix humboldtiana"/>
        <s v="Salix nigra"/>
        <s v="Salvia microphylla"/>
        <s v="Salvia splendens"/>
        <s v="Samanea saman"/>
        <s v="Sambucus nigra"/>
        <s v="Sambucus peruviana"/>
        <s v="Sanchezia oblonga"/>
        <s v="Sanchezia speciosa"/>
        <s v="Sapindus saponaria"/>
        <s v="Sapium aucuparium"/>
        <s v="Sapium sp"/>
        <s v="Saurauia sp"/>
        <s v="Schefflera actinophylla"/>
        <s v="Schefflera arboricola"/>
        <s v="Schefflera elegantissima"/>
        <s v="Schinus molle"/>
        <s v="Schinus terebinthifolia"/>
        <s v="Schizolobium parahyba"/>
        <s v="Senna alata"/>
        <s v="Senna bicapsularis"/>
        <s v="Senna corymbosa"/>
        <s v="Senna occidentalis"/>
        <s v="Senna pistaciifolia"/>
        <s v="Senna polyphylla"/>
        <s v="Senna reticulata"/>
        <s v="Senna septemtrionalis"/>
        <s v="Senna siamea"/>
        <s v="Senna sp"/>
        <s v="Senna surattensis"/>
        <s v="Sesbania grandiflora"/>
        <s v="Sida rhombifolia"/>
        <s v="Simarouba amara"/>
        <s v="Siparuna cuspidata"/>
        <s v="Sloanea zuliaensis"/>
        <s v="Socratea exorrhiza"/>
        <s v="Solandra grandiflora"/>
        <s v="Solandra maxima"/>
        <s v="Solanum betaceum"/>
        <s v="Solanum macranthum"/>
        <s v="Solanum mammosum"/>
        <s v="Solanum mauritianum"/>
        <s v="Solanum oblongifolium"/>
        <s v="Solanum quitoense"/>
        <s v="Solanum rovirosanum"/>
        <s v="Solanum rudepannum"/>
        <s v="Solanum sp"/>
        <s v="Solanum sycophanta"/>
        <s v="Solanum torvum"/>
        <s v="Solanum umbellatum"/>
        <s v="Solanum wrightii"/>
        <s v="Spachea herbert-smithii"/>
        <s v="Spathodea campanulata"/>
        <s v="Spirotheca rosea"/>
        <s v="Spirotheca sp"/>
        <s v="Spondias dulcis"/>
        <s v="Spondias mombin"/>
        <s v="Spondias purpurea"/>
        <s v="Stachytarpheta frantzii"/>
        <s v="Stachytarpheta mutabilis"/>
        <s v="Stachytarpheta jamaicensis"/>
        <s v="Stemmadenia litoralis"/>
        <s v="Sterculia apetala"/>
        <s v="Stryphnodendron sp"/>
        <s v="Stylogyne sp"/>
        <s v="Swartzia macrophylla"/>
        <s v="Swartzia oraria"/>
        <s v="Swartzia robiniifolia"/>
        <s v="Swartzia sp"/>
        <s v="Swietenia macrophylla"/>
        <s v="Swietenia mahagoni"/>
        <s v="Swinglea glutinosa"/>
        <s v="Syagrus romanzoffiana"/>
        <s v="Syagrus sancona"/>
        <s v="Synechanthus fibrosus"/>
        <s v="Synsepalum dulcificum"/>
        <s v="Syzygium cumini"/>
        <s v="Syzygium jambos"/>
        <s v="Syzygium malaccense"/>
        <s v="Syzygium paniculata"/>
        <s v="Syzygium sp"/>
        <s v="Tabebuia billbergii"/>
        <s v="Tabebuia chrysea"/>
        <s v="Tabebuia chrysotricha"/>
        <s v="Tabebuia impetiginosa"/>
        <s v="Tabebuia ochracea"/>
        <s v="Tabebuia pallida"/>
        <s v="Tabebuia rosea"/>
        <s v="Tabebuia sp"/>
        <s v="Tabernaemontana amygdalifolia"/>
        <s v="Tabernaemontana coronaria"/>
        <s v="Tabernaemontana divaricata"/>
        <s v="Tabernaemontana litoralis"/>
        <s v="Tabernaemontana markgrafiana"/>
        <s v="Tabernaemontana sp"/>
        <s v="Tachigali costaricensis"/>
        <s v="Talipariti tiliaceum"/>
        <s v="Talisia cerasina"/>
        <s v="Tamarindus indica"/>
        <s v="Tapirira guianensis"/>
        <s v="Taxodium mucronatum"/>
        <s v="Tecoma capensis"/>
        <s v="Tecoma stans"/>
        <s v="Tectona grandis"/>
        <s v="Terminalia amazonia"/>
        <s v="Terminalia catappa"/>
        <s v="Terminalia chiriquensis"/>
        <s v="Terminalia ivorensis"/>
        <s v="Terminalia mantaly"/>
        <s v="Terminalia oblonga"/>
        <s v="Terminalia superba"/>
        <s v="Tessaria integrifolia"/>
        <s v="Tetrapanax papyrifer"/>
        <s v="Theobroma bicolor"/>
        <s v="Theobroma cacao"/>
        <s v="Theobroma grandiflorum"/>
        <s v="Thespesia populnea"/>
        <s v="Thevetia ahouai"/>
        <s v="Thevetia peruviana"/>
        <s v="Tithonia diversifolia"/>
        <s v="Thrinax parviflora"/>
        <s v="Thunbergia sp"/>
        <s v="Thunbergia erecta"/>
        <s v="Tibouchina gracilis"/>
        <s v="Tibouchina granulosa"/>
        <s v="Tibouchina heteromalla"/>
        <s v="Tibouchina lepidota"/>
        <s v="Tibouchina urvilleana"/>
        <s v="Tilia europaea"/>
        <s v="Toddalia sp"/>
        <s v="Tovomita weddelliana"/>
        <s v="Toxicodendron striatum"/>
        <s v="Trachycarpus fortunei"/>
        <s v="Tradescantia fluminensis"/>
        <s v="Tradescantia pallida"/>
        <s v="Trattinnickia aspera"/>
        <s v="Trema micrantha"/>
        <s v="Trichanthera gigantea"/>
        <s v="Trichilia dregeana"/>
        <s v="Trichilia Havanensis"/>
        <s v="Trichilia hirta"/>
        <s v="Trichilia martiana"/>
        <s v="Trichospermum galeottii"/>
        <s v="Triphasia trifolia"/>
        <s v="Triplaris americana"/>
        <s v="Trithrinax schizophylla"/>
        <s v="Turnera ulmifolia"/>
        <s v="Ulmus parvifolia"/>
        <s v="Urera baccifera"/>
        <s v="Urera caracasana"/>
        <s v="Uribea tamarindoides"/>
        <s v="Vachellia collinsii"/>
        <s v="Vachellia farnesiana"/>
        <s v="Vasconcellea sp"/>
        <s v="Vasivaea podocarpa"/>
        <s v="Vatairea guianensis"/>
        <s v="Palma montgomeryana"/>
        <s v="Verbesina crassiramea"/>
        <s v="Vernonia brasiliana"/>
        <s v="Vernonanthura patens"/>
        <s v="Viburnum cornifolium"/>
        <s v="Viburnum odoratissimum"/>
        <s v="Viburnum sp"/>
        <s v="Virola multiflora"/>
        <s v="Virola sebifera"/>
        <s v="Viscum album"/>
        <s v="Vismia baccifera"/>
        <s v="Vismia guianensis"/>
        <s v="Vitex cymosa"/>
        <s v="Vitex cooperi"/>
        <s v="Vitex parviflora"/>
        <s v="Vitex sp"/>
        <s v="Vochysia sp"/>
        <s v="Washingtonia filifera"/>
        <s v="Washingtonia robusta"/>
        <s v="Weinmannia pubescens"/>
        <s v="Weinmannia tomentosa"/>
        <s v="Welfia regia"/>
        <s v="Wettinia radiata"/>
        <s v="Wettinia sp"/>
        <s v="Wittmackanthus stanleyanus"/>
        <s v="Wodyetia bifurcata"/>
        <s v="Xylopia aromatica"/>
        <s v="Yucca aloifolia"/>
        <s v="Yucca filifera"/>
        <s v="Yucca gigantea"/>
        <s v="Yucca gloriosa"/>
        <s v="Zanthoxylum gentryi"/>
        <s v="Zanthoxylum rhoifolium"/>
        <s v="Ziziphus jujuba"/>
        <s v="Ziziphus mauritiana"/>
        <s v="Zygia longifolia"/>
        <s v="Achyranthes aspera"/>
        <s v="Kleinhovia hospita"/>
        <s v="Lippia alba"/>
        <s v="Galanthus nivalis"/>
        <s v="Mentha spicata"/>
        <s v="Amaranthus paniculatus var. Cruentus (L)"/>
        <s v="Ailanthus altissima"/>
        <s v="Abatia parviflora"/>
        <s v="Annona sp"/>
        <s v="Apocynaceae"/>
        <s v="Asteraceae"/>
        <s v="Baccharis sp"/>
        <s v="Bambusa sp"/>
        <s v="Bejaria aestuans"/>
        <s v="Bocconia frutescens"/>
        <s v="Bougainvillea sp"/>
        <s v="Bougainvillea spectabilis"/>
        <s v="Brugmansia candida"/>
        <s v="Brunellia sp"/>
        <s v="Brunfelsia australis"/>
        <s v="Cassia sp"/>
        <s v="Citrus limon"/>
        <s v="Clethra fagifolia"/>
        <s v="Clusia ducuoides"/>
        <s v="Clusia trochiformis"/>
        <s v="Coffea sp"/>
        <s v="Crotalaria micans"/>
        <s v="Cupressus macrocarpa"/>
        <s v="Cycas sp"/>
        <s v="Daphnopsis caracasana"/>
        <s v="Dombeya cayeuxii"/>
        <s v="Drimys granadensis"/>
        <s v="Erythrina costaricensis"/>
        <s v="Escallonia paniculata"/>
        <s v="Eugenia sp"/>
        <s v="Ficus cyathistipula"/>
        <s v="Malvaceae"/>
        <s v="Myrtaceae"/>
        <s v="Fucraea sp"/>
        <s v="Furcraea andina"/>
        <s v="Geissanthus kalbreyeri"/>
        <s v="Rubiaceae"/>
        <s v="Salicaceae"/>
        <s v="Sapotaceae"/>
        <s v="Solanaceae"/>
        <s v="Verbenaceae"/>
        <s v="Hieronyma antioquensis"/>
        <s v="Ilex danielis"/>
        <s v="Ilex laurina"/>
        <s v="Inga capitata"/>
        <s v="Inga punctata"/>
        <s v="Inga marginata"/>
        <s v="Juniperus sp"/>
        <s v="Juniperus squamata"/>
        <s v="Leucaena sp"/>
        <s v="Magnolia polyhypsophylla"/>
        <s v="Matayba elegans "/>
        <s v="Mauria heterophylla"/>
        <s v="Miconia sp"/>
        <s v="Melissa officinalis"/>
        <s v="Miconia lehmannii "/>
        <s v="Monnina solandrifolia"/>
        <s v="Monnina speciosa"/>
        <s v="Morus alba"/>
        <s v="Myrcianthes leucoxyla"/>
        <s v="Myrcianthes rhopaloides"/>
        <s v="Myrsine sp"/>
        <s v="Nectandra reticulata"/>
        <s v="Nectandra laurel"/>
        <s v="Oreopanax bogotensis"/>
        <s v="Oreopanax incisus"/>
        <s v="Pinus maximinoi"/>
        <s v="Rosmarinus officinalis"/>
        <s v="Pinus sp"/>
        <s v="Roupala monosperma"/>
        <s v="Piptocoma discolor "/>
        <s v="Prunus muris "/>
        <s v="Pyracantha angustifolia"/>
        <s v="Pyracantha sp,"/>
        <s v="Turpinia occidentalis"/>
        <s v="Terminalia sp"/>
        <s v="Tournefortia fuliginosa"/>
        <s v="Tournefortia scabrida"/>
        <s v="Salacia sp"/>
        <s v="Tournefortia sp"/>
        <s v="Vasconcellea pubescens "/>
        <s v="Sapium stylare"/>
        <s v="Verbesina nudipes"/>
        <s v="Saurauia ursina"/>
        <s v="Schefflera sp"/>
        <s v="Viburnum undulatum"/>
        <s v="Vitellaria paradoxa"/>
        <s v="Xylosma spiculifera"/>
        <s v="Phyllostachys aurea"/>
      </sharedItems>
    </cacheField>
    <cacheField name="Nombre común" numFmtId="0">
      <sharedItems>
        <s v="Indeterminado"/>
        <s v="Frijolillo; Rayo; Guacamayo Blanco; Carbonero; Arenillo de Monte Chocho"/>
        <s v="Abarema"/>
        <s v="Hibisco"/>
        <s v="Abutilon"/>
        <s v="Faroolito Japones"/>
        <s v="Dormilón"/>
        <s v="Acacia (Baileyana)"/>
        <s v="Aromo"/>
        <s v="Acacia Roja (Decurrens)"/>
        <s v="Acacia de Desierto; Acacia Farnesiana"/>
        <s v="Acacia Mangium"/>
        <s v="Acacia Japonesa; Acacia Negra"/>
        <s v="Acacia"/>
        <s v="Acalifa Repollo; Carlota"/>
        <s v="Carlota"/>
        <s v="Cola de Zorro"/>
        <s v="Ortiga"/>
        <s v="Vara de Alcalde; Salvia de Monte"/>
        <s v="Guayaba Feijoa"/>
        <s v="Totocal O Limon Macho"/>
        <s v="Güitite; Tabalgue; Tomatoquina"/>
        <s v="Tasaa"/>
        <s v="Cedro Rosado de la India"/>
        <s v="Palma Chonta; Corozo Baboso"/>
        <s v="Coralito; Chocho"/>
        <s v="Chaparro"/>
        <s v="Palma de Manila; Palma de Navidad"/>
        <s v="Aegiceras Corniculatum"/>
        <s v="Pavo; Juan Blanco"/>
        <s v="Contraculebra de Venezuela"/>
        <s v="Loro"/>
        <s v="Tabaquillo; Palo Blanco; Mantequillo; Sapo de Vieja"/>
        <s v="Motua; Chaguar; Maguey"/>
        <s v="Maguey del Dragón"/>
        <s v="Pita; Pitera; Magüey"/>
        <s v="Laurel Feve"/>
        <s v="Palma Corocito; Corozo Rojo; Chascaraiza; Mararay"/>
        <s v="Corozo; Perrero"/>
        <s v="Pisquín; Carbonero"/>
        <s v="Igua"/>
        <s v="Acacia de Constantinopla"/>
        <s v="Carbonero Dormilón; Bayeto"/>
        <s v="Pisquin; Guacamayo"/>
        <s v="Saman"/>
        <s v="Albizia"/>
        <s v="Cafesito"/>
        <s v="Tostado"/>
        <s v="Escobo"/>
        <s v="Escobo; Carcomo; Mazamorro"/>
        <s v="Escobo; Quiebrapatas"/>
        <s v="Reventillo; Algodoncillo; Carcomo"/>
        <s v="Escobo (A otra sp de genero)"/>
        <s v="Tung Asiatico"/>
        <s v="Alfaroa"/>
        <s v="Trompeta; Jalapa Morada"/>
        <s v="Copa de Oro"/>
        <s v="Flor de Mantequilla"/>
        <s v="Cedrillo"/>
        <s v="Aliso"/>
        <s v="Sábila Candelabro Africano"/>
        <s v="Cedron"/>
        <s v="Yínyer; Yinye; Sanjuanico"/>
        <s v="Falso Ocobo; Palo de Sombra"/>
        <s v="Tebrol del Interior; Planta Percal; Alternatera"/>
        <s v="Amherstia"/>
        <s v="Ampeloceras"/>
        <s v="Jicarillo"/>
        <s v="Calabacillo (A otra sp de genero)"/>
        <s v="Calabazo"/>
        <s v="Calabacillo; Totumito (A otra sp de genero)"/>
        <s v="Caracolí"/>
        <s v="Marañón"/>
        <s v="Andira Chigorodensis"/>
        <s v="Borombolo; Congo de Agua"/>
        <s v="Borombolo; Congo de Agua (sp)"/>
        <s v="Comino Crespo (A otra sp de genero)"/>
        <s v="Laurel"/>
        <s v="Laurel Peque?O"/>
        <s v="Comino"/>
        <s v="Laurel Uncibe"/>
        <s v="Comino (sp)"/>
        <s v="Majagua"/>
        <s v="Chirimoyo; Chirimoya; Anón de Monte; Chirimoya de Monte"/>
        <s v="Guanabanilla"/>
        <s v="Guanbana Cimarrona"/>
        <s v="Guanábano"/>
        <s v="Anon de Monte"/>
        <s v="Anon de Monte; Anon Rolinia; Majagua"/>
        <s v="Chirimolla"/>
        <s v="Anon"/>
        <s v="Laran; Cadamba"/>
        <s v="Peine de Mono"/>
        <s v="Peine de Mono (Tibourbou)"/>
        <s v="Cola de Gallo"/>
        <s v="Árbol de Angélica China; Dimorphanthus"/>
        <s v="Araucaria"/>
        <s v="Araucaria; Araucaria Real; Pino de la Isla de Norfolk"/>
        <s v="Palma Alejandra; Reina Alejandra"/>
        <s v="Palma Payanesa"/>
        <s v="Ardisia Arborea"/>
        <s v="Ardisia"/>
        <s v="Ardisia Rio Claro; Ajicito de Diablo; Fresco; Mote"/>
        <s v="Palma de Betel; Nuez de Betel"/>
        <s v="Palmera Bambú"/>
        <s v="Palma Bambu"/>
        <s v="Palma Arenga"/>
        <s v="Artemisia"/>
        <s v="Árbol del Pan"/>
        <s v="Árbol del Pan; Jaca"/>
        <s v="Arbol del Pan"/>
        <s v="Artocarpus"/>
        <s v="Rejalgar; Bencenuco; Niñomuerto; Mataganado"/>
        <s v="Esparraguera"/>
        <s v="Carreto"/>
        <s v="Palma Malibú; Lanceta; Ancharma; Palma Estera; Anchamba"/>
        <s v="Diomate; Gusanero"/>
        <s v="Tortuguita; Nevado"/>
        <s v="Palma Táparo; Palma Almendrón; Almendrón"/>
        <s v="Palma de Vino; Palma de Cuesco; Palma Corozo de Puerco"/>
        <s v="Taparo; Pindoba"/>
        <s v="Laurel Manchado"/>
        <s v="Carambolo; Tamarindo; Carambola"/>
        <s v="Neem; Paraíso de la India"/>
        <s v="Bacaris; Chilca; Carqueja"/>
        <s v="Chilca; Chilco; Chilco Blanco"/>
        <s v="Chilo; Cirro; Ciro"/>
        <s v="Palma Chontaduro"/>
        <s v="Lata Blanca; Chacarrá"/>
        <s v="Bambú; Guadua Amarilla"/>
        <s v="Casco Buey"/>
        <s v="Casco de Vaca; Pata de Vaca; Pata de Buey; Casco de Buey"/>
        <s v="Casco Buey; Casco de Vaca"/>
        <s v="Casco de Vaca"/>
        <s v="Pata de Vaca; Patevaca; Patebuey; Casco de Vaca; Casco de Buey"/>
        <s v="Hernandiacea; Casco de Vaca"/>
        <s v="Casco de Vaca; Árbol Orquídea"/>
        <s v="Palma Pony"/>
        <s v="Begonia Alas de Angel"/>
        <s v="Laurel Negro; Aguacate Cimarrón"/>
        <s v="Coronillo; Guayaba de Mico"/>
        <s v="Bellucia sp"/>
        <s v="Bilia; Cucharo; Cariseco"/>
        <s v="Biscofia; Toog; Cedro de Java"/>
        <s v="Palma Bismarck Plateada"/>
        <s v="Achiote; Achote; Bija"/>
        <s v="Bien Me Sabe; Huevo de Gato"/>
        <s v="Trompeto; Albacarrín; Sarno; Llora Sangre"/>
        <s v="Zanca de Mula; Ortiguillo"/>
        <s v="Zorrumbo; Cola de Gato"/>
        <s v="Boehmeria Virgata"/>
        <s v="Cedro Caqueta; Ceiba Tolua; Algodonero Rojo"/>
        <s v="Borojó"/>
        <s v="Curazao; Veranera"/>
        <s v="Brachylaena sp"/>
        <s v="Chumbera Brasileña"/>
        <s v="Palma Brasiofenix"/>
        <s v="Breonia"/>
        <s v="Nivosa; Carnaval"/>
        <s v="Sande; Ramón; Nogal Maya"/>
        <s v="Morera de Papel"/>
        <s v="Arizá; Palo Cruz"/>
        <s v="Arizá Grandiceps"/>
        <s v="Arizá Blanco"/>
        <s v="Arizá; Florisanto; Clavellino"/>
        <s v="Cruceto; Palo de Cruz"/>
        <s v="Borrachero; Floripondio; Trompeta de Ángel"/>
        <s v="Brugmansia"/>
        <s v="Borrachero; Chiric Sanango; Chacruco; Picudo"/>
        <s v="Francesino"/>
        <s v="Francesina"/>
        <s v="Huele Noche"/>
        <s v="Acabí; Guayabillo; Granadillo"/>
        <s v="Muli; Capacho"/>
        <s v="Olivo Negro; Júcaro de Playa"/>
        <s v="Budelia; Butleya; Arbusto de las Mariposas; Ramillete"/>
        <s v="Guayacán de Bola"/>
        <s v="Guayacán; Guayacán de Bola; Guayacán Caparro"/>
        <s v="Confite; Ciruelo"/>
        <s v="Ciruela de Fraile; Ciruelo Cimarrón; Cereza"/>
        <s v="Carano; Crespín; Palo Santo; Aceitilla"/>
        <s v="Indio Desnudo; Almacigo; Resbala Monos"/>
        <s v="Palosanto; Tatamaco; Bijo"/>
        <s v="Boj; Palma de Boj"/>
        <s v="Nances Y Nanches"/>
        <s v="Noro; Paralejo; Nance"/>
        <s v="Noro; Tacasalejo; Doncella"/>
        <s v="Dividivi; Agallo; Ichí; Nacascalote"/>
        <s v="Ébano"/>
        <s v="Acacia Amarilla; Palo Brasil"/>
        <s v="Clavellino; Flor de Navidad"/>
        <s v="Tara; Guarango"/>
        <s v="Guandúl"/>
        <s v="Carbonero"/>
        <s v="Plumerillo Rosado"/>
        <s v="Bellota; Carbonero Rojo"/>
        <s v="Pavo Real; Carbonero Rojo; Rabo de Conejo; Saman de Jardín; Surinam"/>
        <s v="Carbonero Rojo"/>
        <s v="Callicarpa Macrophylla"/>
        <s v="Calistemon; Eucalipto Ornamental"/>
        <s v="Escobillón Rojo; Calistemo Rojo"/>
        <s v="Callitropsis Glabra"/>
        <s v="Cedro Colorado"/>
        <s v="Aceite María; Aceite"/>
        <s v="María; Santa María; Mamey Falso"/>
        <s v="Aceite"/>
        <s v="Calophyllum Soulattri"/>
        <s v="Guayabo Alazano; Dágame; Canelo"/>
        <s v="Calytranthes sp"/>
        <s v="Camelia"/>
        <s v="Guayaba de Leche"/>
        <s v="Cadmio; Ylang Ylang"/>
        <s v="Naranjillo; Naranjuelo"/>
        <s v="Ají"/>
        <s v="Cedro Guino"/>
        <s v="Papayo"/>
        <s v="Papauelo Silvestre"/>
        <s v="Abarco"/>
        <s v="Espino"/>
        <s v="Palma Iraca; Jipijapa"/>
        <s v="Pacano; Pecán; Nuez Pecana"/>
        <s v="Cagüí; Almendrón"/>
        <s v="Yumbe"/>
        <s v="Inchi; Almendro; Tacay"/>
        <s v="Palma Mariposa; Cola de Pescado"/>
        <s v="Palma Mariposa; Cola de Pescado (Urens)"/>
        <s v="Campanilla"/>
        <s v="Guapanto; Capulín Corona"/>
        <s v="Varablanca; Ondequera"/>
        <s v="Casearia sp"/>
        <s v="Zapote Blanco; Mango Matasano"/>
        <s v="Zapote Blanco; Matasano"/>
        <s v="Lluvia de Oro"/>
        <s v="Cañafístula; Cañandonga"/>
        <s v="Acacia Rosada; Acacia Brasilera"/>
        <s v="Velero"/>
        <s v="Caucho; Hule"/>
        <s v="Casuariana; Pino Australiano; Pino de París; Agoho de Filipinas"/>
        <s v="Crispeta; Catalpa"/>
        <s v="Baobab; Barrigón"/>
        <s v="Volao; Cuipo; Bonga; Güipo"/>
        <s v="Uvitos; Uva de Anís; Zarcillo; Colmillo"/>
        <s v="Uvito; Uvito de Monte"/>
        <s v="Yarumo Negro"/>
        <s v="Yarumo; Guarumo; Yarumo Blanco; Yagrumo"/>
        <s v="Yarumo Blanco"/>
        <s v="Cedro de Tierra Fría; Cedro de Montaña"/>
        <s v="Cedro Rosado; Cedro Americano; Cedro Amargo; Cedro"/>
        <s v="Cedro Macho; Cedro Chino; Cedro Oloroso"/>
        <s v="Cedro"/>
        <s v="Ceiba Bonga; Ceibo"/>
        <s v="Ceiba"/>
        <s v="Ceiba Rosada"/>
        <s v="Celastro"/>
        <s v="Falsa Dulcamara"/>
        <s v="Celastrus sp"/>
        <s v="Falso Cedro"/>
        <s v="Guayacán Jobo; Balaústre"/>
        <s v="Palmas Cicadas"/>
        <s v="Cirio; Vela"/>
        <s v="Cereus sp"/>
        <s v="Cacto Candelabro"/>
        <s v="Palma de Cera"/>
        <s v="Pacó"/>
        <s v="Dama de Noche; Galán de Noche"/>
        <s v="Zorrillo"/>
        <s v="Duraznillo Negro; Cestrum Verde; Palqui (A otra sp de genero)"/>
        <s v="Ciprés de Sawara; Ciprés de Hondo"/>
        <s v="Palma Caña de San Pablo; Caña de Víbora"/>
        <s v="Palma Metálica"/>
        <s v="Palma Molinillo"/>
        <s v="Palma Bambú; Palma de Miami; Camedorea"/>
        <s v="Hoja de Pacaya"/>
        <s v="Pacaya"/>
        <s v="Palma de Hoja Roja"/>
        <s v="Noli"/>
        <s v="Quina"/>
        <s v="Jacaré; Yacarí; Parasiempre"/>
        <s v="Albahaquilla"/>
        <s v="Icaco"/>
        <s v="Cainito"/>
        <s v="Caimito; Caimo Morado"/>
        <s v="Laurel; Aguacatillo"/>
        <s v="Canelo"/>
        <s v="Pendo; Palo Blanco; Casposo"/>
        <s v="Cajeto"/>
        <s v="Cajeto; Palo de Guitarra"/>
        <s v="Quimula; Cascarillo; Gavilán"/>
        <s v="Calamondina; Planta de Naranjo Es Miniatura"/>
        <s v="Naranjo Dulce"/>
        <s v="Limon Tahiti"/>
        <s v="Limon Mandarino"/>
        <s v="Limon Criollo"/>
        <s v="Limon de Coctel;Limón Aspero"/>
        <s v="Pomelo Chino; Toronja; Toronjo; Pomelo; Pamplemusa"/>
        <s v="Toronjo Dedos; Cridro"/>
        <s v="Naranjo Moruno"/>
        <s v="Mandarino Real"/>
        <s v="Citrus sp"/>
        <s v="Naranjo Espinoso; Naranjo Trifoliado"/>
        <s v="Naranjo Agrio; Naranjo Amargo"/>
        <s v="Aji; Sande Mora"/>
        <s v="Sapan"/>
        <s v="Fariñero; Bizcocho; Masano; Fariñoso"/>
        <s v="Durazno de Monte; Oreja de Burro"/>
        <s v="Clavija"/>
        <s v="Cometa"/>
        <s v="Gloria Enramada Sangrante; Corazón Sangrante"/>
        <s v="Clethra sp"/>
        <s v="Clibadium sp"/>
        <s v="Salvia Amarga; Conami; Barbasco"/>
        <s v="Camasay"/>
        <s v="Barbasco; Sombrero"/>
        <s v="Chagualo"/>
        <s v="Flor de Cera"/>
        <s v="Chagualo (A otra sp de genero)"/>
        <s v="Papayuelo"/>
        <s v="Maíz Tostao; Maíz Cocho"/>
        <s v="Kino Americano"/>
        <s v="Uvito de Playa"/>
        <s v="Palma de Plata; Pactá"/>
        <s v="Bototo; Majagua"/>
        <s v="Rosa Amarilla"/>
        <s v="Palma de Coco; Cocotero"/>
        <s v="Croto"/>
        <s v="Cafeto"/>
        <s v="Carbonero Zorro; Dormilón"/>
        <s v="Coleus spp"/>
        <s v="Mabí; Abejuelo"/>
        <s v="Soto"/>
        <s v="Azuceno; Cascarillo; Quino Blanco"/>
        <s v="Mangle Botoncillo"/>
        <s v="Canime; Aceite; Copaiba; Copayero"/>
        <s v="Canines"/>
        <s v="Nogal Cafetero"/>
        <s v="Guayaibí; Guayaibí Blanco"/>
        <s v="Palo Noble; Uvito"/>
        <s v="Moncoro"/>
        <s v="Carambolí; Sanjoaquín; Nomeolvides; Gomo"/>
        <s v="Nogal (A otra sp de genero)"/>
        <s v="Árbol de Queroseno"/>
        <s v="Palma de Torbay"/>
        <s v="Carey; Palma de Cementerio; Flor de Difunto"/>
        <s v="Drácena Roja"/>
        <s v="Sansá; Matarratones"/>
        <s v="Lengua de Vaca; Ahumapescado"/>
        <s v="Eucalipto Pomarroso"/>
        <s v="Jengibre Espiral"/>
        <s v="Griñolera Lechosa"/>
        <s v="Holly; Cotonister"/>
        <s v="Cabuyo; Cachimbo; Coco Cabuyo; Congolo"/>
        <s v="Bala de Cañón; Cocuelo; Ayahuma"/>
        <s v="Acerolo; Acerola"/>
        <s v="Cachimonda; Naranjuelo; Manzana de Playa"/>
        <s v="Totumo; Mate"/>
        <s v="Drago"/>
        <s v="Gallinazo; Croton"/>
        <s v="Sangre de Drago"/>
        <s v="Palma Escoba; Barbasco"/>
        <s v="Cedro Japonés; Sugi"/>
        <s v="Aliso Rojo Africano"/>
        <s v="Mestizo; Guacamayo"/>
        <s v="Mestizo; Gaucharaco"/>
        <s v="Pino Azul"/>
        <s v="Pino Ciprés; Cedro Blanco"/>
        <s v="Pino Vela"/>
        <s v="Chaparro; Peralejo; Paralejo Macho; Chaparro Bobo"/>
        <s v="Helecho Arboreo; Helecho Sarro; Sarro"/>
        <s v="Helecho Arboreo"/>
        <s v="Cyca sp"/>
        <s v="Cica; Palma Helecho; Cica de Hoja Larga"/>
        <s v="Palma de Segú; Palma Funebre"/>
        <s v="Palma Cyca"/>
        <s v="Helecho Arbóreo; Sarro; Helecho Macho; Helecho Arborecente"/>
        <s v="Papiro Sombrilla"/>
        <s v="Papiro"/>
        <s v="Tamarillo; Tomate de Palo"/>
        <s v="Palma Roja"/>
        <s v="Dalia"/>
        <s v="Acacia Roja; Flamboyán"/>
        <s v="Teterete; Navajuelo"/>
        <s v="Guayacan de Tierra Fria; Navajuelo"/>
        <s v="Gimpi Gimpi O Yimpi Yimpi"/>
        <s v="Zapotillo"/>
        <s v="Tamarindo de Monte"/>
        <s v="Sangria; Singamochila"/>
        <s v="Macana; Barrigona Blanca; Mapora"/>
        <s v="Loro; Iguano"/>
        <s v="Ojo de Dragón"/>
        <s v="Siete Sabores"/>
        <s v="Marfil"/>
        <s v="Zapote Negro; Zapote Prieto; Ébano; Guayabota"/>
        <s v="Limpiadientes; Diospiro; Juandedios; Limocillo; Granadillo"/>
        <s v="Zapote Negro; Limpia Dientes"/>
        <s v="Zapote Negro"/>
        <s v="Choibá; Palo de Piedra"/>
        <s v="Hayuelo"/>
        <s v="Árbol de las Hortensias"/>
        <s v="Drago de Madagasca; Carey; Banderilla"/>
        <s v="Dracena; Cana de Maiz"/>
        <s v="Bambú de la Suerte"/>
        <s v="Árbol Dragon"/>
        <s v="Cinta Variegada"/>
        <s v="Árbol de la Felicidad"/>
        <s v="Dracaena (Reflexa); Canción de la India"/>
        <s v="Palma de Carey; Drácena Roja"/>
        <s v="Palo de Brasil"/>
        <s v="Tronco del Brasil"/>
        <s v="Duranta"/>
        <s v="Palma Triangular"/>
        <s v="Palma Areca; Palma de Frutos de Oro"/>
        <s v="Palma de Madagascar"/>
        <s v="Caoba de Marfil"/>
        <s v="Dysoxylum Macranthum"/>
        <s v="Palma Africana; Palma de Aceite"/>
        <s v="Corozo; Nolí; Corozo de Manteca; Coroza"/>
        <s v="Cerezo Azul; Higo; Marmol Azul"/>
        <s v="Laurel Indio Viejo"/>
        <s v="Piñón de Oreja; Orejero; Piñón"/>
        <s v="Nazareno"/>
        <s v="Níspero del Japón"/>
        <s v="Cresta de Gallo"/>
        <s v="Chachafruto; Poroto; Balu"/>
        <s v="Búcaro"/>
        <s v="Cámbulo; Cachimbo; Barbatuco"/>
        <s v="Chocho; Siriguay"/>
        <s v="Erythrina sp"/>
        <s v="Árbol Coral"/>
        <s v="Búcaro Variegado; Colorin"/>
        <s v="Coca"/>
        <s v="Loqueto; Mangle"/>
        <s v="Olleto; Catelisoto; Olla de Mono"/>
        <s v="Fono; Carguero de Boa; Palo de Lombriz; Popay"/>
        <s v="Cargadero Blanco; Coco Blanco"/>
        <s v="Castaño; Catelisoto"/>
        <s v="Escobedia sp"/>
        <s v="Eucalipto"/>
        <s v="Eucalipto Plateado; Ocalita"/>
        <s v="Eucalipto Arcoíris; Eucalipti Guayabo"/>
        <s v="Eucalypto Rosado; Eucalipto"/>
        <s v="Eucalipto Rojo"/>
        <s v="Eucalipto Robusto"/>
        <s v="Grosello; Grosella; Grosellero; Cereza; Ciruela; Arrayán"/>
        <s v="Arrayán; Arrayán Limón"/>
        <s v="Flor Azul; Payo; Guayabillo"/>
        <s v="Cereza de Río Grande; Cerella ;Cerejeira"/>
        <s v="Eugenio"/>
        <s v="Arazá; Guayaba Brasileña; Arrayán"/>
        <s v="Pitanga; Grosella; Mirto; Cereza de Cayena; Uvo"/>
        <s v="Huso de la Fortuna"/>
        <s v="El Huso Japonés; El Bonetero; El Evónimo"/>
        <s v="Liberal; Lechero; Manzanillo; Caucho; Yuco"/>
        <s v="Euphorbia Grantii"/>
        <s v="Lechero; Lechero Espinoso; Carató"/>
        <s v="Navidad; Sombrilla; Olayaherrera; Paragua; Carnaval"/>
        <s v="Letra China; Quebradura; Cactus; Coralito"/>
        <s v="Lechero; Cactus"/>
        <s v="Lechero Africano; Lechero Verde"/>
        <s v="Naidi; Murrapo; Asaí de Pará; Manaca Brasilera; Tapafrío"/>
        <s v="Palmicho; Palma Asaí; Asaí; Manaca; Palmito; Palmiche"/>
        <s v="Feijoa; Guayaba Feijoa; Guayabo"/>
        <s v="Caucho Sabanero; Caucho; Lechero; Higuerón; Matapalo"/>
        <s v="Laurel; Falso Laurel; Ficus Variegata"/>
        <s v="Higueron"/>
        <s v="Higuera"/>
        <s v="Brevo; Breva; Higo; Higuera; Caucho de la India"/>
        <s v="Mata Palo"/>
        <s v="Caucho Matapalo; Matapalo; Suan; Abrazapalo; Higuerón; Caucho"/>
        <s v="Higuerón Guayabo; Higuerón; Breva de Monte"/>
        <s v="Caucho; Caucho de la India; Falso Caucho; Lechón"/>
        <s v="Caucho; Cauchito; Caucho Higuerón; Caucho Rosado; Lechero"/>
        <s v="Higo"/>
        <s v="Higuerón; Matapalo; Ojé; Copé; Caucho Glabrata; Caucho Incipida"/>
        <s v="Caucho; Higuero; Lechero"/>
        <s v="Lechero; Matapalo Guayanés"/>
        <s v="Pandurata; Caucho Lira; Lirata; Ficus Lira"/>
        <s v="Caucho Microcarpa; Caucho; Matapalo"/>
        <s v="Amate; Higuerón; Caucho; Matapalo; Herrerún; Lechero"/>
        <s v="Matapalo; Caucho; Lechudo; Caucho Común"/>
        <s v="Caucho de la India; Ficus; Caucho Acorazonado"/>
        <s v="Pivijay; Caucho"/>
        <s v="Mata Palos; Higuerón; Lechudo"/>
        <s v="Caucho"/>
        <s v="Caucho Tequendama; Caucho"/>
        <s v="Higuerón; Caucho; Higuerón Grande; Caucho Tonduzii"/>
        <s v="Ficus Variegado"/>
        <s v="Cerezo del Gobernador; Ciruela del Gobernador; Ciruelo del Gobernador; Uva Lisa"/>
        <s v="Frángula; Avellanillo; Hediondo; Alno Baccífero; Sangueño; Abiacán"/>
        <s v="Ojo de Perdiz; Palo Amarillo; Cabo de Hacha"/>
        <s v="Cabo de Hacha"/>
        <s v="Fresno Rojo; Fresno Blanco; Fresno Americano"/>
        <s v="Urapan; Fresno"/>
        <s v="Fucsia"/>
        <s v="Luvia de Oro; Flor Amarillo"/>
        <s v="Madroño; Madroña; Madruño"/>
        <s v="Mangostino"/>
        <s v="Madroño"/>
        <s v="Gardenia; Malabar; Jazmín del Cabo; Jazmín"/>
        <s v="Jagua; Caruto; Huito; Jaguo; Jigua"/>
        <s v="Silvadero"/>
        <s v="Ebano Falso; Ébano Ornamental; Silbadero"/>
        <s v="Cortadera"/>
        <s v="Palmicha; Palma Macuma"/>
        <s v="Mata Ratón"/>
        <s v="Melina; Gumhar"/>
        <s v="Algodon; Algodonero"/>
        <s v="Algodon"/>
        <s v="Planta de Caricatura"/>
        <s v="Grevileo de Jardín"/>
        <s v="Roble Australiano; Árbol de Seda; Rabo de Pavo; Grevilia; Roble de Australia"/>
        <s v="Guadua"/>
        <s v="Guayacán Azul; Guayacán; Guayaco; Florazul; Palosanto"/>
        <s v="Guayacan Azul"/>
        <s v="Trompillo; Cedrillo; Cedro Macho; Mestizo; Cartagüeño"/>
        <s v="Cargadero"/>
        <s v="Guácimo"/>
        <s v="Mula Muerta; Membrillo; Almanegra"/>
        <s v="Mula Muerta; Coco Hediondo"/>
        <s v="Membrillo; Cocuelo Blanco; Chupo; Chupa"/>
        <s v="Pacó; Membrillo; Chupo"/>
        <s v="Coralillo; Bencenuco; Hamelia"/>
        <s v="Algodoncillo"/>
        <s v="Guayacán Amarillo; Cañaguate; Guayacán; Chicalá; Polvillo"/>
        <s v="Guayacán Peludo; Guayacán"/>
        <s v="Polvillo; Chicalá; Floramarillo; Guayacán Polvillo; Guayacán; Guayacán Dorado"/>
        <s v="Chicalá; Floramarilla; Floramarillo; Curarire; Guayacán; Guayacán Polvillo"/>
        <s v="Harpulia"/>
        <s v="Pechuga de Gallina; Hueso; Huesito; Coronillo"/>
        <s v="Pestaña de Mula; Balso Blanco; Palo Bobo"/>
        <s v="Schefflera; Cheflera; Pategallina Hojigrande"/>
        <s v="Cheflera Variegada; Cheflera Enana"/>
        <s v="Cacaito"/>
        <s v="Caucho de Pará; Caucho; Hule; Caucho Amazónico"/>
        <s v="Roselle; Jamaica"/>
        <s v="Cayena Doble Flor"/>
        <s v="Rosa de Mayo; Algodón Rosa; Algodón; Cayeno; Malva"/>
        <s v="San Joaquín; Cayeno; Sanjoaquín; Resucitado"/>
        <s v="Planta de Jamaica"/>
        <s v="San Joaquín Rojo; Cardenal; Rosa China; Canastilla; Farolito; Rojo Chiroso; Rosito de Canasta"/>
        <s v="San Joaquin"/>
        <s v="San Joaquin Morado; Resucitado"/>
        <s v="Candelo; Palo Curtidor"/>
        <s v="Plumel; Árbol de la Vida"/>
        <s v="Himatanthus sp"/>
        <s v="Hoheria Sexstylosa"/>
        <s v="Sombrilla China"/>
        <s v="Palma de Kentia"/>
        <s v="Carrá; Naguare; Volador"/>
        <s v="Ceiba Bruja; Ceiba Amarilla; Tronador; Ceiba de Leche; Ceiba de Agua"/>
        <s v="Algarrobo; Algarrobillo; Ámbar; Copal; Courbail"/>
        <s v="Algarrobillo; Algarrobo; Coca de Mico"/>
        <s v="Palma Botella; Palma Botella Enana; Palma Botella Mascarena"/>
        <s v="Palma Huso; Palma de Cemento"/>
        <s v="Cardenillo"/>
        <s v="Añil"/>
        <s v="Guamo Churimo; Guamo; Guamo Machete"/>
        <s v="Guamo; Guamo Churimo; Carbonero; Guamo Caliente; Churimo"/>
        <s v="Guama"/>
        <s v="Guamo Santafereño"/>
        <s v="Guamo Macheto; Guamo; Guamo Machete"/>
        <s v="Guamo Rabodemico; Guamo; Algarroba; Algarrobillo; Ámbar; Copal"/>
        <s v="Guamo Macheto; Guamo Copero; Churimba; Guamo Machete"/>
        <s v="Inga; Guama"/>
        <s v="Guamba; Guama del Orinoco"/>
        <s v="Amapola Rosa"/>
        <s v="Zancona; Palmito Dulce"/>
        <s v="Coralillo; Tabaquillo; Guacharaco; Flor de Mayo"/>
        <s v="Coral; Coralito; Coral de la India; Coral Rojo"/>
        <s v="Ixora"/>
        <s v="Cruz de Malta; Coralillo; Santa Rita; Rangan; Kheme; Ponna"/>
        <s v="Gualanday; Chingalé; Flormorado"/>
        <s v="Chingalé; Pavito; Gualanday; Vainillo; Gualancho"/>
        <s v="Gualanday Nativo; Chingalé; Gualanday"/>
        <s v="Jacaranda; Gualanday"/>
        <s v="Gualanday; Flormorado; Gualanday Caliente; Jacaranda; Palisandro"/>
        <s v="Jazmín; Jazmín de Estrella"/>
        <s v="Jazmín Estrella; Jazmin Alas de Ángel"/>
        <s v="Jazmin"/>
        <s v="Piñon de Purga; Piñón; Coquillo; Frailecillo; Piñón de la India; Miñon"/>
        <s v="Jaquillo; Brailejón; Carretillo; Frailecillo"/>
        <s v="Peregrina; Flor Roja; Peregrina; Fuscia"/>
        <s v="Planta Coral; Tártago; Avellano Purgante; Cabalongo"/>
        <s v="Yuco; Yuca; Corales; Novio; Patihinchado"/>
        <s v="Nogal; Cedro Nogal; Cedro Negro"/>
        <s v="Nogal Americano"/>
        <s v="Cedro Negro; Nogal del Castillo"/>
        <s v="Enebro Común"/>
        <s v="Juniperus Conferta"/>
        <s v="Enebro de Virginia"/>
        <s v="Justicia Adhatoda"/>
        <s v="Tango; Justicia"/>
        <s v="Sanguinaria; Singamochila; Yerba de la Sangre; Árnica; Sangre de Cristo; Cascajera"/>
        <s v="Sanguinaria"/>
        <s v="Árbol de las Salchichas"/>
        <s v="Jabonero de la China"/>
        <s v="Jabonero de la China; Arbol de Los Farolillos; Sombrilla Japones"/>
        <s v="Lluvia de Oro; Falso Ébano"/>
        <s v="Palma de Atherton"/>
        <s v="Huesito; Café de Monte; Cafecillo; Coral; Coralito; Laurel Rosado"/>
        <s v="Leche Miel; Lechemiel; Palo Espino; Chicle; Chicle Con Espinas; Chicle Espinoso"/>
        <s v="Dorado; Manteco; Lagunero"/>
        <s v="Guayacán de Manizales; Mirto; Guayabo Manizaleño"/>
        <s v="Guayacán de Manizales; Guayacán del Cauca; Arrayán Escobo; Pelincú"/>
        <s v="Guayacan"/>
        <s v="Guayacan; Arrayan de Manizales"/>
        <s v="Júpiter; Astromelio; Júpiter; Astromelia; Gólgota"/>
        <s v="Flor de la Reina; Reina de las Flores; Astromelia; Embrujo de la India; Orgullo de la India"/>
        <s v="Cinco Negritos"/>
        <s v="Lantana Viburnoides"/>
        <s v="Camará; Lantana; Bandera Española; Cinco Negritos"/>
        <s v="Palma Latania"/>
        <s v="Latania Roja"/>
        <s v="Laurel; Laurel Real; Canlón; Laurel Europeo"/>
        <s v="Carrapo; la Costilla Danto"/>
        <s v="Olletico; Olla de Mono; Olleto; Cocuelo; Coquillo"/>
        <s v="Olla de Mono; Olleto; Olleta de Mono"/>
        <s v="Coccinea; Talyantan"/>
        <s v="Acebo Hawaiano Rojo"/>
        <s v="Leptospermum; Arbol de Te"/>
        <s v="Guaje"/>
        <s v="Leucaena; Acacia Blanca; Panelo; Carbonero Blanco; Acacia Forrajera"/>
        <s v="Leucothoe Fontanesiana"/>
        <s v="Licania"/>
        <s v="Oití; Árbol de Cúcuta; Aití"/>
        <s v="Laurel; Canelo; Tuabe Canelo; Jigua Canelo; Laurel; Laurel de Bola"/>
        <s v="Palma Totuma; Licuala; Palma Licuala"/>
        <s v="Licuala de Manglar"/>
        <s v="Aligustre; Alheña; Ligustro Común; Ligustro Europeo"/>
        <s v="Jazmín de la China; Paraseto"/>
        <s v="Ligustro"/>
        <s v="Paraseto; Aligustrina; Ligustrina; Ligustrín; Aligustre"/>
        <s v="Paraseto"/>
        <s v="Ligustrum"/>
        <s v="Alcornoque; Liquidambar; Estoraque"/>
        <s v="Mamoncillo Chino; Lychee; Lich"/>
        <s v="Litsea Monopetala"/>
        <s v="Palma Abanico de la China"/>
        <s v="Palma Abanico (Drudei)"/>
        <s v="Palma Abanico (Rotundifolia)"/>
        <s v="Barbasco; Matapez; Baurá; Palo de José"/>
        <s v="Fresno"/>
        <s v="Clavo de Laguna; Clavito; Clavo; Clavo Amarillo; Yerba de Rejo"/>
        <s v="Guácimo Colorado; Malagano"/>
        <s v="Palma Coquito"/>
        <s v="Macadamia"/>
        <s v="Pico de Loro; Capote; Sietecueros; Carbón; Chucunda"/>
        <s v="Machetico"/>
        <s v="Ají Mora; Rabito de Mora; Dindé"/>
        <s v="Tabaquillo"/>
        <s v="Guamillo; Encenillo; Cuero de Marrano"/>
        <s v="Magnolia; Magnolio; Magnolia Blanca"/>
        <s v="Molinillo; Copachí; Guanábano de Monte"/>
        <s v="Magnolio (Silvioi)"/>
        <s v="Guanábano de Monte; Guanabanillo; Guanabanadillo; Fruta de Molinillo"/>
        <s v="Arbolito de Navidad; Holly Brillante; Joli"/>
        <s v="Huesito; Arrayan Cerezo; Cerezo de Monte; Acerola"/>
        <s v="Ciruelo Rojo; Cereza de Barbados; Cerezo Montañero"/>
        <s v="Manzana; Manzano"/>
        <s v="Falso Hibiscus; Altea"/>
        <s v="Campanita Roja; San Joaquín"/>
        <s v="Mamey"/>
        <s v="Mango; Mango de Azúcar"/>
        <s v="Yuca"/>
        <s v="Caimo Rojo"/>
        <s v="Níspero"/>
        <s v="Ojo de Paloma; Ojo de Palomo; Perlito"/>
        <s v="Trestablas"/>
        <s v="Zapote; Sapote; Chupa Chupa; Chupachupa"/>
        <s v="Matisia Obliquifolia"/>
        <s v="Sarno; Manzanillo; Caspi; Birringo (A otra sp de genero)"/>
        <s v="Maytenus Segoviarum"/>
        <s v="Camarón Rojo; Manto Rojo; Capote Brasilero"/>
        <s v="Corcho; Calistemo Blanco"/>
        <s v="Melastoma Malabathricum"/>
        <s v="Paraíso; Jazmín; Árbol del Paraíso; Alelí"/>
        <s v="Mamoncillo; Mamón"/>
        <s v="Cotoprís; Mamón"/>
        <s v="Cotoprix; Mamoncillo de Monte"/>
        <s v="Meliosma Occidentalis"/>
        <s v="Meliosma; Baboso; Babillo; Calabazo"/>
        <s v="Amarrabollo; Amarraboyo"/>
        <s v="Laurel Amarillo"/>
        <s v="Zafiro; Migüito"/>
        <s v="Miconia; Mortiño; Cenizo"/>
        <s v="Miconia; Capulincillo"/>
        <s v="Hoja de Lanza; Punta Lanza"/>
        <s v="Cuatrofilos; Tuno"/>
        <s v="Tuno; Mortiño Negro; Macanillo"/>
        <s v="Miconia; Nigüito; Mortiño"/>
        <s v="Miconia; Pajarito"/>
        <s v="Miconia Ligustroides"/>
        <s v="Nigüito (Minutiflora); Tuno; Mortiño"/>
        <s v="Nigüito"/>
        <s v="Niguito; Teñidor"/>
        <s v="Mortiño Blanco; Florentino; Mortiño; Huesito"/>
        <s v="Niguito; Tuno Negro"/>
        <s v="Tabaida; Tuno Rosado; Mortiño"/>
        <s v="Amaillo; Cántaro; Mortiño"/>
        <s v="Bejuco de Criatura; Guaquito; Cernilla"/>
        <s v="Haba de la India; Pogam"/>
        <s v="Zarzón; Dormidera; Vergonzosa; Zarza Prieta"/>
        <s v="Mimosa; Dormidera"/>
        <s v="Punta de Candado; Punte; Oquendo; Melcocho"/>
        <s v="Arboloco; Pauche"/>
        <s v="Olivo de Cera; Laurel de Cera; Aromo; Laurel"/>
        <s v="Noni; Piñuela"/>
        <s v="Moringa"/>
        <s v="Morisonia Oblongifolia"/>
        <s v="Moral Negro; Morera Negra"/>
        <s v="Morera Blanca"/>
        <s v="Chitató; Capulín; Chitato; Nigua"/>
        <s v="Bergera Koenigii"/>
        <s v="Azahar de la India; Jazmín"/>
        <s v="Musaenda Roja; Musaenda; Musaendo; Musaendra"/>
        <s v="Musaenda; Musaendra"/>
        <s v="Mussaenda sp"/>
        <s v="Guamo Peludo"/>
        <s v="Arrayán; Árbol de Cera"/>
        <s v="Guayabillo"/>
        <s v="Arrayán de Hoja Grande; Arrayán"/>
        <s v="Arrayán Blanco; Arrayán Negro; Guayabo de Castilla"/>
        <s v="Jaboticaba; Guayabo Jaboticaba"/>
        <s v="Bálsamo; Bálsamo de Tolú"/>
        <s v="Espadero; Cucharo; Cucharo Blanco"/>
        <s v="Espadero; Chagualo; Cucharo"/>
        <s v="Amarillo; Laurel (Acutifolia); Laurel Jigua"/>
        <s v="Laurel; Palialte"/>
        <s v="Rambután"/>
        <s v="Habano; Adelfa; Azuceno"/>
        <s v="Contragavilana; Gavilana"/>
        <s v="Palmera Negra; Normambia"/>
        <s v="Mickey Mouse"/>
        <s v="Árbol Mickey Mouse"/>
        <s v="Balso; Palo de Balsa"/>
        <s v="Laurel Tunoso; Laurel Ojo de Mula; Jigua Laurel"/>
        <s v="Laurel; Jigua Amarillo"/>
        <s v="Laurel Mono; Laurel Pajita; Laurel; Laurel Tabaidá"/>
        <s v="Laurel Blanco"/>
        <s v="Laurel; Matatigre; Tigrito; Laurel Guacharaco"/>
        <s v="Laurel Yema de Huevo"/>
        <s v="Laurel de Bola"/>
        <s v="Palma Mil Pesos; Milpesos; Chapil"/>
        <s v="Nopal; Chumbo; Tuna"/>
        <s v="Blanco"/>
        <s v="Mano de Oso"/>
        <s v="Chocho; Alcornoque; Frijolillo de la Suerte"/>
        <s v="Chocho"/>
        <s v="Otobo; Cuangare; Sangregallino; Soto Sangre"/>
        <s v="Ozoroa sphaerocarpa"/>
        <s v="Ceibo de Agua; Castaño de Agua; Cacao de Monte"/>
        <s v="Castaño (Insignis); Castaño Silvestre; Cacao Ornamental; Zapotolongo"/>
        <s v="Tolúa; Ceiba Tolúa"/>
        <s v="Nuez del Brasil"/>
        <s v="Castaño; Cacao de Monte"/>
        <s v="Guardia de Cardenal"/>
        <s v="Camaron Amarillo"/>
        <s v="Aguadulce; Cafeto de Monte; Café de Montaña; Café de Monte"/>
        <s v="Cagalera; Flor de Mayo; Corpus"/>
        <s v="Flor de Mayo"/>
        <s v="Lato"/>
        <s v="Pandanus"/>
        <s v="Palma de Tornillo; Pandano"/>
        <s v="Acacia; Acacia Bracatinga; Acacia Negra; Acacia Baracatinga"/>
        <s v="Cachiporro; Navidad"/>
        <s v="Parkia"/>
        <s v="Espino de Jerusalén; Palo Verde; Retama; Sauce Guajiro"/>
        <s v="Curubo de Árbol; Granadilla de Árbol"/>
        <s v="Paulownia"/>
        <s v="Caguingo"/>
        <s v="Escobilla; Cadillo"/>
        <s v="Nazareno; Tananeo; Mochilero; Algarrobito"/>
        <s v="Acacia Ferruginea; Acacia"/>
        <s v="Dormilón; Capitancillo"/>
        <s v="Árbol Murciélago; Tapaculo"/>
        <s v="Quiebra Hacha; Carnegallina; Negrito; Cucharo"/>
        <s v="Varasanta; Palodiablo; Paparua"/>
        <s v="Bleo; Chupamelón; Bledochupa; Bleo de Chupa"/>
        <s v="Aguacate"/>
        <s v="Aguacatillo"/>
        <s v="Laurel Orquideas"/>
        <s v="Tastacame"/>
        <s v="Copa Blanca; Capá"/>
        <s v="Anamú; Chimú"/>
        <s v="Estrella de Oriente; Chaparrito; Chaparrillo; Chaparro"/>
        <s v="Flor Azúl; Azulito; Carrasposo; Chaparrillo"/>
        <s v="Plumon; Jazmín Azul; Chaparrito"/>
        <s v="Mano de Tigre; Güembé"/>
        <s v="Palma Datil de las Canarias; Palma Fénix; Datilera de las Canarias; Palma de Canarias"/>
        <s v="Dátil; Palma de Dátil; Palma Datilera; Datilera"/>
        <s v="Palma Datilera del Senegal; Palma Fénix"/>
        <s v="Palma Robeleni"/>
        <s v="Ditalera Plateada"/>
        <s v="Photinia; Fotinia"/>
        <s v="Grosello; Phyllantus"/>
        <s v="Grosello (Acuminatus); Barbasco; Barbasquillo; Chirrinche"/>
        <s v="Physocarpus Opulifolius"/>
        <s v="Tagua; Palmera de Marfil; Marfil Vegetal"/>
        <s v="Tagua"/>
        <s v="Ombú; Yerba de Culebra; Guaba; Árbol de la Bella Sombra"/>
        <s v="Pimienta de Olor; Pimienta Dulce; Pimiento"/>
        <s v="Aceituno; Malagueto"/>
        <s v="Pino Caribe; Pino Caribeño; Pino; Pino Caribea"/>
        <s v="Ocote Chino; Pino; Pino Ocarpa"/>
        <s v="Pino Pátula; Pino; Pino Espátula"/>
        <s v="Cordoncillo; Matico; Hierba del Soldado"/>
        <s v="Cordoncillo; Santamaría de Anís; Anisillo; Santamaría"/>
        <s v="Cordoncillo"/>
        <s v="Uña de Perro; Uña de Gato; Aruñagato"/>
        <s v="Chiminango; Payandé"/>
        <s v="Espino de Mono; Chiminango Rojo; Punta de Mono; Payandé"/>
        <s v="Pittosporum sp"/>
        <s v="Pítosporo de Hoja Fina"/>
        <s v="Galán de Noche; Huesito; Jazmín del Cabo"/>
        <s v="Tuya; Pino Libro; Pino Tuya"/>
        <s v="Trebol; Salero"/>
        <s v="Guayacán Trébol"/>
        <s v="Lomo de Caimán; Matarratón Extranjero; Cajón"/>
        <s v="Falsa Aralia; Aralia Araña"/>
        <s v="Pleuropetalum sp"/>
        <s v="Pleuropetalum sprucei"/>
        <s v="Laurel Jabon"/>
        <s v="Azulina; Bellaemilia; Floroazul"/>
        <s v="Alcamancayo; Amancayo; Azuceno; Blanco"/>
        <s v="Frangipani Blanco; Amancayo Amarillo"/>
        <s v="Florón; Floral; Azuceno; Plumeria"/>
        <s v="Flor de Mayo; Amancayo Rosado; Frangipán; Azuceno"/>
        <s v="Plumeria"/>
        <s v="Cipresillo; Pinotea; Chaquiro Dulce"/>
        <s v="Kusamaki O Inumaki"/>
        <s v="Chaquiro; Pino Colombiano (Oleifolius)"/>
        <s v="Pino Colombiano"/>
        <s v="Llovizno"/>
        <s v="Chorcha de Gallo; Quina; Chibigui; Madroño"/>
        <s v="Péndulo"/>
        <s v="Sereno; Millonaria"/>
        <s v="Millonaria (Fructicosa); Elegantísima"/>
        <s v="Millón; Pestañaevieja; Millonario Blanco; Geranio"/>
        <s v="Polyscias Paniculata"/>
        <s v="Crispa; Millonaria; Millonario; Millón"/>
        <s v="Millonaria"/>
        <s v="Haba de la India"/>
        <s v="Chopo"/>
        <s v="Azuceno de Monte; Jazmin Naranjo"/>
        <s v="Uva Caimarona; Caimarón"/>
        <s v="Uva Caimarona"/>
        <s v="Mediacara; Lechero de Plomo"/>
        <s v="Caimito de Monte; Zapote Amarillo"/>
        <s v="Caimo Peludo; Caimito; Caimo"/>
        <s v="Caimitillo; Níspero de Monte; Sapotillo"/>
        <s v="Níspero; Caimo Cafe; Caimo Negro"/>
        <s v="Caimo Cerezo; Zapotillo"/>
        <s v="Caimito; Ojo de Venado"/>
        <s v="Zapote de Carne; Zapote Costeño"/>
        <s v="Caimo Peludo; Guaimaro; Sapotillo"/>
        <s v="Palmicho; Palmito"/>
        <s v="Cola de Pescado"/>
        <s v="Cativo; Trementino"/>
        <s v="Palma Abanico de Fiji; Palma Pritchardia"/>
        <s v="Trupillo; Cuji; Algarrobo; Tropillo"/>
        <s v="Ánime; Ánime Rojo; Breo; Laurel Perico"/>
        <s v="Durazno; Melocotón"/>
        <s v="Cerezo; Cereza; Capulí"/>
        <s v="Truco"/>
        <s v="Pseuderanthemum Maculatum"/>
        <s v="Ceiba Verde; Majagua; Bonga"/>
        <s v="Cedro Amarillo; Iguá; Iguamarillo"/>
        <s v="Guayabo Peruano; Guayabo de Monte; Guayabo Agrio"/>
        <s v="Guayaba Coronilla; Guayaba Agria; Guayabo de Castilla"/>
        <s v="Guayabo; Guayaba; Guayaba Común; Guayaba Manzana"/>
        <s v="Guayabo Agrio; Guayaba Agria; Guayabito Agrio"/>
        <s v="Guayabo de Monte"/>
        <s v="Psychotria Nervosa"/>
        <s v="Sangre de Gallo; Drago; Ojo de Venado; Sangregado"/>
        <s v="Palo de Arco"/>
        <s v="Barbasco"/>
        <s v="Palma Solitaria; Ticosperma"/>
        <s v="Palma Mcarthur; Macarthur"/>
        <s v="Pueraria"/>
        <s v="Granada; Granado"/>
        <s v="Mortiño; Holly Espinoso; Piracanta"/>
        <s v="Olivo Santo; Olivo; Olivo Hembra; Naranjuelo; Naranjillo"/>
        <s v="Canela; Canelilla; Flor de Cacao; Madre Cacao; Madre de Cacao; Molinillo; Palo Copado; Palo de Canela; Palo de Molinillo; Rosa de Cacao"/>
        <s v="Roble de Tierra Fría; Roble"/>
        <s v="Quercus"/>
        <s v="Quillay"/>
        <s v="Palma del Viajero"/>
        <s v="Palma Majestad"/>
        <s v="Pino Colombiano; Chaquiro; Pino de Montaña; Pino Romerón"/>
        <s v="Palma Rafis; Palmerita China"/>
        <s v="Azalea; Biflora; Miflora"/>
        <s v="Laurel; Jigua Baboso; Jigua Laurel; Jigua Negro; Jigua Pava; Aguacatillo Gigante"/>
        <s v="Rhopalostylis Sapida"/>
        <s v="Rhus Glabra"/>
        <s v="Rhus Virens"/>
        <s v="Higuerilla; Higuerillo; Higuereta; Higuereto; Higuerillo Blanco"/>
        <s v="Anón; Anón de Monte; Anón Cimarón; Majagua"/>
        <s v="Rosa"/>
        <s v="Rosa Alpina"/>
        <s v="Rosa de Japón; Rosa Multiflora"/>
        <s v="Mapora; Palma Botella; Palma Mapora; Palma Imperial"/>
        <s v="Palma Real de Cuba; Palma Real"/>
        <s v="Trompillo; Cedrillo"/>
        <s v="Petunia Mexicana"/>
        <s v="Ruellia sp"/>
        <s v="Palma Cana"/>
        <s v="Palmiche; Palma Amarga; Palmiche; Palmito; Calicá; Palmicho"/>
        <s v="Sabal; Palmicha"/>
        <s v="Zalac"/>
        <s v="Sauce Llorón"/>
        <s v="Sauce Llorón; Sauce; Sauce Macho; Sausa; Sauce Colorado; Icaco"/>
        <s v="Sauce Negro"/>
        <s v="Salvia Rosa"/>
        <s v="Salviarroja; Liberal; Calzón del Diablo; Viudalegre; Liberal"/>
        <s v="Samán; Campano; Algarrobillo; Árbol de Lluvia"/>
        <s v="Sauco; Saúco; Sauco de Castilla; Salbuguera; Sabuguera"/>
        <s v="Sauco"/>
        <s v="Espinazo; Afelandra"/>
        <s v="Cachimbo Amarillo"/>
        <s v="Chumbimbo; Jaboncillo; Árbol de Jabón; Jabo; Jabón; Chambimbe"/>
        <s v="Marañon; Caucho; Ñipi"/>
        <s v="Lechudo"/>
        <s v="Dulomoco; Chupachupa"/>
        <s v="Cheflera (Arborícola); Cheflera Enana"/>
        <s v="Falsa Aralia"/>
        <s v="Falso Pimiento; Muelle; Pimiento"/>
        <s v="Falso Pimiento; Pimiento; Terebinto; Pimineto Negro; Turibinto"/>
        <s v="Tambor; Tambolero; Tamborero; Frijolillo; Arenillas; Chingalé Tamborero"/>
        <s v="Alcaparro; Babacú; Martinable; Frisolito; Cacaona; Jagua"/>
        <s v="Bombito; Cuchillito; Platanito; Chivato; Ahitera"/>
        <s v="Sen del Campo"/>
        <s v="Potra; Frijolato; Bicho"/>
        <s v="Alcaparro; Palo Bonito; Pichuelo; Galvis; Cucaracho; Frutillo"/>
        <s v="Hawaii"/>
        <s v="Dorancé; Floramarillo; Bajagua; Galvis; Majagüito; Dorancel"/>
        <s v="Alcaparro"/>
        <s v="Acacia Siamea; Abeto; Acacio Santandereano; Alcaparro; Acacia; Carmín"/>
        <s v="Cassia"/>
        <s v="Cantagallo Blanco; Gallito; Pirigallo; Sesbania; Agatí"/>
        <s v="Escobilla; Escobadura; Malva de Escoba; Malva de Puerco Y Malva Prieta"/>
        <s v="Amargo; Cedrillo; Aceituno; Amargo; Caratero; Chapul"/>
        <s v="Cofalillo; Hoja de Pasmo; Limoncillo"/>
        <s v="Cacao Montano"/>
        <s v="Zancona; Palma Mulata; Chuapo; Araco; Pachúa Zancona; Pona Lisa"/>
        <s v="Tomate de Árbol; Pepino de Árbol ; Tamarillo ; Tomate ; Tomate de Montaña ; Tomate de Monte"/>
        <s v="Lulo de Ciudad; Lulo Ornamental; Arbol de las Papas"/>
        <s v="Lulo de Perro; Friegaplatos; Matacucharachas"/>
        <s v="Tabaquillo; Fona de Porca"/>
        <s v="Borrachero; Borrachero Chiquito; Borrachero Cimarrón; Bodoquillo; Cucubo; Tinto"/>
        <s v="Lulo; Lulo de Castilla; Lulo de Perro; Lulo Morado; Lulo Pequeño; Bombolo"/>
        <s v="Indioviejo"/>
        <s v="Sacalaestaca; Sacaestaca; Friegaplatos; Limpiaplato; Mancatigre"/>
        <s v="Solanum"/>
        <s v="Cujarco; Cucubo; Cujaco; Almanegra; Lulo; Tachuelo"/>
        <s v="Friegaplatos; Cujaca; Berenjenita Cimarrona; Frutillo"/>
        <s v="Chucho Lanudo; Pepo; Borrachero"/>
        <s v="Tachuelo; Lulo"/>
        <s v="Espaquea"/>
        <s v="Tulipán Africano; Tulipán; Miona; Rosa China; Barquitos"/>
        <s v="Ceiba Tierra Fria"/>
        <s v="Espiroteca"/>
        <s v="Cancharana; Canyarana; Canllarana; Cancharama; Ciruelo Dulce; Hobo"/>
        <s v="Hobo; Jobo; Ubo; Uvo; Hobo Arisco; Ciruelo"/>
        <s v="Ciruelo; Cirgüelo; Ciruela; Ciruela Calentana; Ciruelo Blanco"/>
        <s v="Verbena Lila"/>
        <s v="Mora de Terciopelo; Hierba de Serpiente"/>
        <s v="Verbena Azul"/>
        <s v="Azuceno; Huevos de Perro; Cojon de Gato; Jazmín; Estremadelio"/>
        <s v="Camajón; Piñón; Camajonduro; Camajorú; Camajurú; Camajón Duro"/>
        <s v="Barbatimao"/>
        <s v="Chuchillo"/>
        <s v="Mucuna; Guacharaco; Rumbo; Macuná; Mucuná"/>
        <s v="Fresno; Frijolillo; Costillo; Latigo"/>
        <s v="Cucharo; Frijolillo"/>
        <s v="Cucharo; Frijolillo (A otra sp de genero)"/>
        <s v="Caoba; Caobo; Caoba Americana; Cedro Caoba; Palo Santo"/>
        <s v="Caoba Dominicana; Caoba; Caobo; Caoba Americana; Caobo Cubano; Caoba de Santo Domingo"/>
        <s v="Limonacho; Limoncillo; Limón Swinglia; Limón Suingla"/>
        <s v="Palma de Azúcar; Palma Reina; Coco Plumoso"/>
        <s v="Palma Sancona; Sarare; Zancona; Quirache; Saray; Palma de Sarare"/>
        <s v="Falso Camedor; Corosilla"/>
        <s v="Fruta Milagrosa"/>
        <s v="Aceituno Dulce; Aceituno; Uva; Uvito; Jambolán; Aceituna"/>
        <s v="Pomo; Pomarroso; Pomarrosa; Pomarrosa Común; Pomorroso; Pomorroso de Castilla"/>
        <s v="Pero de Agua; Pomarroso; Pomarroso Brasilero; Pomarroso Brasileño; Pomarrosa del Brasil; Pera de Malaca"/>
        <s v="Eugenia"/>
        <s v="Syzygium"/>
        <s v="Polvillo; Coralibre; Cañaguate Blanco"/>
        <s v="Roble Amarillo; Cañaguate; Guayacán; Alumbre"/>
        <s v="Guayacan Peludo"/>
        <s v="Lapacho Rosado; Corazonfino; Cañaguate Morado"/>
        <s v="Guayacán; Chicalá; Floramarillo; Guayacán Polvillo; Guayacán Amarillo"/>
        <s v="Cáliz de Papel; Roble Merrill"/>
        <s v="Apamate; Guayacán Rosado; Ocobo; Roble; Guayacán; Guayacán Morado"/>
        <s v="Guayacán Enano"/>
        <s v="Cojon de Frayle; Lirio Macho; Jazmín del Monte"/>
        <s v="Jazmín de Malabar; Jazmín; Malabar; Sanango; Malabarí"/>
        <s v="Jazmín de Malabar; Jazmín; Malabar; Malabarí; Azuceno"/>
        <s v="Azuceno; Cojón de Gato; Jazmín; Cachito"/>
        <s v="Piangüita; Lechito"/>
        <s v="Cojón de Perro (A otra sp de genero)"/>
        <s v="Majaguo; Sanjoaquín; Chitú; Majagua"/>
        <s v="Pitomba Sacha"/>
        <s v="Tamarindo"/>
        <s v="Fresno; Cedrillo; Guarupayo; Cedro Macho"/>
        <s v="Ciprés Moctezuma; Ahuehuete; Sabino"/>
        <s v="Bignonia Roja; Llamarada; Candela; Bignonia; Tecomaria"/>
        <s v="Chirlobirlo; Floramarillo; Fresno; Amarillo; Fresnillo; Chicalá"/>
        <s v="Teca; Teco"/>
        <s v="Almendro Amazónico; Amarillón; Roble Coral; Vara de León"/>
        <s v="Almendro; Almendrón; Almendra; Almendrillo"/>
        <s v="Terminalia; Almendro Ovirensis"/>
        <s v="Terminalia Mantaly"/>
        <s v="Guayabillo; Vara de León; Guayabito; Guayabo"/>
        <s v="Limba; Terminalia"/>
        <s v="Sauce Playero; Aliso de Rio; Sauce de Playa; Sauce; Cenizo"/>
        <s v="Papel Arroz"/>
        <s v="Maraco; Bacao; Bacao de Monte; Maraca"/>
        <s v="Cacao; Cacaotero; Chocolate"/>
        <s v="Copoazú; Copuazú; Cupuazú; Cacao de Monte; Maraca Silvestre"/>
        <s v="Clemón; Algodoncillo; Algodon de Arbol"/>
        <s v="Huevos de Tigre"/>
        <s v="Catape; Cobalongo"/>
        <s v="Mirasol; Boton de Oro; Margaritón"/>
        <s v="Palma Abanico"/>
        <s v="Manto de Rey"/>
        <s v="Flor de Princesa; Planta de la Gloria"/>
        <s v="Siete Cueros"/>
        <s v="Oreja de Venado"/>
        <s v="Sietecueros; Sietecueros Real"/>
        <s v="Siete Cueros; Sietecueros Brasilero; Sietecueros Nazareno"/>
        <s v="Tilia Europaea"/>
        <s v="Toddalia sp"/>
        <s v="Trompillo; Rapabarbo"/>
        <s v="Manzanillo; Chiraco; Caspi; Pedrohernández"/>
        <s v="Molino del Viento Chino; Palma de Viento; Palma Molino de Viento Chino"/>
        <s v="Amor de Hombre"/>
        <s v="Guarda Parque Morado"/>
        <s v="Cariaño; Caraño; Ampó"/>
        <s v="Zurrumbo; Látigo; Verraco; Surundé; Cargadero; Raspador; Berraco"/>
        <s v="Quiebra Barrigo; Quiebrabarrigo; Nacedero; Madre de Agua"/>
        <s v="Chalahuite"/>
        <s v="Cedrillo; Cacique; Cedro"/>
        <s v="Jobo Macho; Trompillo; Jobo; Tautano; Tuétano"/>
        <s v="Tuétano; Cedrillo; Vara de Piedra"/>
        <s v="Melao; Chillalde"/>
        <s v="Cerezo Asiatico"/>
        <s v="Vara Santa; Varasanta; Guacamayo; Palosanto"/>
        <s v="Palma Carandilla"/>
        <s v="Santalucía; Damiana; Panchecito; Amapola"/>
        <s v="Olmo Chino"/>
        <s v="Pringamosa; Pringamoza; Ortiga; Ortigo"/>
        <s v="Tamarindo; Tamarindo de Montaña"/>
        <s v="Cornezuelo; Torito; Árbol de Cuerno"/>
        <s v="Aromo; Espino"/>
        <s v="Papayo de Monte; Papayo de Rastrojo"/>
        <s v="Guacimo Blanco"/>
        <s v="Palo de Gallinazo; Guerra; Marimari; Palo de Grulla; Gallinazo Ordinario"/>
        <s v="Palma Montgomery"/>
        <s v="Pauche; Camargo; Tabaquillo"/>
        <s v="Olivon"/>
        <s v="Indioviejo; Olivón; Varejón; Salvión"/>
        <s v="Juco; Pita; Sauco de Monte; Cabo de Hacha"/>
        <s v="Viburno"/>
        <s v="Virola Multiflora"/>
        <s v="Sangretoro; Soto; Cuangare"/>
        <s v="Murdago"/>
        <s v="Carate; Punta de Lanza; Puntalanza; Puntelanza"/>
        <s v="Sangre Gallina; Manchado; Manchador; Carate; Punta de Lanza; Carate Negro"/>
        <s v="Aceituno; Aceituna; Guayacán Azul; Taruma"/>
        <s v="Aceituno"/>
        <s v="Roble Guayo; Penda; Higüerillo"/>
        <s v="Truntago"/>
        <s v="Nispero Amazonico"/>
        <s v="Palma Abanico; Washingtonia; Palma Washingtonia; Palma de Abanico; Palma Washingtoniana"/>
        <s v="Washingtonia; Palma Washingtonia"/>
        <s v="Encenillo; Encino; Encenillo Crespo"/>
        <s v="Encenillo; Encino; Encenillo Peludo"/>
        <s v="Sanjuán; Amargo; Cuasbil; Sanjuán; Palma Sanjuán;"/>
        <s v="Palma Macana; Baqueta; Crespa"/>
        <s v="Palma Crespa; Macana"/>
        <s v="Punteguayabo; Cabo de Hacha; Mantequillo"/>
        <s v="Palma Cola de Zorro; Cola de Zorro"/>
        <s v="Xilopia; Copillo; Sembé; Malagueto; Escobillo; Frisolillo"/>
        <s v="Yucca; Palma de Yuca; Palma de Bayoneta"/>
        <s v="Espadillo; Palma Yuca"/>
        <s v="Palma Yuca; Palma Bayoneta; Palmiche"/>
        <s v="Yuca Brillante"/>
        <s v="Tachuelo"/>
        <s v="Tachuelo; Tacho; Doncel; Cilantrón; Mamica de Cadela"/>
        <s v="Guinda; Manzanita; Manzanito"/>
        <s v="Guinda; Manzanita Costeña; Pistacho"/>
        <s v="Suribio; Chíparo; Achil; Payandé; Playero"/>
        <s v="Cadillo Africano"/>
        <s v="Tanag de Filipinas"/>
        <s v="Pronto Alibio; Sanalotodo"/>
        <s v="Campanilla de Invierno; Perforanieves; Galanto"/>
        <s v="Hierba Buena"/>
        <s v="Achita; Amaranto"/>
        <s v="Árbol del Cielo"/>
        <s v="Duraznillo; Chirlobirlo; Sacaojos Colorado"/>
        <s v="Anón"/>
        <s v="Chilco"/>
        <s v="Bambú"/>
        <s v="Carbonero de Monte; Pegamosco"/>
        <s v="Trompeto; Curador"/>
        <s v="Veranera; Curazao"/>
        <s v="Borrachero; Borrachero Blanco"/>
        <s v="Francesino; Jazmín de Malabar"/>
        <s v="Cañafístula; Acacia"/>
        <s v="Limón; Limón Dulce"/>
        <s v="Chiriguaco; Cargagua; Ahuyamo"/>
        <s v="Chagualo; Chagualito"/>
        <s v="Café; Cafeto"/>
        <s v="Cascabelito; Guache; Chucho"/>
        <s v="Ciprés; Pino; Pino Limon"/>
        <s v="Palma Cica; Cyca; Cica; Palma de Sagú"/>
        <s v="Guasco; Granado; Mote"/>
        <s v="Dombeya"/>
        <s v="Canelo de Páramo; Ají de Páramo; Canelo"/>
        <s v="Chocho; Gachingo; Secó"/>
        <s v="Chilco Colorado; Chilco; Carbón; Tíbar"/>
        <s v="Eugenia; Grosello"/>
        <s v="Ficus Bomba"/>
        <s v="Caucho; Higuerón"/>
        <s v="Cerezo de Monte"/>
        <s v="Fique"/>
        <s v="Fique; Cabuya; Maguey"/>
        <s v="Colorado; Cucharo"/>
        <s v="Caunce; Floramarillo"/>
        <s v="Cargadero; Cargadera; Garrapato"/>
        <s v="Lechero"/>
        <s v="Balso Blanco; Balso; Pestaña de Mula"/>
        <s v="Candelo; Motilon"/>
        <s v="Cardenillo; Piedro; Algodón"/>
        <s v="Guamo; Churimo; Barbasco"/>
        <s v="Guamo; Guama; Guabo; Churimo de Orilla;"/>
        <s v="Guamo Churimo; Guamo; Guamo Cazamuelas; Brijolito"/>
        <s v="Enebro azul; Ciprés Azul; Juníspero"/>
        <s v="Leucaena; Acacia Blanca; Panelo; Carbonero Blanco"/>
        <s v="Almanegra; Bolenillo"/>
        <s v="Guacharaco; Patepaujil; Joropo; Bálsamo"/>
        <s v="Sarno; Manguito; Caspi; Palo de Sarno"/>
        <s v="Niguito; Esmeraldo; Tuno; Mortiño"/>
        <s v="Toronjil"/>
        <s v="Niguito; Morochillo; Mortiño; Granizo"/>
        <s v="Rúchica"/>
        <s v="Monina"/>
        <s v="Morera; Mora"/>
        <s v="Arrayán Grande; Arrayán; Guayabito; Guayabito Liso"/>
        <s v="Arrayán Negro; Almanegra; Chiso; Chisa"/>
        <s v="Cucharo; Espadero; Cucharo Blanco; Chagualo; Garrocho"/>
        <s v="Jigua Laurel; Guacharaco; Laurel; Jigua Negro; Laurel Amarillo"/>
        <s v="Laurel; Amargo; Laurel Amarillo; Laurel Llanero"/>
        <s v="Mano de Oso; Amarillo; Higuerón; Higuerillo"/>
        <s v="Mano de Oso; Guache; Candelero; Pata de Gallina"/>
        <s v="Pino Maximinoi"/>
        <s v="Romero; Romero Común"/>
        <s v="Pino"/>
        <s v="Carnefiambre; Jigracaspi; Azufre; Carafiambre; Carneasao; Fiambre"/>
        <s v="Gallinazo; Cenizo; Cacique"/>
        <s v="Ciruelo; Ciruela"/>
        <s v="Piracanto; Coralito"/>
        <s v="Coralito; Holly; Mortiño"/>
        <s v="Mantequillo; Almendro"/>
        <s v="Terminalia; Almendro"/>
        <s v="Verdenegro; Guásimo"/>
        <s v="Guácimo Blanco"/>
        <s v="Cabuyo"/>
        <s v="Guasco"/>
        <s v="Papayuela; Papayuelo"/>
        <s v="Lechero; Caucho; Murillo; Mantequilla; Mantequillo; Lechudo"/>
        <s v="Yesco; Camargo"/>
        <s v="Dulumoco; Lulumoco; Dulomoco; Moco; Moquillo; Aguanoso"/>
        <s v="Cheflera; Yuco"/>
        <s v="Sauco de Monte; Pitá"/>
        <s v="Karité"/>
        <s v="Corono; Puyón; Aguja de Arria; Tachuelo; Cacho de Venado; Espino"/>
        <s v="Guaudilla; Bambú"/>
      </sharedItems>
    </cacheField>
    <cacheField name="Familia" numFmtId="0">
      <sharedItems>
        <s v="Indeterminado"/>
        <s v="Fabaceae"/>
        <s v="Malvaceae"/>
        <s v="Euphorbiaceae"/>
        <s v="Myrtaceae"/>
        <s v="Achatocarpaceae"/>
        <s v="Solanaceae"/>
        <s v="Arecaceae"/>
        <s v="Lythraceae"/>
        <s v="Primulaceae"/>
        <s v="Lamiaceae"/>
        <s v="Asparagaceae"/>
        <s v="Lauraceae"/>
        <s v="Juglandaceae"/>
        <s v="Apocynaceae"/>
        <s v="Sapindaceae"/>
        <s v="Betulaceae"/>
        <s v="Asphodelaceae"/>
        <s v="Verbenaceae"/>
        <s v="Zingiberaceae"/>
        <s v="Amaranthaceae"/>
        <s v="Bignoniaceae"/>
        <s v="Anacardiaceae"/>
        <s v="Annonaceae"/>
        <s v="Rubiaceae"/>
        <s v="Acanthaceae"/>
        <s v="Araliaceae"/>
        <s v="Araucariaceae"/>
        <s v="Asteraceae"/>
        <s v="Moraceae"/>
        <s v="Garryaceae"/>
        <s v="Oxalidaceae"/>
        <s v="Meliaceae"/>
        <s v="Poaceae"/>
        <s v="Begoniaceae"/>
        <s v="Melastomataceae"/>
        <s v="Phyllanthaceae"/>
        <s v="Bixaceae"/>
        <s v="Papaveraceae"/>
        <s v="Urticaceae"/>
        <s v="Nyctaginaceae"/>
        <s v="Cactaceae"/>
        <s v="Combretaceae"/>
        <s v="Scrophulariaceae"/>
        <s v="Zygophyllaceae"/>
        <s v="Malpighiaceae"/>
        <s v="Burseraceae"/>
        <s v="Buxaceae"/>
        <s v="Cupressaceae"/>
        <s v="Calophyllaceae"/>
        <s v="Theaceae"/>
        <s v="Capparaceae"/>
        <s v="Caricaceae"/>
        <s v="Lecythidaceae"/>
        <s v="Cyclantaceae"/>
        <s v="Caryocaraceae"/>
        <s v="Salicaceae"/>
        <s v="Rutaceae"/>
        <s v="Casuarinaceae"/>
        <s v="Ericaceae"/>
        <s v="Celastraceae"/>
        <s v="Zamiaceae"/>
        <s v="Ochnaceae"/>
        <s v="Chrysobalanaceae"/>
        <s v="Sapotaceae"/>
        <s v="Clethraceae"/>
        <s v="Clusiaceae"/>
        <s v="Polygonaceae"/>
        <s v="Rhamnaceae"/>
        <s v="Myristicaceae"/>
        <s v="Boraginaceae"/>
        <s v="Coriariaceae"/>
        <s v="Costaceae"/>
        <s v="Rosaceae"/>
        <s v="Dileniacea"/>
        <s v="Cyatheaceae"/>
        <s v="Cycadaceae"/>
        <s v="Cyperaceae"/>
        <s v="Dicksoniaceae"/>
        <s v="Ebenaceae"/>
        <s v="Elaeocarpaceae"/>
        <s v="Erythroxylaceae"/>
        <s v="Escalloniaceae"/>
        <s v="Orobanchaceae"/>
        <s v="Oleaceae"/>
        <s v="Onagraceae"/>
        <s v="Proteaceae"/>
        <s v="Aquifoliaceae"/>
        <s v="Convolvulaceae"/>
        <s v="Lacistemataceae"/>
        <s v="Vitaceae"/>
        <s v="Altingiaceae"/>
        <s v="Gentianaceae"/>
        <s v="Magnoliaceae"/>
        <s v="Sabiaceae"/>
        <s v="Olacaceae"/>
        <s v="Myricaceae"/>
        <s v="Moringaceae"/>
        <s v="Muntingiaceae"/>
        <s v="Pandanaceae"/>
        <s v="Passifloraceae"/>
        <s v="Paulowniaceae"/>
        <s v="Peraceae"/>
        <s v="Petiveriaceae"/>
        <s v="Araceae"/>
        <s v="Phytolaccaceae"/>
        <s v="Pinaceae"/>
        <s v="Piperaceae"/>
        <s v="Pittosporaceae"/>
        <s v="Plumbaginaceae"/>
        <s v="Podocarpaceae"/>
        <s v="Fagaceae"/>
        <s v="Quillajaceae"/>
        <s v="Strelitziaceae"/>
        <s v="Viburnaceae"/>
        <s v="Actinidiaceae"/>
        <s v="Simaroubaceae"/>
        <s v="Siparunaceae"/>
        <s v="Commelinaceae"/>
        <s v="Cannabaceae"/>
        <s v="Ulmaceae"/>
        <s v="Santalaceae"/>
        <s v="Hypericaceae"/>
        <s v="Vochysiaceae"/>
        <s v="Cunoniaceae"/>
        <s v="Amaryllidaceae"/>
        <s v="Brunelliaceae"/>
        <s v="Thymelaeaceae"/>
        <s v="Winteraceae"/>
        <s v="Polygalaceae"/>
        <s v="Staphyleaceae"/>
      </sharedItems>
    </cacheField>
    <cacheField name="_# Emparejamiento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3.0"/>
        <n v="652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3.0"/>
        <n v="1214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8.0"/>
        <n v="1229.0"/>
        <n v="1230.0"/>
        <n v="1231.0"/>
        <n v="1233.0"/>
        <n v="1241.0"/>
        <n v="1234.0"/>
        <n v="1242.0"/>
        <n v="1235.0"/>
        <n v="1237.0"/>
        <n v="1238.0"/>
        <n v="1239.0"/>
        <n v="1251.0"/>
        <n v="1253.0"/>
        <n v="1254.0"/>
        <n v="1255.0"/>
        <n v="1244.0"/>
        <n v="1256.0"/>
        <n v="1257.0"/>
        <n v="1246.0"/>
        <n v="1259.0"/>
        <n v="1248.0"/>
        <n v="1249.0"/>
        <n v="1261.0"/>
        <n v="1262.0"/>
        <n v="1263.0"/>
        <n v="1264.0"/>
      </sharedItems>
    </cacheField>
    <cacheField name="_# de familia" numFmtId="0">
      <sharedItems containsString="0" containsBlank="1" containsNumber="1" containsInteger="1">
        <n v="0.0"/>
        <n v="27.0"/>
        <n v="40.0"/>
        <n v="26.0"/>
        <n v="49.0"/>
        <n v="2.0"/>
        <n v="89.0"/>
        <n v="14.0"/>
        <n v="37.0"/>
        <n v="74.0"/>
        <n v="34.0"/>
        <n v="15.0"/>
        <n v="35.0"/>
        <n v="32.0"/>
        <n v="9.0"/>
        <n v="84.0"/>
        <n v="19.0"/>
        <n v="16.0"/>
        <n v="96.0"/>
        <n v="101.0"/>
        <n v="6.0"/>
        <n v="20.0"/>
        <n v="7.0"/>
        <n v="8.0"/>
        <n v="79.0"/>
        <n v="1.0"/>
        <n v="12.0"/>
        <n v="13.0"/>
        <n v="17.0"/>
        <n v="43.0"/>
        <n v="29.0"/>
        <n v="56.0"/>
        <n v="42.0"/>
        <n v="70.0"/>
        <n v="18.0"/>
        <n v="41.0"/>
        <n v="64.0"/>
        <n v="21.0"/>
        <n v="58.0"/>
        <n v="95.0"/>
        <n v="50.0"/>
        <n v="39.0"/>
        <n v="86.0"/>
        <n v="102.0"/>
        <n v="24.0"/>
        <n v="25.0"/>
        <m/>
        <n v="45.0"/>
        <n v="92.0"/>
        <n v="31.0"/>
        <n v="36.0"/>
        <n v="48.0"/>
        <n v="82.0"/>
        <n v="80.0"/>
        <n v="33.0"/>
        <n v="23.0"/>
        <n v="100.0"/>
        <n v="51.0"/>
        <n v="85.0"/>
        <n v="73.0"/>
        <n v="77.0"/>
        <n v="47.0"/>
        <n v="22.0"/>
        <n v="78.0"/>
        <n v="46.0"/>
        <n v="55.0"/>
        <n v="53.0"/>
        <n v="54.0"/>
        <n v="75.0"/>
        <n v="10.0"/>
        <n v="97.0"/>
        <n v="5.0"/>
        <n v="30.0"/>
        <n v="38.0"/>
        <n v="81.0"/>
        <n v="52.0"/>
        <n v="44.0"/>
        <n v="57.0"/>
        <n v="59.0"/>
        <n v="60.0"/>
        <n v="62.0"/>
        <n v="63.0"/>
        <n v="11.0"/>
        <n v="65.0"/>
        <n v="66.0"/>
        <n v="67.0"/>
        <n v="68.0"/>
        <n v="69.0"/>
        <n v="71.0"/>
        <n v="28.0"/>
        <n v="76.0"/>
        <n v="91.0"/>
        <n v="4.0"/>
        <n v="3.0"/>
        <n v="87.0"/>
        <n v="88.0"/>
        <n v="94.0"/>
        <n v="83.0"/>
        <n v="98.0"/>
        <n v="93.0"/>
        <n v="99.0"/>
        <n v="72.0"/>
        <n v="90.0"/>
      </sharedItems>
    </cacheField>
    <cacheField name="Nombre científico sin #" numFmtId="0">
      <sharedItems>
        <s v="Indeterminado"/>
        <s v="Abarema jupunba"/>
        <s v="Abarema sp"/>
        <s v="Abelmoschus moschatus"/>
        <s v="Abutilon insigne"/>
        <s v="Abutilon pictum"/>
        <s v="Abutilon sp"/>
        <s v="Acacia angustissima"/>
        <s v="Acacia baileyana"/>
        <s v="Acacia caven"/>
        <s v="Acacia decurrens"/>
        <s v="Acacia farnesiana"/>
        <s v="Acacia mangium"/>
        <s v="Acacia melanoxylon"/>
        <s v="Acacia muricata"/>
        <s v="Acalypha amentacea"/>
        <s v="Acalypha diversifolia"/>
        <s v="Acalypha hispida"/>
        <s v="Acalypha macrostachya"/>
        <s v="Acalypha villosa"/>
        <s v="Acalypha wilkesiana"/>
        <s v="Acca sellowiana"/>
        <s v="Achatocarpus nigricans"/>
        <s v="Iochroma arborescens"/>
        <s v="Acosmium dasycarpum"/>
        <s v="Acrocarpus fraxinifolius"/>
        <s v="Acrocomia aculeata"/>
        <s v="Adenanthera pavonina"/>
        <s v="Adenaria floribunda"/>
        <s v="Adonidia merrillii"/>
        <s v="Aegiceras corniculatum"/>
        <s v="Aegiphila integrifolia"/>
        <s v="Aegiphila mollis"/>
        <s v="Aegiphila panamensis"/>
        <s v="Aegiphila sp"/>
        <s v="Agave americana"/>
        <s v="Agave attenuata"/>
        <s v="Agave sp"/>
        <s v="Aiouea sp"/>
        <s v="Aiphanes horrida"/>
        <s v="Aiphanes simplex"/>
        <s v="Albizia carbonaria"/>
        <s v="Albizia guachapele"/>
        <s v="Albizia julibrissin"/>
        <s v="Albizia lebbeck"/>
        <s v="Albizia niopoides"/>
        <s v="Albizia saman"/>
        <s v="Albizia sp"/>
        <s v="Alchornea costaricensis"/>
        <s v="Alchornea glandulosa"/>
        <s v="Alchornea grandiflora"/>
        <s v="Alchornea latifolia"/>
        <s v="Alchornea sp"/>
        <s v="Alchornea triplinervia"/>
        <s v="Alchornea verticillata"/>
        <s v="Aleurites fordii"/>
        <s v="Alfaroa colombiana"/>
        <s v="Allamanda blanchetii"/>
        <s v="Allamanda cathartica"/>
        <s v="Allamanda schottii"/>
        <s v="Allophylus sp"/>
        <s v="Alnus acuminata"/>
        <s v="Aloe arborescens"/>
        <s v="Aloysia citrodora"/>
        <s v="Alpinia purpurata"/>
        <s v="Alstonia scholaris"/>
        <s v="Alternanthera brasiliana"/>
        <s v="Amherstia nobilis"/>
        <s v="Ampelocera sp"/>
        <s v="Amphitecna apiculata"/>
        <s v="Amphitecna isthmica"/>
        <s v="Amphitecna latifolia"/>
        <s v="Amphitecna sp"/>
        <s v="Anacardium excelsum"/>
        <s v="Anacardium occidentale"/>
        <s v="Andira chigorodensis"/>
        <s v="Andira inermis"/>
        <s v="Andira sp"/>
        <s v="Aniba riparia"/>
        <s v="Aniba coto"/>
        <s v="Aniba muca"/>
        <s v="Aniba perutilis"/>
        <s v="Aniba puchury-minor"/>
        <s v="Aniba sp"/>
        <s v="Annona acuminata"/>
        <s v="Annona cherimola"/>
        <s v="Annona glabra"/>
        <s v="Annona montana"/>
        <s v="Annona muricata"/>
        <s v="Annona quinduensis"/>
        <s v="Annona rensoniana"/>
        <s v="Annona reticulata"/>
        <s v="Annona squamosa"/>
        <s v="Neolamarckia cadamba"/>
        <s v="Apeiba glabra"/>
        <s v="Apeiba membranacea"/>
        <s v="Apeiba tibourbou"/>
        <s v="Aphelandra crenata"/>
        <s v="Aralia chinensis"/>
        <s v="Araucaria angustifolia"/>
        <s v="Araucaria bidwillii"/>
        <s v="Araucaria heterophylla"/>
        <s v="Archontophoenix alexandrae"/>
        <s v="Archontophoenix cunninghamiana"/>
        <s v="Ardisia arborea"/>
        <s v="Ardisia crenata"/>
        <s v="Ardisia elliptica"/>
        <s v="Ardisia guianensis"/>
        <s v="Areca catechu"/>
        <s v="Areca sp"/>
        <s v="Areca triandra"/>
        <s v="Arenga engleri"/>
        <s v="Artemisia arborescens"/>
        <s v="Artocarpus altilis"/>
        <s v="Artocarpus heterophyllus"/>
        <s v="Artocarpus integer"/>
        <s v="Artocarpus lacucha"/>
        <s v="Asclepias curassavica"/>
        <s v="Asparagus sp"/>
        <s v="Aspidosperma sp"/>
        <s v="Aspidosperma spruceanum"/>
        <s v="Astrocaryum malybo"/>
        <s v="Astronium graveolens"/>
        <s v="Asystasia gangetica"/>
        <s v="Attalea amygdalina"/>
        <s v="Attalea butyracea"/>
        <s v="Attalea oleifera"/>
        <s v="Aucuba japonica"/>
        <s v="Averrhoa carambola"/>
        <s v="Azadirachta indica"/>
        <s v="Baccharis halimifolia"/>
        <s v="Baccharis latifolia"/>
        <s v="Baccharis macrantha"/>
        <s v="Bactris gasipaes"/>
        <s v="Bactris pilosa"/>
        <s v="Bambusa vulgaris"/>
        <s v="Bauhinia forficata"/>
        <s v="Bauhinia kalbreyeri"/>
        <s v="Bauhinia monandra"/>
        <s v="Bauhinia picta"/>
        <s v="Bauhinia purpurea"/>
        <s v="Bauhinia sp"/>
        <s v="Bauhinia variegata"/>
        <s v="Beaucarnea recurvata"/>
        <s v="Begonia coccinea"/>
        <s v="Beilschmiedia pendula"/>
        <s v="Bellucia pentamera"/>
        <s v="Bellucia sp"/>
        <s v="Billia rosea"/>
        <s v="Bischofia javanica"/>
        <s v="Bismarckia nobilis"/>
        <s v="Bixa orellana"/>
        <s v="Blighia sapida"/>
        <s v="Bocconia integrifolia"/>
        <s v="Boehmeria caudata"/>
        <s v="Boehmeria japonica"/>
        <s v="Boehmeria virgata"/>
        <s v="Bombax ceiba"/>
        <s v="Alibertia patinoi"/>
        <s v="Bougainvillea glabra"/>
        <s v="Brachylaena sp"/>
        <s v="Brasiliopuntia brasiliensis"/>
        <s v="Brassiophoenix schumanii"/>
        <s v="Breonia chinensis"/>
        <s v="Breynia disticha"/>
        <s v="Brosimum alicastrum"/>
        <s v="Broussonetia papyrifera"/>
        <s v="Brownea ariza"/>
        <s v="Brownea grandiceps"/>
        <s v="Brownea sp"/>
        <s v="Brownea stenantha"/>
        <s v="Browneopsis excelsa"/>
        <s v="Brugmansia arborea"/>
        <s v="Brugmansia sp"/>
        <s v="Brunfelsia grandiflora"/>
        <s v="Brunfelsia pauciflora"/>
        <s v="Brunfelsia sp"/>
        <s v="Brunfelsia undulata"/>
        <s v="Brunfelsia uniflora"/>
        <s v="Terminalia pulcherrima"/>
        <s v="Terminalia tetraphylla"/>
        <s v="Terminalia buceras"/>
        <s v="Buddleja davidii"/>
        <s v="Bulnesia arborea"/>
        <s v="Plectrocarpa carrapo"/>
        <s v="Bunchosia armeniaca"/>
        <s v="Bunchosia nitida"/>
        <s v="Bursera graveolens"/>
        <s v="Bursera simaruba"/>
        <s v="Bursera tomentosa"/>
        <s v="Buxus sempervirens"/>
        <s v="Byrsonima arthropoda"/>
        <s v="Byrsonima crassifolia"/>
        <s v="Byrsonima spicata"/>
        <s v="Libidibia coriaria"/>
        <s v="Libidibia punctata"/>
        <s v="Cenostigma pluviosum"/>
        <s v="Caesalpinia pulcherrima"/>
        <s v="Caesalpinia sp"/>
        <s v="Tara spinosa"/>
        <s v="Cajanus cajan"/>
        <s v="Calliandra antioquiae"/>
        <s v="Calliandra selloi"/>
        <s v="Calliandra haematocephala"/>
        <s v="Calliandra magdalenae"/>
        <s v="Calliandra medellinensis"/>
        <s v="Calliandra pittieri"/>
        <s v="Calliandra sp"/>
        <s v="Calliandra surinamensis"/>
        <s v="Calliandra tergemina"/>
        <s v="Calliandra trinervia"/>
        <s v="Calliandra tweedii"/>
        <s v="Callicarpa macrophylla"/>
        <s v="Melaleuca citrina"/>
        <s v="Melaleuca glauca"/>
        <s v="Hesperocyparis glabra"/>
        <s v="Calocedrus decurrens"/>
        <s v="Calophyllum brasiliense"/>
        <s v="Calophyllum calaba"/>
        <s v="Calophyllum inophyllum"/>
        <s v="Calophyllum soulattri"/>
        <s v="Calycophyllum candidissimum"/>
        <s v="Calyptranthes sp"/>
        <s v="camellia japonica"/>
        <s v="Camellia sp"/>
        <s v="Campomanesia lineatifolia"/>
        <s v="Cananga odorata"/>
        <s v="Morisonia odoratissmia"/>
        <s v="Capsicum frutescens"/>
        <s v="Capsicum sp"/>
        <s v="Carapa guianensis"/>
        <s v="Carica papaya"/>
        <s v="Carica sp"/>
        <s v="Cariniana pyriformis"/>
        <s v="Carissa macrocarpa"/>
        <s v="Carludovica palmata"/>
        <s v="Carya illinoinensis"/>
        <s v="Caryocar glabrum"/>
        <s v="Caryodaphnopsis cogolloi"/>
        <s v="Caryodendron orinocense"/>
        <s v="Caryota mitis"/>
        <s v="Caryota sp"/>
        <s v="Caryota urens"/>
        <s v="Cascabela gaumeri (Hemsl)"/>
        <s v="Casearia aculeata"/>
        <s v="Casearia corymbosa"/>
        <s v="Casearia sp"/>
        <s v="Casimiroa edulis"/>
        <s v="Casimiroa sapota Oerst"/>
        <s v="Cassia fistula"/>
        <s v="Cassia grandis"/>
        <s v="Cassia javanica"/>
        <s v="Senna spectabilis"/>
        <s v="Castilla elastica"/>
        <s v="Casuarina equisetifolia"/>
        <s v="Catalpa longissima"/>
        <s v="Cavanillesia chicamochae"/>
        <s v="Cavanillesia platanifolia"/>
        <s v="Cavendishia bracteata"/>
        <s v="Cavendishia pubescens"/>
        <s v="Cecropia angustifolia"/>
        <s v="Cecropia peltata"/>
        <s v="Cecropia telenitida"/>
        <s v="Cedrela montana"/>
        <s v="Cedrela odorata"/>
        <s v="Cedrela salvadorensis"/>
        <s v="Cedrela sp"/>
        <s v="Ceiba pentandra"/>
        <s v="Ceiba sp"/>
        <s v="Ceiba speciosa"/>
        <s v="Celastrus orbiculatus"/>
        <s v="Celastrus scandens"/>
        <s v="Celastrus sp"/>
        <s v="Centrolobium paraense Tul"/>
        <s v="Centrolobium yavizanum"/>
        <s v="Ceratozamia fuscoviridis"/>
        <s v="Cereus hexagonus"/>
        <s v="cereus sp"/>
        <s v="Cereus uruguayanus"/>
        <s v="Ceroxylon quindiuense"/>
        <s v="Cespedesia macrophylla"/>
        <s v="Cestrum nocturnum"/>
        <s v="cestrum racemosum"/>
        <s v="Cestrum schlechtendalii"/>
        <s v="Cestrum sp"/>
        <s v="Chamaecyparis pisifera"/>
        <s v="Chamaedorea linearis"/>
        <s v="Chamaedorea metallica"/>
        <s v="Chamaedorea pinnatifrons"/>
        <s v="Chamaedorea seifrizii"/>
        <s v="Chamaedorea sp"/>
        <s v="Chamaedorea tepejilote"/>
        <s v="Chambeyronia macrocarpa"/>
        <s v="Chelyocarpus dianeurus"/>
        <s v="Cinchona sp"/>
        <s v="Chloroleucon tortum"/>
        <s v="Chromolaena odorata"/>
        <s v="Chrysobalanus icaco"/>
        <s v="Chrysophyllum argenteum"/>
        <s v="Chrysophyllum cainito"/>
        <s v="Cinnamomum triplinerve"/>
        <s v="Cinnamomum zeylanicum"/>
        <s v="Citharexylum kunthianum"/>
        <s v="Citharexylum montanum"/>
        <s v="Citharexylum sp"/>
        <s v="Citharexylum subflavescens"/>
        <s v="Citrus x microcarpa"/>
        <s v="Citrus x sinensis"/>
        <s v="Citrus x latifolia"/>
        <s v="Citrus x limonia"/>
        <s v="Citrus aurantifolia"/>
        <s v="Citrus jambhiri"/>
        <s v="Citrus maxima"/>
        <s v="Citrus medica"/>
        <s v="citrus x myrtifolia"/>
        <s v="Citrus reticulata"/>
        <s v="Citrus sinensis"/>
        <s v="Citrus sp"/>
        <s v="Citrus trifoliata"/>
        <s v="Citrus x aurantium"/>
        <s v="Clarisia racemosa"/>
        <s v="Clathrotropis brunnea"/>
        <s v="Clathrotropis macrocarpa"/>
        <s v="Clavija longifolia"/>
        <s v="Clavija sp"/>
        <s v="Clerodendrum quadriloculare"/>
        <s v="Clerodendrum sp"/>
        <s v="Clethra sp"/>
        <s v="Clibadium sp"/>
        <s v="Clibadium surinamense"/>
        <s v="Clidemia umbrosa"/>
        <s v="Clitoria fairchildiana"/>
        <s v="Clusia alata"/>
        <s v="Clusia articulata"/>
        <s v="Clusia multiflora"/>
        <s v="Clusia orthoneura"/>
        <s v="Clusia sp"/>
        <s v="Cnidoscolus aconitifolius"/>
        <s v="Coccoloba acuminata"/>
        <s v="Coccoloba sp"/>
        <s v="Coccoloba uvifera"/>
        <s v="Coccothrinax argentata"/>
        <s v="Cochlospermum orinocense"/>
        <s v="Cochlospermum vitifolium"/>
        <s v="Cocos nucifera"/>
        <s v="Codiaeum variegatum"/>
        <s v="Coffea arabica"/>
        <s v="Cojoba arborea"/>
        <s v="Coleus spp"/>
        <s v="Colubrina arborescens"/>
        <s v="Compsoneura sp"/>
        <s v="Condaminea corymbosa"/>
        <s v="Conocarpus erectus"/>
        <s v="Copaifera canime"/>
        <s v="Copaifera sp"/>
        <s v="Cordia alliodora"/>
        <s v="Guayubirá"/>
        <s v="Cordia dentata"/>
        <s v="Cordia gerascanthus"/>
        <s v="Cordia sebestena"/>
        <s v="Cordia sp"/>
        <s v="Cordia subcordata"/>
        <s v="Cordyline australis"/>
        <s v="Cordyline fruticosa"/>
        <s v="Cordyline rubra"/>
        <s v="Coriaria ruscifolia L"/>
        <s v="Cornutia pyramidata"/>
        <s v="Corymbia ficifolia"/>
        <s v="Costus barbatus Suess"/>
        <s v="Cotoneaster coriaceus"/>
        <s v="Cotoneaster sp"/>
        <s v="Couratari guianensis"/>
        <s v="Couroupita guianensis"/>
        <s v="Crataegus azarolus"/>
        <s v="Crateva tapia"/>
        <s v="Crescentia cujete"/>
        <s v="Croton magdalenensis"/>
        <s v="Croton smithianus"/>
        <s v="Croton sp"/>
        <s v="Croton urucurana"/>
        <s v="Cryosophila kalbreyeri"/>
        <s v="Cryptomeria japonica"/>
        <s v="Cryptomeria japonica elegans"/>
        <s v="Cunonia capensis"/>
        <s v="Cupania americana"/>
        <s v="Cupania cinerea Poepp"/>
        <s v="Cupressus glabra"/>
        <s v="Cupressus lusitanica"/>
        <s v="Cupressus sempervirens"/>
        <s v="Curatella americana"/>
        <s v="Cyathea delgadii"/>
        <s v="Cyathea meridensis"/>
        <s v="Cyathea multiflora"/>
        <s v="Cyathea sp"/>
        <s v="Cyca sp"/>
        <s v="Cycas circinalis"/>
        <s v="Cycas revoluta Thunb"/>
        <s v="Cycas rumphii"/>
        <s v="Cycas thouarsii"/>
        <s v="Cyperus involucratus"/>
        <s v="Cyperus papyrus L"/>
        <s v="Cyphomandra betacea"/>
        <s v="Cyrtostachys renda"/>
        <s v="Dahlia x pinnata"/>
        <s v="Delonix regia"/>
        <s v="Delostoma integrifolium"/>
        <s v="Delostoma sp"/>
        <s v="Dendrocnide moroides"/>
        <s v="Dendropanax arboreus"/>
        <s v="Dendropanax sp"/>
        <s v="Dialium guianensis"/>
        <s v="Dianthera secunda"/>
        <s v="Dicksonia sellowiana"/>
        <s v="Dictyocaryum lamarckianum"/>
        <s v="Dilodendron costaricense"/>
        <s v="Dimocarpus longan"/>
        <s v="Diospyros blancoi"/>
        <s v="Diospyros Artanthifolia"/>
        <s v="Diospyros digyna Jacq"/>
        <s v="Diospyros inconstans"/>
        <s v="Diospyros nigra"/>
        <s v="Diospyros sp"/>
        <s v="Dipteryx oleifera"/>
        <s v="Dodonaea viscosa"/>
        <s v="Dombeya wallichii"/>
        <s v="Dovyalis hebecarpa"/>
        <s v="Dracaena angustifolia"/>
        <s v="Dracaena arborea"/>
        <s v="Dracaena braunii"/>
        <s v="Dracaena concinna"/>
        <s v="Dracaena deremensis"/>
        <s v="Dracaena fragrans"/>
        <s v="Dracaena reflexa"/>
        <s v="Dracaena rubra"/>
        <s v="Dracaena sp"/>
        <s v="Dracaena compacta"/>
        <s v="Duranta erecta"/>
        <s v="Duranta mutisii"/>
        <s v="Duranta repens"/>
        <s v="Duranta sp"/>
        <s v="Dypsis decaryi"/>
        <s v="Dypsis lutescens"/>
        <s v="Dypsis madagascariensis"/>
        <s v="Dysoxylum gaudichaudianum"/>
        <s v="Dysoxylum macranthum"/>
        <s v="Caesalpinia ebano"/>
        <s v="Elaeis guineensis"/>
        <s v="Elaeis oleifera"/>
        <s v="Elaeocarpus angustifolius"/>
        <s v="Endlicheria sericea"/>
        <s v="Enterolobium cyclocarpum"/>
        <s v="Eperua sp"/>
        <s v="Eriobotrya japonica"/>
        <s v="Erythrina crista-galli"/>
        <s v="Erythrina edulis"/>
        <s v="Erythrina fusca"/>
        <s v="Erythrina poeppigiana"/>
        <s v="Erythrina rubrinervia"/>
        <s v="Erythrina sp"/>
        <s v="Erythrina speciosa"/>
        <s v="Erythrina variegata"/>
        <s v="Erythroxylum coca"/>
        <s v="Escallonia pendula"/>
        <s v="Eschweilera antioquensis"/>
        <s v="Eschweilera parviflora"/>
        <s v="Eschweilera reversa"/>
        <s v="Eschweilera sp"/>
        <s v="Escobedia sp"/>
        <s v="Eucalyptus camaldulensis"/>
        <s v="Eucalyptus cinerea"/>
        <s v="Eucalyptus deglupta"/>
        <s v="Eucalyptus grandis"/>
        <s v="Eucalyptus polyanthemos"/>
        <s v="Eucalyptus robusta"/>
        <s v="Eucalyptus saligna"/>
        <s v="Eucalyptus sp"/>
        <s v="Eugenia biflora"/>
        <s v="Eugenia flavescens"/>
        <s v="Eugenia florida"/>
        <s v="Eugenia involucrata"/>
        <s v="Eugenia myrtifolia"/>
        <s v="Eugenia stipitata"/>
        <s v="Eugenia uniflora"/>
        <s v="Euonymus fortunei"/>
        <s v="Euonymus japonicus"/>
        <s v="Euphorbia cotinifolia"/>
        <s v="Euphorbia grantii"/>
        <s v="Euphorbia lactea"/>
        <s v="Euphorbia pulcherrima"/>
        <s v="Euphorbia tirucalli"/>
        <s v="Euphorbia trigona"/>
        <s v="Euphorbia umbellata"/>
        <s v="Euterpe oleracea"/>
        <s v="Euterpe precatoria"/>
        <s v="Feijoa sellowiana"/>
        <s v="Ficus americana"/>
        <s v="Ficus benjamina"/>
        <s v="Ficus brevibracteata"/>
        <s v="Ficus callosa"/>
        <s v="Ficus carica"/>
        <s v="Ficus citrifolia"/>
        <s v="Ficus cuatrecasasiana"/>
        <s v="Ficus dendrocida"/>
        <s v="Ficus dulciaria"/>
        <s v="Ficus elastica"/>
        <s v="Ficus hartwegii"/>
        <s v="Ficus ingens"/>
        <s v="Ficus insipida"/>
        <s v="Ficus involuta"/>
        <s v="Ficus longifolia"/>
        <s v="Ficus lyrata"/>
        <s v="Ficus microcarpa"/>
        <s v="Ficus obtusifolia"/>
        <s v="Ficus pertusa"/>
        <s v="Ficus religiosa"/>
        <s v="Ficus retusa"/>
        <s v="Ficus sp"/>
        <s v="Ficus sur"/>
        <s v="Ficus tequendamae"/>
        <s v="Ficus tonduzii"/>
        <s v="Ficus variegata"/>
        <s v="Flacourtia indica"/>
        <s v="Frangula caroliniana"/>
        <s v="Frangula goudotiana"/>
        <s v="Frangula sphaerosperma"/>
        <s v="Fraxinus americana"/>
        <s v="Fraxinus chinensis"/>
        <s v="Fraxinus udhei"/>
        <s v="Fuchsia sp"/>
        <s v="Galphimia gracilis"/>
        <s v="Garcinia madruno"/>
        <s v="Garcinia mangostana"/>
        <s v="Garcinia sp"/>
        <s v="Gardenia jasminoides"/>
        <s v="Genipa americana"/>
        <s v="Geoffroea sp"/>
        <s v="Geoffroea spinosa"/>
        <s v="Geonoma interrupta"/>
        <s v="Geonoma sp"/>
        <s v="Gliricidia sepium"/>
        <s v="Gmelina arborea"/>
        <s v="Gossypium barbadense"/>
        <s v="Gossypium sp"/>
        <s v="Graptophyllum pictum"/>
        <s v="Grevillea banksii"/>
        <s v="Grevillea robusta"/>
        <s v="Guadua angustifolia"/>
        <s v="Guaiacum officinale"/>
        <s v="Guaiacum sp"/>
        <s v="Guarea guidonia"/>
        <s v="Guarea macrophylla"/>
        <s v="Guarea sp"/>
        <s v="Guatteria sp"/>
        <s v="Guazuma ulmifolia"/>
        <s v="Gustavia dubia"/>
        <s v="Gustavia romeroi"/>
        <s v="Gustavia speciosa"/>
        <s v="Gustavia superba"/>
        <s v="Hamelia patens"/>
        <s v="Hampea sp"/>
        <s v="Handroanthus chrysanthus"/>
        <s v="Handroanthus chrysotrichus"/>
        <s v="Handroanthus ochraceus"/>
        <s v="Handroanthus serratifolius"/>
        <s v="Harpullia arborea"/>
        <s v="Hasseltia floribunda"/>
        <s v="Heliocarpus americanus"/>
        <s v="Heptapleurum actinophyllum"/>
        <s v="Heptapleurum arboricola"/>
        <s v="Herrania sp"/>
        <s v="Hevea brasiliensis"/>
        <s v="Hibiscus acetosella"/>
        <s v="Hibiscus elatus"/>
        <s v="Hibiscus fragilis"/>
        <s v="Hibiscus mutabilis"/>
        <s v="Hibiscus rosa-sinensis"/>
        <s v="Hibiscus sabdariffa"/>
        <s v="Hibiscus schizopetalus"/>
        <s v="Hibiscus sp"/>
        <s v="Hibiscus syriacus"/>
        <s v="Hieronyma alchorneoides"/>
        <s v="Himatanthus drasticus"/>
        <s v="Himatanthus sp"/>
        <s v="Hoheria sexstylosa"/>
        <s v="Holmskioldia sanguinea"/>
        <s v="Howea forsteriana"/>
        <s v="Huberodendron patinoi"/>
        <s v="Hura crepitans"/>
        <s v="Hymenaea courbaril"/>
        <s v="Hymenaea oblongifolia"/>
        <s v="Hyophorbe lagenicaulis"/>
        <s v="Hyophorbe verschaffeltii"/>
        <s v="Ilex sp"/>
        <s v="Indigofera sp"/>
        <s v="Inga acrocephala"/>
        <s v="Inga alba"/>
        <s v="Inga chocoensis"/>
        <s v="Inga codonantha"/>
        <s v="Inga densiflora"/>
        <s v="Inga edulis"/>
        <s v="Inga laurina"/>
        <s v="Inga spectabilis"/>
        <s v="Inga sp"/>
        <s v="Inga vera"/>
        <s v="Ipomoea carnea"/>
        <s v="Iriartea deltoidea"/>
        <s v="Isertia haenkeana"/>
        <s v="Ixora coccinea"/>
        <s v="Ixora nicaraguensis"/>
        <s v="Ixora sp"/>
        <s v="Jacaranda caucana"/>
        <s v="Jacaranda copaia"/>
        <s v="Jacaranda hesperia"/>
        <s v="Jacaranda mimosifolia"/>
        <s v="Jacaranda obtusifolia"/>
        <s v="Jasminum multiflorum"/>
        <s v="Jasminum nitidum"/>
        <s v="Jasminum sp"/>
        <s v="Jatropha curcas"/>
        <s v="Jatropha gossypiifolia"/>
        <s v="Jatropha integerrima"/>
        <s v="Jatropha multifida"/>
        <s v="Jatropha podagrica"/>
        <s v="Juglans neotropica"/>
        <s v="Juglans nigra"/>
        <s v="Juglans regia"/>
        <s v="Juniperus communis"/>
        <s v="Juniperus conferta"/>
        <s v="Juniperus virginiana"/>
        <s v="Justicia adhatoda"/>
        <s v="Justicia carnea"/>
        <s v="Justicia secunda"/>
        <s v="Justicia sp"/>
        <s v="Kigelia africana"/>
        <s v="Koelreuteria elegans"/>
        <s v="Koelreuteria paniculata"/>
        <s v="Laburnum anagyroides"/>
        <s v="Laccospadix australasicus"/>
        <s v="Lacistema aggregatum"/>
        <s v="Lacmellea edulis"/>
        <s v="Laetia corymbulosa"/>
        <s v="Lafoensia acuminata"/>
        <s v="Lafoensia punicifolia"/>
        <s v="lafoensia sp"/>
        <s v="Lafoensia speciosa"/>
        <s v="Lagerstroemia indica"/>
        <s v="Lagerstroemia speciosa"/>
        <s v="Lantana aculeata"/>
        <s v="Lantana viburnoides"/>
        <s v="Lantana camara"/>
        <s v="Latania loddigesii"/>
        <s v="Latania lontaroides"/>
        <s v="Laurus nobilis"/>
        <s v="Lecointea amazonica"/>
        <s v="Lecythis minor"/>
        <s v="Lecythis tuyrana"/>
        <s v="Leea guineensis"/>
        <s v="Leea rubra"/>
        <s v="Leptospermum scoparium"/>
        <s v="Leucaena latisiliqua"/>
        <s v="Leucaena leucocephala"/>
        <s v="Leucothoe fontanesiana"/>
        <s v="Licania sp"/>
        <s v="Licania tomentosa"/>
        <s v="Licaria triandra"/>
        <s v="Licuala grandis"/>
        <s v="Licuala spinosa"/>
        <s v="Ligustrum japonicum"/>
        <s v="Ligustrum lucidum"/>
        <s v="Ligustrum ovalifolium"/>
        <s v="Ligustrum sinense"/>
        <s v="Ligustrum sp"/>
        <s v="Ligustrum vulgare"/>
        <s v="Liquidambar styraciflua"/>
        <s v="Litchi chinensis"/>
        <s v="Litsea monopetala"/>
        <s v="Livistona chinensis"/>
        <s v="Livistona drudei"/>
        <s v="Livistona rotundifolia"/>
        <s v="Lonchocarpus macrophyllus"/>
        <s v="Lonchocarpus sp"/>
        <s v="Ludwigia peruviana"/>
        <s v="Luehea seemannii"/>
        <s v="Lytocaryum weddellianum"/>
        <s v="Macadamia integrifolia"/>
        <s v="Machaerium capote"/>
        <s v="Machaerium sp"/>
        <s v="Maclura tinctoria"/>
        <s v="Macrocarpaea Macrophylla"/>
        <s v="Macrolobium colombianum"/>
        <s v="Magnolia grandiflora"/>
        <s v="Magnolia hernandezii"/>
        <s v="Magnolia silvioi"/>
        <s v="Magnolia sp"/>
        <s v="Malpighia coccigera"/>
        <s v="Malpighia glabra"/>
        <s v="Malpighia punicifolia"/>
        <s v="Malus domestica"/>
        <s v="Malvaviscus arboreus"/>
        <s v="Malvaviscus penduliflorus"/>
        <s v="Mammea americana"/>
        <s v="Mangifera indica"/>
        <s v="Manihot esculenta"/>
        <s v="Manilkara sp"/>
        <s v="Manilkara zapota"/>
        <s v="Margaritaria nobilis"/>
        <s v="Matayba purgans"/>
        <s v="Matisia cordata"/>
        <s v="Matisia obliquifolia"/>
        <s v="Mauria sp"/>
        <s v="Maytenus segoviarum"/>
        <s v="Megaskepasma erythrochlamys"/>
        <s v="Melaleuca quinquenervia"/>
        <s v="Melastoma malabathricum"/>
        <s v="Melia azedarach"/>
        <s v="Melicoccus bijugatus"/>
        <s v="Melicoccus oliviformis"/>
        <s v="Melicoccus sp"/>
        <s v="Meliosma occidentalis"/>
        <s v="Meliosma sp"/>
        <s v="Meriania nobilis"/>
        <s v="Mespilodaphne veraguensis"/>
        <s v="Miconia affinis"/>
        <s v="Miconia albicans"/>
        <s v="Miconia argentea"/>
        <s v="Miconia caudata"/>
        <s v="Miconia dodecandra"/>
        <s v="Miconia elata"/>
        <s v="Miconia ibaguensis"/>
        <s v="Miconia laevigata"/>
        <s v="Miconia ligustroides"/>
        <s v="Miconia minutiflora"/>
        <s v="Miconia mirabilis"/>
        <s v="Miconia multiflora"/>
        <s v="Miconia notabilis"/>
        <s v="Miconia resima"/>
        <s v="Miconia serrulata"/>
        <s v="Miconia theaezans"/>
        <s v="Miconia tinifolia"/>
        <s v="Mikania micrantha"/>
        <s v="Millettia pinnata"/>
        <s v="Mimosa pigra"/>
        <s v="Mimosa sp"/>
        <s v="Minquartia guianensis"/>
        <s v="Montanoa quadrangularis"/>
        <s v="Morella pubescens"/>
        <s v="Morinda citrifolia"/>
        <s v="Moringa oleifera"/>
        <s v="Morisonia oblongifolia"/>
        <s v="Morus nigra"/>
        <s v="Morus sp"/>
        <s v="Muntingia calabura"/>
        <s v="Bergera koenigii"/>
        <s v="Murraya paniculata"/>
        <s v="Mussaenda erythrophylla"/>
        <s v="Mussaenda philippica"/>
        <s v="Mussaenda sp"/>
        <s v="Myrcia antioquensis"/>
        <s v="Myrcia popayanensis"/>
        <s v="Myrcia sp"/>
        <s v="Myrcia subsessilis"/>
        <s v="Myrcianthes sp"/>
        <s v="Plinia cauliflora"/>
        <s v="Myroxylon balsamum"/>
        <s v="Myrsine coriacea"/>
        <s v="Myrsine guianensis"/>
        <s v="Nectandra acutifolia"/>
        <s v="Nectandra lineata"/>
        <s v="Nectandra sp"/>
        <s v="Nephelium lappaceum"/>
        <s v="Nerium oleander"/>
        <s v="Neurolaena lobata"/>
        <s v="Normanbya normanbyi"/>
        <s v="Ochna serrulata"/>
        <s v="Ochna thomasiana"/>
        <s v="Ochroma pyramidale"/>
        <s v="Ocotea aurantiodora"/>
        <s v="Ocotea macrophylla"/>
        <s v="Ocotea guianensis"/>
        <s v="Ocotea insularis"/>
        <s v="Ocotea longifolia"/>
        <s v="Ocotea macropoda"/>
        <s v="Ocotea sp"/>
        <s v="Oenocarpus bataua"/>
        <s v="Opuntia ficus-indica"/>
        <s v="Orania palindan"/>
        <s v="Oreopanax sp"/>
        <s v="Ormosia colombiana"/>
        <s v="Ormosia sp"/>
        <s v="Otoba novogranatensis"/>
        <s v="Ozoroa sphaerocarpa"/>
        <s v="Pachira aquatica"/>
        <s v="Pachira insignis"/>
        <s v="Pachira quinata"/>
        <s v="Pachira sp"/>
        <s v="Pachira speciosa"/>
        <s v="Pachystachys coccinea"/>
        <s v="Pachystachys lutea"/>
        <s v="Palicourea angustifolia"/>
        <s v="Palicourea guianensis"/>
        <s v="Palicourea quadrilateralis"/>
        <s v="Palicourea sp"/>
        <s v="Pandanus tectorius"/>
        <s v="Pandanus utilis"/>
        <s v="Paraserianthes lophantha"/>
        <s v="Parkia pendula"/>
        <s v="Parkia sp"/>
        <s v="Parkinsonia aculeata"/>
        <s v="Passiflora arborea"/>
        <s v="Paulownia tomentosa"/>
        <s v="Pausandra sp"/>
        <s v="Pavonia sepium"/>
        <s v="Peltogyne paniculata"/>
        <s v="Peltophorum pterocarpum"/>
        <s v="Pentaclethra macroloba"/>
        <s v="Pentagonia pinnatifida"/>
        <s v="Pera arborea"/>
        <s v="Perebea guianensis"/>
        <s v="Pereskia bleo"/>
        <s v="Persea americana"/>
        <s v="Persea caerulea"/>
        <s v="Persea sp"/>
        <s v="Perymenium grande"/>
        <s v="Petitia domingensis"/>
        <s v="Petiveria alliacea"/>
        <s v="Petrea rugosa"/>
        <s v="Petrea pubescens"/>
        <s v="Petrea volubilis"/>
        <s v="Philodendron bipinnatifidum"/>
        <s v="Phoenix canariensis"/>
        <s v="Phoenix dactylifera"/>
        <s v="Phoenix reclinata"/>
        <s v="Phoenix roebelenii"/>
        <s v="Phoenix sylvestris"/>
        <s v="Photinia sp"/>
        <s v="Phyllanthus acidus"/>
        <s v="Phyllanthus acuminatus"/>
        <s v="Physocarpus opulifolius"/>
        <s v="Phytelephas macrocarpa"/>
        <s v="Phytelephas sp"/>
        <s v="Phytolacca dioica"/>
        <s v="Pimenta dioica"/>
        <s v="Pimenta racemosa"/>
        <s v="Pinus caribaea"/>
        <s v="Pinus oocarpa"/>
        <s v="Pinus patula"/>
        <s v="Piper aduncum"/>
        <s v="Piper auritum"/>
        <s v="Piper hispidum"/>
        <s v="Piper holtonii"/>
        <s v="Piper sp"/>
        <s v="Pisonia aculeata"/>
        <s v="Pithecellobium dulce"/>
        <s v="Pithecellobium lanceolatum"/>
        <s v="Pittosporum sp"/>
        <s v="Pittosporum tenuifolium"/>
        <s v="Pittosporum undulatum"/>
        <s v="Platycladus orientalis"/>
        <s v="Platymiscium darienense"/>
        <s v="Platymiscium pinnatum"/>
        <s v="Platypodium elegans"/>
        <s v="Plerandra elegantissima"/>
        <s v="Pleuropetalum sp"/>
        <s v="Pleuropetalum sprucei"/>
        <s v="Pleurothyrium sp"/>
        <s v="Plumbago auriculata"/>
        <s v="Plumeria alba"/>
        <s v="Plumeria obtusa"/>
        <s v="Plumeria pudica"/>
        <s v="Plumeria rubra"/>
        <s v="Plumeria sp"/>
        <s v="Podocarpus guatemalensis"/>
        <s v="Podocarpus macrophyllus"/>
        <s v="Podocarpus oleifolius"/>
        <s v="Podocarpus sp"/>
        <s v="Poeppigia procera"/>
        <s v="Pogonopus exsertus"/>
        <s v="Monoon longifolium"/>
        <s v="Polyscias balfouriana"/>
        <s v="Polyscias fruticosa"/>
        <s v="Polyscias guilfoylei"/>
        <s v="Polyscias paniculata"/>
        <s v="Polyscias scutellaria"/>
        <s v="Polyscias sp"/>
        <s v="Pongamia pinnata"/>
        <s v="Populus deltoides"/>
        <s v="Posoqueria latifolia"/>
        <s v="Pourouma sp"/>
        <s v="Pourouma cecropiifolia"/>
        <s v="Pouteria baehniana"/>
        <s v="Pouteria caimito"/>
        <s v="Pouteria torta"/>
        <s v="Pouteria durlandii"/>
        <s v="Pouteria guianensis"/>
        <s v="Pouteria krukovii"/>
        <s v="Pouteria multiflora"/>
        <s v="Pouteria sapota"/>
        <s v="Pouteria sp"/>
        <s v="Prestoea acuminata"/>
        <s v="Prestoea carderi"/>
        <s v="Prioria copaifera"/>
        <s v="Pritchardia pacifica"/>
        <s v="Prosopis juliflora"/>
        <s v="Protium apiculatum"/>
        <s v="Prunus persica"/>
        <s v="Prunus serotina"/>
        <s v="Prunus urotaenia"/>
        <s v="Pseuderanthemum maculatum"/>
        <s v="Pseudobombax septenatum"/>
        <s v="Pseudosamanea guachapele"/>
        <s v="Psidium cattleianum"/>
        <s v="Psidium friedrichsthalianum"/>
        <s v="Psidium guajava"/>
        <s v="Psidium guineense"/>
        <s v="Psidium sp"/>
        <s v="Psychotria nervosa"/>
        <s v="Pterocarpus acapulcensis"/>
        <s v="Pterocarpus santalinoides"/>
        <s v="Pterocarpus sp"/>
        <s v="Ptychosperma elegans"/>
        <s v="Ptychosperma macarthurii"/>
        <s v="Pueraria montana"/>
        <s v="Punica granatum"/>
        <s v="Pyracantha coccinea"/>
        <s v="Quadrella odoratissima"/>
        <s v="Quararibea funebris"/>
        <s v="Quercus humboldtii"/>
        <s v="Quercus phellos"/>
        <s v="Quillaja saponaria"/>
        <s v="Ravenala madagascariensis"/>
        <s v="Ravenea rivularis"/>
        <s v="Retrophyllum rospigliosii"/>
        <s v="Rhapis excelsa"/>
        <s v="Rhododendron simsii"/>
        <s v="Rhodostemonodaphne kunthiana"/>
        <s v="Rhopalostylis sapida"/>
        <s v="Rhus glabra"/>
        <s v="Rhus virens"/>
        <s v="Ricinus communis"/>
        <s v="Rollinia membranacea"/>
        <s v="Rosa chinensis"/>
        <s v="Rosa cinnamomea L"/>
        <s v="Rosa pendulina"/>
        <s v="Rosa multiflora"/>
        <s v="Rosa sempervirens"/>
        <s v="Rosa sp"/>
        <s v="Roystonea oleracea"/>
        <s v="Roystonea regia"/>
        <s v="Ruagea pubescens"/>
        <s v="Ruellia simplex"/>
        <s v="Ruellia sp"/>
        <s v="Sabal domingensis"/>
        <s v="Sabal mauritiiformis"/>
        <s v="Sabal palmetto"/>
        <s v="Salacca zalacca"/>
        <s v="Salix babylonica"/>
        <s v="Salix humboldtiana"/>
        <s v="Salix nigra"/>
        <s v="Salvia microphylla"/>
        <s v="Salvia splendens"/>
        <s v="Samanea saman"/>
        <s v="Sambucus nigra"/>
        <s v="Sambucus peruviana"/>
        <s v="Sanchezia oblonga"/>
        <s v="Sanchezia speciosa"/>
        <s v="Sapindus saponaria"/>
        <s v="Sapium aucuparium"/>
        <s v="Sapium sp"/>
        <s v="Saurauia sp"/>
        <s v="Schefflera actinophylla"/>
        <s v="Schefflera arboricola"/>
        <s v="Schefflera elegantissima"/>
        <s v="Schinus molle"/>
        <s v="Schinus terebinthifolia"/>
        <s v="Schizolobium parahyba"/>
        <s v="Senna alata"/>
        <s v="Senna bicapsularis"/>
        <s v="Senna corymbosa"/>
        <s v="Senna occidentalis"/>
        <s v="Senna pistaciifolia"/>
        <s v="Senna polyphylla"/>
        <s v="Senna reticulata"/>
        <s v="Senna septemtrionalis"/>
        <s v="Senna siamea"/>
        <s v="Senna sp"/>
        <s v="Senna surattensis"/>
        <s v="Sesbania grandiflora"/>
        <s v="Sida rhombifolia"/>
        <s v="Simarouba amara"/>
        <s v="Siparuna cuspidata"/>
        <s v="Sloanea zuliaensis"/>
        <s v="Socratea exorrhiza"/>
        <s v="Solandra grandiflora"/>
        <s v="Solandra maxima"/>
        <s v="Solanum betaceum"/>
        <s v="Solanum macranthum"/>
        <s v="Solanum mammosum"/>
        <s v="Solanum mauritianum"/>
        <s v="Solanum oblongifolium"/>
        <s v="Solanum quitoense"/>
        <s v="Solanum rovirosanum"/>
        <s v="Solanum rudepannum"/>
        <s v="Solanum sp"/>
        <s v="Solanum sycophanta"/>
        <s v="Solanum torvum"/>
        <s v="Solanum umbellatum"/>
        <s v="Solanum wrightii"/>
        <s v="Spachea herbert-smithii"/>
        <s v="Spathodea campanulata"/>
        <s v="Spirotheca rosea"/>
        <s v="Spirotheca sp"/>
        <s v="Spondias dulcis"/>
        <s v="Spondias mombin"/>
        <s v="Spondias purpurea"/>
        <s v="Stachytarpheta frantzii"/>
        <s v="Stachytarpheta mutabilis"/>
        <s v="Stachytarpheta jamaicensis"/>
        <s v="Stemmadenia litoralis"/>
        <s v="Sterculia apetala"/>
        <s v="Stryphnodendron sp"/>
        <s v="Stylogyne sp"/>
        <s v="Swartzia macrophylla"/>
        <s v="Swartzia oraria"/>
        <s v="Swartzia robiniifolia"/>
        <s v="Swartzia sp"/>
        <s v="Swietenia macrophylla"/>
        <s v="Swietenia mahagoni"/>
        <s v="Swinglea glutinosa"/>
        <s v="Syagrus romanzoffiana"/>
        <s v="Syagrus sancona"/>
        <s v="Synechanthus fibrosus"/>
        <s v="Synsepalum dulcificum"/>
        <s v="Syzygium cumini"/>
        <s v="Syzygium jambos"/>
        <s v="Syzygium malaccense"/>
        <s v="Syzygium paniculata"/>
        <s v="Syzygium sp"/>
        <s v="Tabebuia billbergii"/>
        <s v="Tabebuia chrysea"/>
        <s v="Tabebuia chrysotricha"/>
        <s v="Tabebuia impetiginosa"/>
        <s v="Tabebuia ochracea"/>
        <s v="Tabebuia pallida"/>
        <s v="Tabebuia rosea"/>
        <s v="Tabebuia sp"/>
        <s v="Tabernaemontana amygdalifolia"/>
        <s v="Tabernaemontana coronaria"/>
        <s v="Tabernaemontana divaricata"/>
        <s v="Tabernaemontana litoralis"/>
        <s v="Tabernaemontana markgrafiana"/>
        <s v="Tabernaemontana sp"/>
        <s v="Tachigali costaricensis"/>
        <s v="Talipariti tiliaceum"/>
        <s v="Talisia cerasina"/>
        <s v="Tamarindus indica"/>
        <s v="Tapirira guianensis"/>
        <s v="Taxodium mucronatum"/>
        <s v="Tecoma capensis"/>
        <s v="Tecoma stans"/>
        <s v="Tectona grandis"/>
        <s v="Terminalia amazonia"/>
        <s v="Terminalia catappa"/>
        <s v="Terminalia chiriquensis"/>
        <s v="Terminalia ivorensis"/>
        <s v="Terminalia mantaly"/>
        <s v="Terminalia oblonga"/>
        <s v="Terminalia superba"/>
        <s v="Tessaria integrifolia"/>
        <s v="Tetrapanax papyrifer"/>
        <s v="Theobroma bicolor"/>
        <s v="Theobroma cacao"/>
        <s v="Theobroma grandiflorum"/>
        <s v="Thespesia populnea"/>
        <s v="Thevetia ahouai"/>
        <s v="Thevetia peruviana"/>
        <s v="Tithonia diversifolia"/>
        <s v="Thrinax parviflora"/>
        <s v="Thunbergia sp"/>
        <s v="Thunbergia erecta"/>
        <s v="Tibouchina gracilis"/>
        <s v="Tibouchina granulosa"/>
        <s v="Tibouchina heteromalla"/>
        <s v="Tibouchina lepidota"/>
        <s v="Tibouchina urvilleana"/>
        <s v="Tilia europaea"/>
        <s v="Toddalia sp"/>
        <s v="Tovomita weddelliana"/>
        <s v="Toxicodendron striatum"/>
        <s v="Trachycarpus fortunei"/>
        <s v="Tradescantia fluminensis"/>
        <s v="Tradescantia pallida"/>
        <s v="Trattinnickia aspera"/>
        <s v="Trema micrantha"/>
        <s v="Trichanthera gigantea"/>
        <s v="Trichilia dregeana"/>
        <s v="Trichilia Havanensis"/>
        <s v="Trichilia hirta"/>
        <s v="Trichilia martiana"/>
        <s v="Trichospermum galeottii"/>
        <s v="Triphasia trifolia"/>
        <s v="Triplaris americana"/>
        <s v="Trithrinax schizophylla"/>
        <s v="Turnera ulmifolia"/>
        <s v="Ulmus parvifolia"/>
        <s v="Urera baccifera"/>
        <s v="Urera caracasana"/>
        <s v="Uribea tamarindoides"/>
        <s v="Vachellia collinsii"/>
        <s v="Vachellia farnesiana"/>
        <s v="Vasconcellea sp"/>
        <s v="Vasivaea podocarpa"/>
        <s v="Vatairea guianensis"/>
        <s v="Palma montgomeryana"/>
        <s v="Verbesina crassiramea"/>
        <s v="Vernonia brasiliana"/>
        <s v="Vernonanthura patens"/>
        <s v="Viburnum cornifolium"/>
        <s v="Viburnum odoratissimum"/>
        <s v="Viburnum sp"/>
        <s v="Virola multiflora"/>
        <s v="Virola sebifera"/>
        <s v="Viscum album"/>
        <s v="Vismia baccifera"/>
        <s v="Vismia guianensis"/>
        <s v="Vitex cymosa"/>
        <s v="Vitex cooperi"/>
        <s v="Vitex parviflora"/>
        <s v="Vitex sp"/>
        <s v="Vochysia sp"/>
        <s v="Washingtonia filifera"/>
        <s v="Washingtonia robusta"/>
        <s v="Weinmannia pubescens"/>
        <s v="Weinmannia tomentosa"/>
        <s v="Welfia regia"/>
        <s v="Wettinia radiata"/>
        <s v="Wettinia sp"/>
        <s v="Wittmackanthus stanleyanus"/>
        <s v="Wodyetia bifurcata"/>
        <s v="Xylopia aromatica"/>
        <s v="Yucca aloifolia"/>
        <s v="Yucca filifera"/>
        <s v="Yucca gigantea"/>
        <s v="Yucca gloriosa"/>
        <s v="Zanthoxylum gentryi"/>
        <s v="Zanthoxylum rhoifolium"/>
        <s v="Ziziphus jujuba"/>
        <s v="Ziziphus mauritiana"/>
        <s v="Zygia longifolia"/>
        <s v="Achyranthes aspera"/>
        <s v="Kleinhovia hospita"/>
        <s v="Lippia alba"/>
        <s v="Galanthus nivalis"/>
        <s v="Mentha spicata"/>
        <s v="Amaranthus paniculatus var. Cruentus (L)"/>
        <s v="Ailanthus altissima"/>
        <s v="Abatia parviflora"/>
        <s v="Annona sp"/>
        <s v="Apocynaceae"/>
        <s v="Asteraceae"/>
        <s v="Baccharis sp"/>
        <s v="Bambusa sp"/>
        <s v="Bejaria aestuans"/>
        <s v="Bocconia frutescens"/>
        <s v="Bougainvillea sp"/>
        <s v="Bougainvillea spectabilis"/>
        <s v="Brugmansia candida"/>
        <s v="Brunellia sp"/>
        <s v="Brunfelsia australis"/>
        <s v="Cassia sp"/>
        <s v="Citrus limon"/>
        <s v="Clethra fagifolia"/>
        <s v="Clusia ducuoides"/>
        <s v="Clusia trochiformis"/>
        <s v="Coffea sp"/>
        <s v="Crotalaria micans"/>
        <s v="Cupressus macrocarpa"/>
        <s v="Cycas sp"/>
        <s v="Daphnopsis caracasana"/>
        <s v="Dombeya cayeuxii"/>
        <s v="Drimys granadensis"/>
        <s v="Erythrina costaricensis"/>
        <s v="Escallonia paniculata"/>
        <s v="Eugenia sp"/>
        <s v="Ficus cyathistipula"/>
        <s v="Malvaceae"/>
        <s v="Myrtaceae"/>
        <s v="Fucraea sp"/>
        <s v="Furcraea andina"/>
        <s v="Geissanthus kalbreyeri"/>
        <s v="Rubiaceae"/>
        <s v="Salicaceae"/>
        <s v="Sapotaceae"/>
        <s v="Solanaceae"/>
        <s v="Verbenaceae"/>
        <s v="Hieronyma antioquensis"/>
        <s v="Ilex danielis"/>
        <s v="Ilex laurina"/>
        <s v="Inga capitata"/>
        <s v="Inga punctata"/>
        <s v="Inga marginata"/>
        <s v="Juniperus sp"/>
        <s v="Juniperus squamata"/>
        <s v="Leucaena sp"/>
        <s v="Magnolia polyhypsophylla"/>
        <s v="Matayba elegans "/>
        <s v="Mauria heterophylla"/>
        <s v="Miconia sp"/>
        <s v="Melissa officinalis"/>
        <s v="Miconia lehmannii "/>
        <s v="Monnina solandrifolia"/>
        <s v="Monnina speciosa"/>
        <s v="Morus alba"/>
        <s v="Myrcianthes leucoxyla"/>
        <s v="Myrcianthes rhopaloides"/>
        <s v="Myrsine sp"/>
        <s v="Nectandra reticulata"/>
        <s v="Nectandra laurel"/>
        <s v="Oreopanax bogotensis"/>
        <s v="Oreopanax incisus"/>
        <s v="Pinus maximinoi"/>
        <s v="Rosmarinus officinalis"/>
        <s v="Pinus sp"/>
        <s v="Roupala monosperma"/>
        <s v="Piptocoma discolor "/>
        <s v="Prunus muris "/>
        <s v="Pyracantha angustifolia"/>
        <s v="Pyracantha sp,"/>
        <s v="Turpinia occidentalis"/>
        <s v="Terminalia sp"/>
        <s v="Tournefortia fuliginosa"/>
        <s v="Tournefortia scabrida"/>
        <s v="Salacia sp"/>
        <s v="Tournefortia sp"/>
        <s v="Vasconcellea pubescens "/>
        <s v="Sapium stylare"/>
        <s v="Verbesina nudipes"/>
        <s v="Saurauia ursina"/>
        <s v="Schefflera sp"/>
        <s v="Viburnum undulatum"/>
        <s v="Vitellaria paradoxa"/>
        <s v="Xylosma spiculifera"/>
        <s v="Phyllostachys aurea"/>
      </sharedItems>
    </cacheField>
    <cacheField name="Nombre Científico con #" numFmtId="0">
      <sharedItems>
        <s v="00 Indeterminado"/>
        <s v="1 Abarema jupunba"/>
        <s v="2 Abarema sp"/>
        <s v="3 Abelmoschus moschatus"/>
        <s v="4 Abutilon insigne"/>
        <s v="5 Abutilon pictum"/>
        <s v="6 Abutilon sp"/>
        <s v="7 Acacia angustissima"/>
        <s v="8 Acacia baileyana"/>
        <s v="9 Acacia caven"/>
        <s v="10 Acacia decurrens"/>
        <s v="11 Acacia farnesiana"/>
        <s v="12 Acacia mangium"/>
        <s v="13 Acacia melanoxylon"/>
        <s v="14 Acacia muricata"/>
        <s v="15 Acalypha amentacea"/>
        <s v="16 Acalypha diversifolia"/>
        <s v="17 Acalypha hispida"/>
        <s v="18 Acalypha macrostachya"/>
        <s v="19 Acalypha villosa"/>
        <s v="20 Acalypha wilkesiana"/>
        <s v="21 Acca sellowiana"/>
        <s v="22 Achatocarpus nigricans"/>
        <s v="23 Iochroma arborescens"/>
        <s v="24 Acosmium dasycarpum"/>
        <s v="25 Acrocarpus fraxinifolius"/>
        <s v="26 Acrocomia aculeata"/>
        <s v="27 Adenanthera pavonina"/>
        <s v="28 Adenaria floribunda"/>
        <s v="29 Adonidia merrillii"/>
        <s v="30 Aegiceras corniculatum"/>
        <s v="31 Aegiphila integrifolia"/>
        <s v="32 Aegiphila mollis"/>
        <s v="33 Aegiphila panamensis"/>
        <s v="34 Aegiphila sp"/>
        <s v="35 Agave americana"/>
        <s v="36 Agave attenuata"/>
        <s v="37 Agave sp"/>
        <s v="38 Aiouea sp"/>
        <s v="39 Aiphanes horrida"/>
        <s v="40 Aiphanes simplex"/>
        <s v="41 Albizia carbonaria"/>
        <s v="42 Albizia guachapele"/>
        <s v="43 Albizia julibrissin"/>
        <s v="44 Albizia lebbeck"/>
        <s v="45 Albizia niopoides"/>
        <s v="46 Albizia saman"/>
        <s v="47 Albizia sp"/>
        <s v="48 Alchornea costaricensis"/>
        <s v="49 Alchornea glandulosa"/>
        <s v="50 Alchornea grandiflora"/>
        <s v="51 Alchornea latifolia"/>
        <s v="52 Alchornea sp"/>
        <s v="53 Alchornea triplinervia"/>
        <s v="54 Alchornea verticillata"/>
        <s v="55 Aleurites fordii"/>
        <s v="56 Alfaroa colombiana"/>
        <s v="57 Allamanda blanchetii"/>
        <s v="58 Allamanda cathartica"/>
        <s v="59 Allamanda schottii"/>
        <s v="60 Allophylus sp"/>
        <s v="61 Alnus acuminata"/>
        <s v="62 Aloe arborescens"/>
        <s v="63 Aloysia citrodora"/>
        <s v="64 Alpinia purpurata"/>
        <s v="65 Alstonia scholaris"/>
        <s v="66 Alternanthera brasiliana"/>
        <s v="67 Amherstia nobilis"/>
        <s v="68 Ampelocera sp"/>
        <s v="69 Amphitecna apiculata"/>
        <s v="70 Amphitecna isthmica"/>
        <s v="71 Amphitecna latifolia"/>
        <s v="72 Amphitecna sp"/>
        <s v="73 Anacardium excelsum"/>
        <s v="74 Anacardium occidentale"/>
        <s v="75 Andira chigorodensis"/>
        <s v="76 Andira inermis"/>
        <s v="77 Andira sp"/>
        <s v="78 Aniba riparia"/>
        <s v="79 Aniba coto"/>
        <s v="80 Aniba muca"/>
        <s v="81 Aniba perutilis"/>
        <s v="82 Aniba puchury-minor"/>
        <s v="83 Aniba sp"/>
        <s v="84 Annona acuminata"/>
        <s v="85 Annona cherimola"/>
        <s v="86 Annona glabra"/>
        <s v="87 Annona montana"/>
        <s v="88 Annona muricata"/>
        <s v="89 Annona quinduensis"/>
        <s v="90 Annona rensoniana"/>
        <s v="91 Annona reticulata"/>
        <s v="93 Annona squamosa"/>
        <s v="94 Neolamarckia cadamba"/>
        <s v="95 Apeiba glabra"/>
        <s v="96 Apeiba membranacea"/>
        <s v="97 Apeiba tibourbou"/>
        <s v="98 Aphelandra crenata"/>
        <s v="99 Aralia chinensis"/>
        <s v="100 Araucaria angustifolia"/>
        <s v="101 Araucaria bidwillii"/>
        <s v="102 Araucaria heterophylla"/>
        <s v="103 Archontophoenix alexandrae"/>
        <s v="104 Archontophoenix cunninghamiana"/>
        <s v="105 Ardisia arborea"/>
        <s v="106 Ardisia crenata"/>
        <s v="107 Ardisia elliptica"/>
        <s v="108 Ardisia guianensis"/>
        <s v="109 Areca catechu"/>
        <s v="110 Areca sp"/>
        <s v="111 Areca triandra"/>
        <s v="112 Arenga engleri"/>
        <s v="113 Artemisia arborescens"/>
        <s v="114 Artocarpus altilis"/>
        <s v="115 Artocarpus heterophyllus"/>
        <s v="116 Artocarpus integer"/>
        <s v="117 Artocarpus lacucha"/>
        <s v="118 Asclepias curassavica"/>
        <s v="119 Asparagus sp"/>
        <s v="120 Aspidosperma sp"/>
        <s v="121 Aspidosperma spruceanum"/>
        <s v="122 Astrocaryum malybo"/>
        <s v="123 Astronium graveolens"/>
        <s v="124 Asystasia gangetica"/>
        <s v="125 Attalea amygdalina"/>
        <s v="126 Attalea butyracea"/>
        <s v="127 Attalea oleifera"/>
        <s v="128 Aucuba japonica"/>
        <s v="129 Averrhoa carambola"/>
        <s v="130 Azadirachta indica"/>
        <s v="131 Baccharis halimifolia"/>
        <s v="132 Baccharis latifolia"/>
        <s v="133 Baccharis macrantha"/>
        <s v="134 Bactris gasipaes"/>
        <s v="135 Bactris pilosa"/>
        <s v="136 Bambusa vulgaris"/>
        <s v="137 Bauhinia forficata"/>
        <s v="138 Bauhinia kalbreyeri"/>
        <s v="139 Bauhinia monandra"/>
        <s v="140 Bauhinia picta"/>
        <s v="141 Bauhinia purpurea"/>
        <s v="142 Bauhinia sp"/>
        <s v="143 Bauhinia variegata"/>
        <s v="144 Beaucarnea recurvata"/>
        <s v="145 Begonia coccinea"/>
        <s v="146 Beilschmiedia pendula"/>
        <s v="147 Bellucia pentamera"/>
        <s v="148 Bellucia sp"/>
        <s v="149 Billia rosea"/>
        <s v="150 Bischofia javanica"/>
        <s v="151 Bismarckia nobilis"/>
        <s v="152 Bixa orellana"/>
        <s v="153 Blighia sapida"/>
        <s v="154 Bocconia integrifolia"/>
        <s v="155 Boehmeria caudata"/>
        <s v="156 Boehmeria japonica"/>
        <s v="157 Boehmeria virgata"/>
        <s v="158 Bombax ceiba"/>
        <s v="159 Alibertia patinoi"/>
        <s v="160 Bougainvillea glabra"/>
        <s v="161 Brachylaena sp"/>
        <s v="162 Brasiliopuntia brasiliensis"/>
        <s v="163 Brassiophoenix schumanii"/>
        <s v="164 Breonia chinensis"/>
        <s v="165 Breynia disticha"/>
        <s v="166 Brosimum alicastrum"/>
        <s v="167 Broussonetia papyrifera"/>
        <s v="168 Brownea ariza"/>
        <s v="169 Brownea grandiceps"/>
        <s v="170 Brownea sp"/>
        <s v="171 Brownea stenantha"/>
        <s v="172 Browneopsis excelsa"/>
        <s v="173 Brugmansia arborea"/>
        <s v="174 Brugmansia sp"/>
        <s v="175 Brunfelsia grandiflora"/>
        <s v="176 Brunfelsia pauciflora"/>
        <s v="177 Brunfelsia sp"/>
        <s v="178 Brunfelsia undulata"/>
        <s v="179 Brunfelsia uniflora"/>
        <s v="180 Terminalia pulcherrima"/>
        <s v="181 Terminalia tetraphylla"/>
        <s v="182 Terminalia buceras"/>
        <s v="183 Buddleja davidii"/>
        <s v="184 Bulnesia arborea"/>
        <s v="185 Plectrocarpa carrapo"/>
        <s v="186 Bunchosia armeniaca"/>
        <s v="187 Bunchosia nitida"/>
        <s v="188 Bursera graveolens"/>
        <s v="189 Bursera simaruba"/>
        <s v="190 Bursera tomentosa"/>
        <s v="191 Buxus sempervirens"/>
        <s v="192 Byrsonima arthropoda"/>
        <s v="193 Byrsonima crassifolia"/>
        <s v="194 Byrsonima spicata"/>
        <s v="195 Libidibia coriaria"/>
        <s v="196 Libidibia punctata"/>
        <s v="197 Cenostigma pluviosum"/>
        <s v="198 Caesalpinia pulcherrima"/>
        <s v="199 Caesalpinia sp"/>
        <s v="200 Tara spinosa"/>
        <s v="201 Cajanus cajan"/>
        <s v="202 Calliandra antioquiae"/>
        <s v="203 Calliandra selloi"/>
        <s v="204 Calliandra haematocephala"/>
        <s v="205 Calliandra magdalenae"/>
        <s v="206 Calliandra medellinensis"/>
        <s v="207 Calliandra pittieri"/>
        <s v="208 Calliandra sp"/>
        <s v="209 Calliandra surinamensis"/>
        <s v="210 Calliandra tergemina"/>
        <s v="211 Calliandra trinervia"/>
        <s v="212 Calliandra tweedii"/>
        <s v="213 Callicarpa macrophylla"/>
        <s v="214 Melaleuca citrina"/>
        <s v="215 Melaleuca glauca"/>
        <s v="216 Hesperocyparis glabra"/>
        <s v="217 Calocedrus decurrens"/>
        <s v="218 Calophyllum brasiliense"/>
        <s v="219 Calophyllum calaba"/>
        <s v="220 Calophyllum inophyllum"/>
        <s v="221 Calophyllum soulattri"/>
        <s v="222 Calycophyllum candidissimum"/>
        <s v="223 Calyptranthes sp"/>
        <s v="224 camellia japonica"/>
        <s v="225 Camellia sp"/>
        <s v="226 Campomanesia lineatifolia"/>
        <s v="227 Cananga odorata"/>
        <s v="228 Morisonia odoratissmia"/>
        <s v="229 Capsicum frutescens"/>
        <s v="230 Capsicum sp"/>
        <s v="231 Carapa guianensis"/>
        <s v="232 Carica papaya"/>
        <s v="233 Carica sp"/>
        <s v="234 Cariniana pyriformis"/>
        <s v="235 Carissa macrocarpa"/>
        <s v="236 Carludovica palmata"/>
        <s v="237 Carya illinoinensis"/>
        <s v="238 Caryocar glabrum"/>
        <s v="239 Caryodaphnopsis cogolloi"/>
        <s v="240 Caryodendron orinocense"/>
        <s v="241 Caryota mitis"/>
        <s v="242 Caryota sp"/>
        <s v="243 Caryota urens"/>
        <s v="244 Cascabela gaumeri (Hemsl)"/>
        <s v="245 Casearia aculeata"/>
        <s v="246 Casearia corymbosa"/>
        <s v="247 Casearia sp"/>
        <s v="248 Casimiroa edulis"/>
        <s v="249 Casimiroa sapota Oerst"/>
        <s v="250 Cassia fistula"/>
        <s v="251 Cassia grandis"/>
        <s v="252 Cassia javanica"/>
        <s v="253 Senna spectabilis"/>
        <s v="254 Castilla elastica"/>
        <s v="255 Casuarina equisetifolia"/>
        <s v="256 Catalpa longissima"/>
        <s v="257 Cavanillesia chicamochae"/>
        <s v="258 Cavanillesia platanifolia"/>
        <s v="259 Cavendishia bracteata"/>
        <s v="260 Cavendishia pubescens"/>
        <s v="261 Cecropia angustifolia"/>
        <s v="262 Cecropia peltata"/>
        <s v="263 Cecropia telenitida"/>
        <s v="264 Cedrela montana"/>
        <s v="265 Cedrela odorata"/>
        <s v="266 Cedrela salvadorensis"/>
        <s v="267 Cedrela sp"/>
        <s v="268 Ceiba pentandra"/>
        <s v="269 Ceiba sp"/>
        <s v="270 Ceiba speciosa"/>
        <s v="271 Celastrus orbiculatus"/>
        <s v="272 Celastrus scandens"/>
        <s v="273 Celastrus sp"/>
        <s v="274 Centrolobium paraense Tul"/>
        <s v="275 Centrolobium yavizanum"/>
        <s v="276 Ceratozamia fuscoviridis"/>
        <s v="277 Cereus hexagonus"/>
        <s v="278 cereus sp"/>
        <s v="279 Cereus uruguayanus"/>
        <s v="280 Ceroxylon quindiuense"/>
        <s v="281 Cespedesia macrophylla"/>
        <s v="282 Cestrum nocturnum"/>
        <s v="283 cestrum racemosum"/>
        <s v="284 Cestrum schlechtendalii"/>
        <s v="285 Cestrum sp"/>
        <s v="286 Chamaecyparis pisifera"/>
        <s v="287 Chamaedorea linearis"/>
        <s v="288 Chamaedorea metallica"/>
        <s v="289 Chamaedorea pinnatifrons"/>
        <s v="290 Chamaedorea seifrizii"/>
        <s v="291 Chamaedorea sp"/>
        <s v="292 Chamaedorea tepejilote"/>
        <s v="293 Chambeyronia macrocarpa"/>
        <s v="294 Chelyocarpus dianeurus"/>
        <s v="295 Cinchona sp"/>
        <s v="296 Chloroleucon tortum"/>
        <s v="297 Chromolaena odorata"/>
        <s v="298 Chrysobalanus icaco"/>
        <s v="299 Chrysophyllum argenteum"/>
        <s v="300 Chrysophyllum cainito"/>
        <s v="301 Cinnamomum triplinerve"/>
        <s v="302 Cinnamomum zeylanicum"/>
        <s v="303 Citharexylum kunthianum"/>
        <s v="304 Citharexylum montanum"/>
        <s v="305 Citharexylum sp"/>
        <s v="306 Citharexylum subflavescens"/>
        <s v="307 Citrus x microcarpa"/>
        <s v="308 Citrus x sinensis"/>
        <s v="309 Citrus x latifolia"/>
        <s v="310 Citrus x limonia"/>
        <s v="311 Citrus aurantifolia"/>
        <s v="312 Citrus jambhiri"/>
        <s v="314 Citrus maxima"/>
        <s v="315 Citrus medica"/>
        <s v="316 citrus x myrtifolia"/>
        <s v="317 Citrus reticulata"/>
        <s v="318 Citrus sinensis"/>
        <s v="319 Citrus sp"/>
        <s v="320 Citrus trifoliata"/>
        <s v="321 Citrus x aurantium"/>
        <s v="322 Clarisia racemosa"/>
        <s v="323 Clathrotropis brunnea"/>
        <s v="324 Clathrotropis macrocarpa"/>
        <s v="325 Clavija longifolia"/>
        <s v="326 Clavija sp"/>
        <s v="327 Clerodendrum quadriloculare"/>
        <s v="328 Clerodendrum sp"/>
        <s v="329 Clethra sp"/>
        <s v="330 Clibadium sp"/>
        <s v="331 Clibadium surinamense"/>
        <s v="332 Clidemia umbrosa"/>
        <s v="333 Clitoria fairchildiana"/>
        <s v="334 Clusia alata"/>
        <s v="335 Clusia articulata"/>
        <s v="336 Clusia multiflora"/>
        <s v="337 Clusia orthoneura"/>
        <s v="338 Clusia sp"/>
        <s v="339 Cnidoscolus aconitifolius"/>
        <s v="340 Coccoloba acuminata"/>
        <s v="341 Coccoloba sp"/>
        <s v="342 Coccoloba uvifera"/>
        <s v="343 Coccothrinax argentata"/>
        <s v="344 Cochlospermum orinocense"/>
        <s v="345 Cochlospermum vitifolium"/>
        <s v="346 Cocos nucifera"/>
        <s v="347 Codiaeum variegatum"/>
        <s v="348 Coffea arabica"/>
        <s v="349 Cojoba arborea"/>
        <s v="350 Coleus spp"/>
        <s v="351 Colubrina arborescens"/>
        <s v="352 Compsoneura sp"/>
        <s v="353 Condaminea corymbosa"/>
        <s v="354 Conocarpus erectus"/>
        <s v="355 Copaifera canime"/>
        <s v="356 Copaifera sp"/>
        <s v="357 Cordia alliodora"/>
        <s v="358 Guayubirá"/>
        <s v="359 Cordia dentata"/>
        <s v="360 Cordia gerascanthus"/>
        <s v="361 Cordia sebestena"/>
        <s v="362 Cordia sp"/>
        <s v="363 Cordia subcordata"/>
        <s v="364 Cordyline australis"/>
        <s v="365 Cordyline fruticosa"/>
        <s v="366 Cordyline rubra"/>
        <s v="368 Coriaria ruscifolia L"/>
        <s v="369 Cornutia pyramidata"/>
        <s v="370 Corymbia ficifolia"/>
        <s v="371 Costus barbatus Suess"/>
        <s v="372 Cotoneaster coriaceus"/>
        <s v="373 Cotoneaster sp"/>
        <s v="374 Couratari guianensis"/>
        <s v="375 Couroupita guianensis"/>
        <s v="376 Crataegus azarolus"/>
        <s v="377 Crateva tapia"/>
        <s v="378 Crescentia cujete"/>
        <s v="379 Croton magdalenensis"/>
        <s v="380 Croton smithianus"/>
        <s v="381 Croton sp"/>
        <s v="382 Croton urucurana"/>
        <s v="383 Cryosophila kalbreyeri"/>
        <s v="384 Cryptomeria japonica"/>
        <s v="385 Cryptomeria japonica elegans"/>
        <s v="386 Cunonia capensis"/>
        <s v="387 Cupania americana"/>
        <s v="388 Cupania cinerea Poepp"/>
        <s v="389 Cupressus glabra"/>
        <s v="390 Cupressus lusitanica"/>
        <s v="391 Cupressus sempervirens"/>
        <s v="392 Curatella americana"/>
        <s v="393 Cyathea delgadii"/>
        <s v="394 Cyathea meridensis"/>
        <s v="395 Cyathea multiflora"/>
        <s v="396 Cyathea sp"/>
        <s v="397 Cyca sp"/>
        <s v="398 Cycas circinalis"/>
        <s v="399 Cycas revoluta Thunb"/>
        <s v="400 Cycas rumphii"/>
        <s v="401 Cycas thouarsii"/>
        <s v="402 Cyperus involucratus"/>
        <s v="403 Cyperus papyrus L"/>
        <s v="404 Cyphomandra betacea"/>
        <s v="405 Cyrtostachys renda"/>
        <s v="406 Dahlia x pinnata"/>
        <s v="407 Delonix regia"/>
        <s v="408 Delostoma integrifolium"/>
        <s v="410 Delostoma sp"/>
        <s v="411 Dendrocnide moroides"/>
        <s v="412 Dendropanax arboreus"/>
        <s v="413 Dendropanax sp"/>
        <s v="414 Dialium guianensis"/>
        <s v="415 Dianthera secunda"/>
        <s v="416 Dicksonia sellowiana"/>
        <s v="417 Dictyocaryum lamarckianum"/>
        <s v="418 Dilodendron costaricense"/>
        <s v="419 Dimocarpus longan"/>
        <s v="420 Diospyros blancoi"/>
        <s v="421 Diospyros Artanthifolia"/>
        <s v="422 Diospyros digyna Jacq"/>
        <s v="423 Diospyros inconstans"/>
        <s v="424 Diospyros nigra"/>
        <s v="425 Diospyros sp"/>
        <s v="426 Dipteryx oleifera"/>
        <s v="427 Dodonaea viscosa"/>
        <s v="428 Dombeya wallichii"/>
        <s v="429 Dovyalis hebecarpa"/>
        <s v="430 Dracaena angustifolia"/>
        <s v="431 Dracaena arborea"/>
        <s v="432 Dracaena braunii"/>
        <s v="433 Dracaena concinna"/>
        <s v="434 Dracaena deremensis"/>
        <s v="435 Dracaena fragrans"/>
        <s v="436 Dracaena reflexa"/>
        <s v="437 Dracaena rubra"/>
        <s v="438 Dracaena sp"/>
        <s v="439 Dracaena compacta"/>
        <s v="440 Duranta erecta"/>
        <s v="441 Duranta mutisii"/>
        <s v="442 Duranta repens"/>
        <s v="443 Duranta sp"/>
        <s v="444 Dypsis decaryi"/>
        <s v="445 Dypsis lutescens"/>
        <s v="446 Dypsis madagascariensis"/>
        <s v="447 Dysoxylum gaudichaudianum"/>
        <s v="448 Dysoxylum macranthum"/>
        <s v="449 Caesalpinia ebano"/>
        <s v="450 Elaeis guineensis"/>
        <s v="451 Elaeis oleifera"/>
        <s v="452 Elaeocarpus angustifolius"/>
        <s v="453 Endlicheria sericea"/>
        <s v="454 Enterolobium cyclocarpum"/>
        <s v="455 Eperua sp"/>
        <s v="456 Eriobotrya japonica"/>
        <s v="457 Erythrina crista-galli"/>
        <s v="458 Erythrina edulis"/>
        <s v="459 Erythrina fusca"/>
        <s v="460 Erythrina poeppigiana"/>
        <s v="461 Erythrina rubrinervia"/>
        <s v="462 Erythrina sp"/>
        <s v="463 Erythrina speciosa"/>
        <s v="464 Erythrina variegata"/>
        <s v="465 Erythroxylum coca"/>
        <s v="466 Escallonia pendula"/>
        <s v="467 Eschweilera antioquensis"/>
        <s v="468 Eschweilera parviflora"/>
        <s v="469 Eschweilera reversa"/>
        <s v="470 Eschweilera sp"/>
        <s v="471 Escobedia sp"/>
        <s v="472 Eucalyptus camaldulensis"/>
        <s v="473 Eucalyptus cinerea"/>
        <s v="474 Eucalyptus deglupta"/>
        <s v="475 Eucalyptus grandis"/>
        <s v="476 Eucalyptus polyanthemos"/>
        <s v="477 Eucalyptus robusta"/>
        <s v="478 Eucalyptus saligna"/>
        <s v="479 Eucalyptus sp"/>
        <s v="480 Eugenia biflora"/>
        <s v="481 Eugenia flavescens"/>
        <s v="482 Eugenia florida"/>
        <s v="483 Eugenia involucrata"/>
        <s v="484 Eugenia myrtifolia"/>
        <s v="485 Eugenia stipitata"/>
        <s v="486 Eugenia uniflora"/>
        <s v="487 Euonymus fortunei"/>
        <s v="488 Euonymus japonicus"/>
        <s v="489 Euphorbia cotinifolia"/>
        <s v="490 Euphorbia grantii"/>
        <s v="491 Euphorbia lactea"/>
        <s v="492 Euphorbia pulcherrima"/>
        <s v="493 Euphorbia tirucalli"/>
        <s v="494 Euphorbia trigona"/>
        <s v="495 Euphorbia umbellata"/>
        <s v="496 Euterpe oleracea"/>
        <s v="497 Euterpe precatoria"/>
        <s v="498 Feijoa sellowiana"/>
        <s v="499 Ficus americana"/>
        <s v="500 Ficus benjamina"/>
        <s v="501 Ficus brevibracteata"/>
        <s v="502 Ficus callosa"/>
        <s v="503 Ficus carica"/>
        <s v="504 Ficus citrifolia"/>
        <s v="505 Ficus cuatrecasasiana"/>
        <s v="506 Ficus dendrocida"/>
        <s v="507 Ficus dulciaria"/>
        <s v="508 Ficus elastica"/>
        <s v="509 Ficus hartwegii"/>
        <s v="510 Ficus ingens"/>
        <s v="511 Ficus insipida"/>
        <s v="512 Ficus involuta"/>
        <s v="513 Ficus longifolia"/>
        <s v="514 Ficus lyrata"/>
        <s v="515 Ficus microcarpa"/>
        <s v="516 Ficus obtusifolia"/>
        <s v="517 Ficus pertusa"/>
        <s v="518 Ficus religiosa"/>
        <s v="519 Ficus retusa"/>
        <s v="520 Ficus sp"/>
        <s v="521 Ficus sur"/>
        <s v="522 Ficus tequendamae"/>
        <s v="523 Ficus tonduzii"/>
        <s v="524 Ficus variegata"/>
        <s v="525 Flacourtia indica"/>
        <s v="526 Frangula caroliniana"/>
        <s v="527 Frangula goudotiana"/>
        <s v="528 Frangula sphaerosperma"/>
        <s v="529 Fraxinus americana"/>
        <s v="530 Fraxinus chinensis"/>
        <s v="531 Fraxinus udhei"/>
        <s v="532 Fuchsia sp"/>
        <s v="533 Galphimia gracilis"/>
        <s v="534 Garcinia madruno"/>
        <s v="535 Garcinia mangostana"/>
        <s v="536 Garcinia sp"/>
        <s v="537 Gardenia jasminoides"/>
        <s v="538 Genipa americana"/>
        <s v="539 Geoffroea sp"/>
        <s v="540 Geoffroea spinosa"/>
        <s v="541 Geonoma interrupta"/>
        <s v="542 Geonoma sp"/>
        <s v="543 Gliricidia sepium"/>
        <s v="544 Gmelina arborea"/>
        <s v="545 Gossypium barbadense"/>
        <s v="546 Gossypium sp"/>
        <s v="547 Graptophyllum pictum"/>
        <s v="548 Grevillea banksii"/>
        <s v="549 Grevillea robusta"/>
        <s v="550 Guadua angustifolia"/>
        <s v="551 Guaiacum officinale"/>
        <s v="552 Guaiacum sp"/>
        <s v="553 Guarea guidonia"/>
        <s v="554 Guarea macrophylla"/>
        <s v="555 Guarea sp"/>
        <s v="556 Guatteria sp"/>
        <s v="557 Guazuma ulmifolia"/>
        <s v="558 Gustavia dubia"/>
        <s v="559 Gustavia romeroi"/>
        <s v="560 Gustavia speciosa"/>
        <s v="561 Gustavia superba"/>
        <s v="562 Hamelia patens"/>
        <s v="563 Hampea sp"/>
        <s v="564 Handroanthus chrysanthus"/>
        <s v="565 Handroanthus chrysotrichus"/>
        <s v="566 Handroanthus ochraceus"/>
        <s v="567 Handroanthus serratifolius"/>
        <s v="568 Harpullia arborea"/>
        <s v="569 Hasseltia floribunda"/>
        <s v="570 Heliocarpus americanus"/>
        <s v="571 Heptapleurum actinophyllum"/>
        <s v="572 Heptapleurum arboricola"/>
        <s v="573 Herrania sp"/>
        <s v="574 Hevea brasiliensis"/>
        <s v="575 Hibiscus acetosella"/>
        <s v="576 Hibiscus elatus"/>
        <s v="577 Hibiscus fragilis"/>
        <s v="578 Hibiscus mutabilis"/>
        <s v="579 Hibiscus rosa-sinensis"/>
        <s v="580 Hibiscus sabdariffa"/>
        <s v="581 Hibiscus schizopetalus"/>
        <s v="582 Hibiscus sp"/>
        <s v="583 Hibiscus syriacus"/>
        <s v="584 Hieronyma alchorneoides"/>
        <s v="585 Himatanthus drasticus"/>
        <s v="586 Himatanthus sp"/>
        <s v="587 Hoheria sexstylosa"/>
        <s v="588 Holmskioldia sanguinea"/>
        <s v="589 Howea forsteriana"/>
        <s v="590 Huberodendron patinoi"/>
        <s v="591 Hura crepitans"/>
        <s v="592 Hymenaea courbaril"/>
        <s v="593 Hymenaea oblongifolia"/>
        <s v="594 Hyophorbe lagenicaulis"/>
        <s v="595 Hyophorbe verschaffeltii"/>
        <s v="596 Ilex sp"/>
        <s v="597 Indigofera sp"/>
        <s v="598 Inga acrocephala"/>
        <s v="599 Inga alba"/>
        <s v="600 Inga chocoensis"/>
        <s v="601 Inga codonantha"/>
        <s v="602 Inga densiflora"/>
        <s v="603 Inga edulis"/>
        <s v="604 Inga laurina"/>
        <s v="605 Inga spectabilis"/>
        <s v="606 Inga sp"/>
        <s v="607 Inga vera"/>
        <s v="608 Ipomoea carnea"/>
        <s v="609 Iriartea deltoidea"/>
        <s v="610 Isertia haenkeana"/>
        <s v="611 Ixora coccinea"/>
        <s v="612 Ixora nicaraguensis"/>
        <s v="613 Ixora sp"/>
        <s v="614 Jacaranda caucana"/>
        <s v="615 Jacaranda copaia"/>
        <s v="616 Jacaranda hesperia"/>
        <s v="617 Jacaranda mimosifolia"/>
        <s v="618 Jacaranda obtusifolia"/>
        <s v="619 Jasminum multiflorum"/>
        <s v="620 Jasminum nitidum"/>
        <s v="621 Jasminum sp"/>
        <s v="622 Jatropha curcas"/>
        <s v="623 Jatropha gossypiifolia"/>
        <s v="624 Jatropha integerrima"/>
        <s v="625 Jatropha multifida"/>
        <s v="626 Jatropha podagrica"/>
        <s v="627 Juglans neotropica"/>
        <s v="628 Juglans nigra"/>
        <s v="629 Juglans regia"/>
        <s v="630 Juniperus communis"/>
        <s v="631 Juniperus conferta"/>
        <s v="632 Juniperus virginiana"/>
        <s v="633 Justicia adhatoda"/>
        <s v="634 Justicia carnea"/>
        <s v="635 Justicia secunda"/>
        <s v="636 Justicia sp"/>
        <s v="637 Kigelia africana"/>
        <s v="638 Koelreuteria elegans"/>
        <s v="639 Koelreuteria paniculata"/>
        <s v="640 Laburnum anagyroides"/>
        <s v="641 Laccospadix australasicus"/>
        <s v="642 Lacistema aggregatum"/>
        <s v="643 Lacmellea edulis"/>
        <s v="644 Laetia corymbulosa"/>
        <s v="645 Lafoensia acuminata"/>
        <s v="646 Lafoensia punicifolia"/>
        <s v="647 lafoensia sp"/>
        <s v="648 Lafoensia speciosa"/>
        <s v="649 Lagerstroemia indica"/>
        <s v="650 Lagerstroemia speciosa"/>
        <s v="651 Lantana aculeata"/>
        <s v="653 Lantana viburnoides"/>
        <s v="652 Lantana camara"/>
        <s v="654 Latania loddigesii"/>
        <s v="655 Latania lontaroides"/>
        <s v="656 Laurus nobilis"/>
        <s v="657 Lecointea amazonica"/>
        <s v="658 Lecythis minor"/>
        <s v="659 Lecythis tuyrana"/>
        <s v="660 Leea guineensis"/>
        <s v="661 Leea rubra"/>
        <s v="662 Leptospermum scoparium"/>
        <s v="663 Leucaena latisiliqua"/>
        <s v="664 Leucaena leucocephala"/>
        <s v="665 Leucothoe fontanesiana"/>
        <s v="666 Licania sp"/>
        <s v="667 Licania tomentosa"/>
        <s v="668 Licaria triandra"/>
        <s v="669 Licuala grandis"/>
        <s v="670 Licuala spinosa"/>
        <s v="671 Ligustrum japonicum"/>
        <s v="672 Ligustrum lucidum"/>
        <s v="673 Ligustrum ovalifolium"/>
        <s v="674 Ligustrum sinense"/>
        <s v="675 Ligustrum sp"/>
        <s v="676 Ligustrum vulgare"/>
        <s v="677 Liquidambar styraciflua"/>
        <s v="678 Litchi chinensis"/>
        <s v="679 Litsea monopetala"/>
        <s v="680 Livistona chinensis"/>
        <s v="681 Livistona drudei"/>
        <s v="682 Livistona rotundifolia"/>
        <s v="683 Lonchocarpus macrophyllus"/>
        <s v="684 Lonchocarpus sp"/>
        <s v="685 Ludwigia peruviana"/>
        <s v="686 Luehea seemannii"/>
        <s v="687 Lytocaryum weddellianum"/>
        <s v="688 Macadamia integrifolia"/>
        <s v="689 Machaerium capote"/>
        <s v="690 Machaerium sp"/>
        <s v="691 Maclura tinctoria"/>
        <s v="692 Macrocarpaea Macrophylla"/>
        <s v="693 Macrolobium colombianum"/>
        <s v="694 Magnolia grandiflora"/>
        <s v="695 Magnolia hernandezii"/>
        <s v="696 Magnolia silvioi"/>
        <s v="697 Magnolia sp"/>
        <s v="698 Malpighia coccigera"/>
        <s v="699 Malpighia glabra"/>
        <s v="700 Malpighia punicifolia"/>
        <s v="701 Malus domestica"/>
        <s v="702 Malvaviscus arboreus"/>
        <s v="703 Malvaviscus penduliflorus"/>
        <s v="704 Mammea americana"/>
        <s v="705 Mangifera indica"/>
        <s v="706 Manihot esculenta"/>
        <s v="707 Manilkara sp"/>
        <s v="708 Manilkara zapota"/>
        <s v="709 Margaritaria nobilis"/>
        <s v="710 Matayba purgans"/>
        <s v="711 Matisia cordata"/>
        <s v="712 Matisia obliquifolia"/>
        <s v="713 Mauria sp"/>
        <s v="714 Maytenus segoviarum"/>
        <s v="715 Megaskepasma erythrochlamys"/>
        <s v="716 Melaleuca quinquenervia"/>
        <s v="717 Melastoma malabathricum"/>
        <s v="718 Melia azedarach"/>
        <s v="719 Melicoccus bijugatus"/>
        <s v="720 Melicoccus oliviformis"/>
        <s v="721 Melicoccus sp"/>
        <s v="722 Meliosma occidentalis"/>
        <s v="723 Meliosma sp"/>
        <s v="724 Meriania nobilis"/>
        <s v="725 Mespilodaphne veraguensis"/>
        <s v="726 Miconia affinis"/>
        <s v="727 Miconia albicans"/>
        <s v="728 Miconia argentea"/>
        <s v="729 Miconia caudata"/>
        <s v="730 Miconia dodecandra"/>
        <s v="731 Miconia elata"/>
        <s v="732 Miconia ibaguensis"/>
        <s v="733 Miconia laevigata"/>
        <s v="734 Miconia ligustroides"/>
        <s v="735 Miconia minutiflora"/>
        <s v="736 Miconia mirabilis"/>
        <s v="737 Miconia multiflora"/>
        <s v="738 Miconia notabilis"/>
        <s v="739 Miconia resima"/>
        <s v="740 Miconia serrulata"/>
        <s v="742 Miconia theaezans"/>
        <s v="743 Miconia tinifolia"/>
        <s v="744 Mikania micrantha"/>
        <s v="745 Millettia pinnata"/>
        <s v="746 Mimosa pigra"/>
        <s v="747 Mimosa sp"/>
        <s v="748 Minquartia guianensis"/>
        <s v="749 Montanoa quadrangularis"/>
        <s v="750 Morella pubescens"/>
        <s v="751 Morinda citrifolia"/>
        <s v="752 Moringa oleifera"/>
        <s v="753 Morisonia oblongifolia"/>
        <s v="754 Morus nigra"/>
        <s v="755 Morus sp"/>
        <s v="756 Muntingia calabura"/>
        <s v="757 Bergera koenigii"/>
        <s v="758 Murraya paniculata"/>
        <s v="759 Mussaenda erythrophylla"/>
        <s v="760 Mussaenda philippica"/>
        <s v="761 Mussaenda sp"/>
        <s v="762 Myrcia antioquensis"/>
        <s v="763 Myrcia popayanensis"/>
        <s v="764 Myrcia sp"/>
        <s v="765 Myrcia subsessilis"/>
        <s v="766 Myrcianthes sp"/>
        <s v="767 Plinia cauliflora"/>
        <s v="768 Myroxylon balsamum"/>
        <s v="769 Myrsine coriacea"/>
        <s v="770 Myrsine guianensis"/>
        <s v="771 Nectandra acutifolia"/>
        <s v="772 Nectandra lineata"/>
        <s v="773 Nectandra sp"/>
        <s v="774 Nephelium lappaceum"/>
        <s v="775 Nerium oleander"/>
        <s v="776 Neurolaena lobata"/>
        <s v="777 Normanbya normanbyi"/>
        <s v="778 Ochna serrulata"/>
        <s v="779 Ochna thomasiana"/>
        <s v="780 Ochroma pyramidale"/>
        <s v="781 Ocotea aurantiodora"/>
        <s v="782 Ocotea macrophylla"/>
        <s v="783 Ocotea guianensis"/>
        <s v="784 Ocotea insularis"/>
        <s v="785 Ocotea longifolia"/>
        <s v="786 Ocotea macropoda"/>
        <s v="787 Ocotea sp"/>
        <s v="788 Oenocarpus bataua"/>
        <s v="789 Opuntia ficus-indica"/>
        <s v="790 Orania palindan"/>
        <s v="791 Oreopanax sp"/>
        <s v="792 Ormosia colombiana"/>
        <s v="793 Ormosia sp"/>
        <s v="794 Otoba novogranatensis"/>
        <s v="795 Ozoroa sphaerocarpa"/>
        <s v="796 Pachira aquatica"/>
        <s v="797 Pachira insignis"/>
        <s v="798 Pachira quinata"/>
        <s v="799 Pachira sp"/>
        <s v="800 Pachira speciosa"/>
        <s v="801 Pachystachys coccinea"/>
        <s v="802 Pachystachys lutea"/>
        <s v="803 Palicourea angustifolia"/>
        <s v="804 Palicourea guianensis"/>
        <s v="805 Palicourea quadrilateralis"/>
        <s v="806 Palicourea sp"/>
        <s v="807 Pandanus tectorius"/>
        <s v="808 Pandanus utilis"/>
        <s v="809 Paraserianthes lophantha"/>
        <s v="810 Parkia pendula"/>
        <s v="811 Parkia sp"/>
        <s v="812 Parkinsonia aculeata"/>
        <s v="813 Passiflora arborea"/>
        <s v="814 Paulownia tomentosa"/>
        <s v="815 Pausandra sp"/>
        <s v="816 Pavonia sepium"/>
        <s v="817 Peltogyne paniculata"/>
        <s v="818 Peltophorum pterocarpum"/>
        <s v="819 Pentaclethra macroloba"/>
        <s v="820 Pentagonia pinnatifida"/>
        <s v="821 Pera arborea"/>
        <s v="822 Perebea guianensis"/>
        <s v="823 Pereskia bleo"/>
        <s v="824 Persea americana"/>
        <s v="825 Persea caerulea"/>
        <s v="826 Persea sp"/>
        <s v="827 Perymenium grande"/>
        <s v="828 Petitia domingensis"/>
        <s v="829 Petiveria alliacea"/>
        <s v="830 Petrea rugosa"/>
        <s v="831 Petrea pubescens"/>
        <s v="832 Petrea volubilis"/>
        <s v="833 Philodendron bipinnatifidum"/>
        <s v="834 Phoenix canariensis"/>
        <s v="835 Phoenix dactylifera"/>
        <s v="836 Phoenix reclinata"/>
        <s v="837 Phoenix roebelenii"/>
        <s v="838 Phoenix sylvestris"/>
        <s v="839 Photinia sp"/>
        <s v="840 Phyllanthus acidus"/>
        <s v="841 Phyllanthus acuminatus"/>
        <s v="842 Physocarpus opulifolius"/>
        <s v="843 Phytelephas macrocarpa"/>
        <s v="844 Phytelephas sp"/>
        <s v="845 Phytolacca dioica"/>
        <s v="846 Pimenta dioica"/>
        <s v="847 Pimenta racemosa"/>
        <s v="848 Pinus caribaea"/>
        <s v="849 Pinus oocarpa"/>
        <s v="850 Pinus patula"/>
        <s v="851 Piper aduncum"/>
        <s v="852 Piper auritum"/>
        <s v="853 Piper hispidum"/>
        <s v="854 Piper holtonii"/>
        <s v="855 Piper sp"/>
        <s v="856 Pisonia aculeata"/>
        <s v="857 Pithecellobium dulce"/>
        <s v="858 Pithecellobium lanceolatum"/>
        <s v="859 Pittosporum sp"/>
        <s v="860 Pittosporum tenuifolium"/>
        <s v="861 Pittosporum undulatum"/>
        <s v="862 Platycladus orientalis"/>
        <s v="863 Platymiscium darienense"/>
        <s v="864 Platymiscium pinnatum"/>
        <s v="865 Platypodium elegans"/>
        <s v="866 Plerandra elegantissima"/>
        <s v="867 Pleuropetalum sp"/>
        <s v="868 Pleuropetalum sprucei"/>
        <s v="869 Pleurothyrium sp"/>
        <s v="870 Plumbago auriculata"/>
        <s v="871 Plumeria alba"/>
        <s v="872 Plumeria obtusa"/>
        <s v="873 Plumeria pudica"/>
        <s v="874 Plumeria rubra"/>
        <s v="875 Plumeria sp"/>
        <s v="876 Podocarpus guatemalensis"/>
        <s v="877 Podocarpus macrophyllus"/>
        <s v="878 Podocarpus oleifolius"/>
        <s v="879 Podocarpus sp"/>
        <s v="880 Poeppigia procera"/>
        <s v="881 Pogonopus exsertus"/>
        <s v="882 Monoon longifolium"/>
        <s v="883 Polyscias balfouriana"/>
        <s v="884 Polyscias fruticosa"/>
        <s v="885 Polyscias guilfoylei"/>
        <s v="886 Polyscias paniculata"/>
        <s v="887 Polyscias scutellaria"/>
        <s v="888 Polyscias sp"/>
        <s v="889 Pongamia pinnata"/>
        <s v="890 Populus deltoides"/>
        <s v="891 Posoqueria latifolia"/>
        <s v="892 Pourouma sp"/>
        <s v="893 Pourouma cecropiifolia"/>
        <s v="894 Pouteria baehniana"/>
        <s v="895 Pouteria caimito"/>
        <s v="896 Pouteria torta"/>
        <s v="897 Pouteria durlandii"/>
        <s v="898 Pouteria guianensis"/>
        <s v="899 Pouteria krukovii"/>
        <s v="900 Pouteria multiflora"/>
        <s v="901 Pouteria sapota"/>
        <s v="902 Pouteria sp"/>
        <s v="903 Prestoea acuminata"/>
        <s v="904 Prestoea carderi"/>
        <s v="905 Prioria copaifera"/>
        <s v="906 Pritchardia pacifica"/>
        <s v="907 Prosopis juliflora"/>
        <s v="908 Protium apiculatum"/>
        <s v="909 Prunus persica"/>
        <s v="910 Prunus serotina"/>
        <s v="911 Prunus urotaenia"/>
        <s v="912 Pseuderanthemum maculatum"/>
        <s v="913 Pseudobombax septenatum"/>
        <s v="914 Pseudosamanea guachapele"/>
        <s v="915 Psidium cattleianum"/>
        <s v="916 Psidium friedrichsthalianum"/>
        <s v="917 Psidium guajava"/>
        <s v="918 Psidium guineense"/>
        <s v="919 Psidium sp"/>
        <s v="920 Psychotria nervosa"/>
        <s v="921 Pterocarpus acapulcensis"/>
        <s v="922 Pterocarpus santalinoides"/>
        <s v="923 Pterocarpus sp"/>
        <s v="924 Ptychosperma elegans"/>
        <s v="925 Ptychosperma macarthurii"/>
        <s v="926 Pueraria montana"/>
        <s v="927 Punica granatum"/>
        <s v="928 Pyracantha coccinea"/>
        <s v="929 Quadrella odoratissima"/>
        <s v="930 Quararibea funebris"/>
        <s v="931 Quercus humboldtii"/>
        <s v="932 Quercus phellos"/>
        <s v="933 Quillaja saponaria"/>
        <s v="934 Ravenala madagascariensis"/>
        <s v="935 Ravenea rivularis"/>
        <s v="936 Retrophyllum rospigliosii"/>
        <s v="937 Rhapis excelsa"/>
        <s v="938 Rhododendron simsii"/>
        <s v="939 Rhodostemonodaphne kunthiana"/>
        <s v="940 Rhopalostylis sapida"/>
        <s v="941 Rhus glabra"/>
        <s v="942 Rhus virens"/>
        <s v="943 Ricinus communis"/>
        <s v="944 Rollinia membranacea"/>
        <s v="945 Rosa chinensis"/>
        <s v="946 Rosa cinnamomea L"/>
        <s v="947 Rosa pendulina"/>
        <s v="948 Rosa multiflora"/>
        <s v="949 Rosa sempervirens"/>
        <s v="950 Rosa sp"/>
        <s v="951 Roystonea oleracea"/>
        <s v="952 Roystonea regia"/>
        <s v="953 Ruagea pubescens"/>
        <s v="954 Ruellia simplex"/>
        <s v="955 Ruellia sp"/>
        <s v="956 Sabal domingensis"/>
        <s v="957 Sabal mauritiiformis"/>
        <s v="958 Sabal palmetto"/>
        <s v="959 Salacca zalacca"/>
        <s v="960 Salix babylonica"/>
        <s v="961 Salix humboldtiana"/>
        <s v="962 Salix nigra"/>
        <s v="963 Salvia microphylla"/>
        <s v="964 Salvia splendens"/>
        <s v="965 Samanea saman"/>
        <s v="966 Sambucus nigra"/>
        <s v="967 Sambucus peruviana"/>
        <s v="968 Sanchezia oblonga"/>
        <s v="969 Sanchezia speciosa"/>
        <s v="970 Sapindus saponaria"/>
        <s v="971 Sapium aucuparium"/>
        <s v="972 Sapium sp"/>
        <s v="973 Saurauia sp"/>
        <s v="974 Schefflera actinophylla"/>
        <s v="975 Schefflera arboricola"/>
        <s v="976 Schefflera elegantissima"/>
        <s v="977 Schinus molle"/>
        <s v="978 Schinus terebinthifolia"/>
        <s v="979 Schizolobium parahyba"/>
        <s v="980 Senna alata"/>
        <s v="981 Senna bicapsularis"/>
        <s v="982 Senna corymbosa"/>
        <s v="983 Senna occidentalis"/>
        <s v="984 Senna pistaciifolia"/>
        <s v="985 Senna polyphylla"/>
        <s v="986 Senna reticulata"/>
        <s v="987 Senna septemtrionalis"/>
        <s v="988 Senna siamea"/>
        <s v="989 Senna sp"/>
        <s v="990 Senna surattensis"/>
        <s v="991 Sesbania grandiflora"/>
        <s v="992 Sida rhombifolia"/>
        <s v="993 Simarouba amara"/>
        <s v="994 Siparuna cuspidata"/>
        <s v="995 Sloanea zuliaensis"/>
        <s v="996 Socratea exorrhiza"/>
        <s v="997 Solandra grandiflora"/>
        <s v="998 Solandra maxima"/>
        <s v="999 Solanum betaceum"/>
        <s v="1000 Solanum macranthum"/>
        <s v="1001 Solanum mammosum"/>
        <s v="1002 Solanum mauritianum"/>
        <s v="1003 Solanum oblongifolium"/>
        <s v="1004 Solanum quitoense"/>
        <s v="1005 Solanum rovirosanum"/>
        <s v="1006 Solanum rudepannum"/>
        <s v="1007 Solanum sp"/>
        <s v="1008 Solanum sycophanta"/>
        <s v="1009 Solanum torvum"/>
        <s v="1010 Solanum umbellatum"/>
        <s v="1011 Solanum wrightii"/>
        <s v="1012 Spachea herbert-smithii"/>
        <s v="1013 Spathodea campanulata"/>
        <s v="1014 Spirotheca rosea"/>
        <s v="1015 Spirotheca sp"/>
        <s v="1016 Spondias dulcis"/>
        <s v="1017 Spondias mombin"/>
        <s v="1018 Spondias purpurea"/>
        <s v="1019 Stachytarpheta frantzii"/>
        <s v="1020 Stachytarpheta mutabilis"/>
        <s v="1021 Stachytarpheta jamaicensis"/>
        <s v="1022 Stemmadenia litoralis"/>
        <s v="1023 Sterculia apetala"/>
        <s v="1024 Stryphnodendron sp"/>
        <s v="1025 Stylogyne sp"/>
        <s v="1026 Swartzia macrophylla"/>
        <s v="1027 Swartzia oraria"/>
        <s v="1028 Swartzia robiniifolia"/>
        <s v="1029 Swartzia sp"/>
        <s v="1030 Swietenia macrophylla"/>
        <s v="1031 Swietenia mahagoni"/>
        <s v="1032 Swinglea glutinosa"/>
        <s v="1033 Syagrus romanzoffiana"/>
        <s v="1034 Syagrus sancona"/>
        <s v="1035 Synechanthus fibrosus"/>
        <s v="1036 Synsepalum dulcificum"/>
        <s v="1037 Syzygium cumini"/>
        <s v="1038 Syzygium jambos"/>
        <s v="1039 Syzygium malaccense"/>
        <s v="1040 Syzygium paniculata"/>
        <s v="1041 Syzygium sp"/>
        <s v="1042 Tabebuia billbergii"/>
        <s v="1043 Tabebuia chrysea"/>
        <s v="1044 Tabebuia chrysotricha"/>
        <s v="1045 Tabebuia impetiginosa"/>
        <s v="1046 Tabebuia ochracea"/>
        <s v="1047 Tabebuia pallida"/>
        <s v="1048 Tabebuia rosea"/>
        <s v="1049 Tabebuia sp"/>
        <s v="1050 Tabernaemontana amygdalifolia"/>
        <s v="1051 Tabernaemontana coronaria"/>
        <s v="1052 Tabernaemontana divaricata"/>
        <s v="1053 Tabernaemontana litoralis"/>
        <s v="1054 Tabernaemontana markgrafiana"/>
        <s v="1055 Tabernaemontana sp"/>
        <s v="1056 Tachigali costaricensis"/>
        <s v="1057 Talipariti tiliaceum"/>
        <s v="1058 Talisia cerasina"/>
        <s v="1059 Tamarindus indica"/>
        <s v="1060 Tapirira guianensis"/>
        <s v="1061 Taxodium mucronatum"/>
        <s v="1062 Tecoma capensis"/>
        <s v="1063 Tecoma stans"/>
        <s v="1064 Tectona grandis"/>
        <s v="1065 Terminalia amazonia"/>
        <s v="1067 Terminalia catappa"/>
        <s v="1068 Terminalia chiriquensis"/>
        <s v="1069 Terminalia ivorensis"/>
        <s v="1070 Terminalia mantaly"/>
        <s v="1071 Terminalia oblonga"/>
        <s v="1072 Terminalia superba"/>
        <s v="1073 Tessaria integrifolia"/>
        <s v="1074 Tetrapanax papyrifer"/>
        <s v="1075 Theobroma bicolor"/>
        <s v="1076 Theobroma cacao"/>
        <s v="1077 Theobroma grandiflorum"/>
        <s v="1078 Thespesia populnea"/>
        <s v="1079 Thevetia ahouai"/>
        <s v="1080 Thevetia peruviana"/>
        <s v="1081 Tithonia diversifolia"/>
        <s v="1082 Thrinax parviflora"/>
        <s v="1083 Thunbergia sp"/>
        <s v="1084 Thunbergia erecta"/>
        <s v="1085 Tibouchina gracilis"/>
        <s v="1086 Tibouchina granulosa"/>
        <s v="1087 Tibouchina heteromalla"/>
        <s v="1088 Tibouchina lepidota"/>
        <s v="1089 Tibouchina urvilleana"/>
        <s v="1090 Tilia europaea"/>
        <s v="1091 Toddalia sp"/>
        <s v="1092 Tovomita weddelliana"/>
        <s v="1093 Toxicodendron striatum"/>
        <s v="1094 Trachycarpus fortunei"/>
        <s v="1095 Tradescantia fluminensis"/>
        <s v="1096 Tradescantia pallida"/>
        <s v="1097 Trattinnickia aspera"/>
        <s v="1098 Trema micrantha"/>
        <s v="1099 Trichanthera gigantea"/>
        <s v="1100 Trichilia dregeana"/>
        <s v="1101 Trichilia Havanensis"/>
        <s v="1102 Trichilia hirta"/>
        <s v="1103 Trichilia martiana"/>
        <s v="1104 Trichospermum galeottii"/>
        <s v="1105 Triphasia trifolia"/>
        <s v="1106 Triplaris americana"/>
        <s v="1107 Trithrinax schizophylla"/>
        <s v="1108 Turnera ulmifolia"/>
        <s v="1109 Ulmus parvifolia"/>
        <s v="1110 Urera baccifera"/>
        <s v="1111 Urera caracasana"/>
        <s v="1112 Uribea tamarindoides"/>
        <s v="1113 Vachellia collinsii"/>
        <s v="1114 Vachellia farnesiana"/>
        <s v="1115 Vasconcellea sp"/>
        <s v="1116 Vasivaea podocarpa"/>
        <s v="1117 Vatairea guianensis"/>
        <s v="1118 Palma montgomeryana"/>
        <s v="1119 Verbesina crassiramea"/>
        <s v="1120 Vernonia brasiliana"/>
        <s v="1121 Vernonanthura patens"/>
        <s v="1122 Viburnum cornifolium"/>
        <s v="1123 Viburnum odoratissimum"/>
        <s v="1124 Viburnum sp"/>
        <s v="1125 Virola multiflora"/>
        <s v="1126 Virola sebifera"/>
        <s v="1127 Viscum album"/>
        <s v="1128 Vismia baccifera"/>
        <s v="1129 Vismia guianensis"/>
        <s v="1130 Vitex cymosa"/>
        <s v="1131 Vitex cooperi"/>
        <s v="1132 Vitex parviflora"/>
        <s v="1133 Vitex sp"/>
        <s v="1134 Vochysia sp"/>
        <s v="1135 Washingtonia filifera"/>
        <s v="1136 Washingtonia robusta"/>
        <s v="1137 Weinmannia pubescens"/>
        <s v="1138 Weinmannia tomentosa"/>
        <s v="1139 Welfia regia"/>
        <s v="1140 Wettinia radiata"/>
        <s v="1141 Wettinia sp"/>
        <s v="1142 Wittmackanthus stanleyanus"/>
        <s v="1143 Wodyetia bifurcata"/>
        <s v="1144 Xylopia aromatica"/>
        <s v="1145 Yucca aloifolia"/>
        <s v="1146 Yucca filifera"/>
        <s v="1147 Yucca gigantea"/>
        <s v="1148 Yucca gloriosa"/>
        <s v="1149 Zanthoxylum gentryi"/>
        <s v="1150 Zanthoxylum rhoifolium"/>
        <s v="1151 Ziziphus jujuba"/>
        <s v="1152 Ziziphus mauritiana"/>
        <s v="1153 Zygia longifolia"/>
        <s v="1154 Achyranthes aspera"/>
        <s v="1155 Kleinhovia hospita"/>
        <s v="1156 Lippia alba"/>
        <s v="1157 Galanthus nivalis"/>
        <s v="1158 Mentha spicata"/>
        <s v="1159 Amaranthus paniculatus var. Cruentus (L)"/>
        <s v="1160 Ailanthus altissima"/>
        <s v="1161 Abatia parviflora"/>
        <s v="1162 Annona sp"/>
        <s v="1163 Apocynaceae"/>
        <s v="1164 Asteraceae"/>
        <s v="1165 Baccharis sp"/>
        <s v="1166 Bambusa sp"/>
        <s v="1167 Bejaria aestuans"/>
        <s v="1168 Bocconia frutescens"/>
        <s v="1169 Bougainvillea sp"/>
        <s v="1170 Bougainvillea spectabilis"/>
        <s v="1171 Brugmansia candida"/>
        <s v="1172 Brunellia sp"/>
        <s v="1173 Brunfelsia australis"/>
        <s v="1177 Cassia sp"/>
        <s v="1178 Citrus limon"/>
        <s v="1179 Clethra fagifolia"/>
        <s v="1180 Clusia ducuoides"/>
        <s v="1181 Clusia trochiformis"/>
        <s v="1182 Coffea sp"/>
        <s v="1183 Crotalaria micans"/>
        <s v="1184 Cupressus macrocarpa"/>
        <s v="1185 Cycas sp"/>
        <s v="1186 Daphnopsis caracasana"/>
        <s v="1187 Dombeya cayeuxii"/>
        <s v="1188 Drimys granadensis"/>
        <s v="1189 Erythrina costaricensis"/>
        <s v="1190 Escallonia paniculata"/>
        <s v="1191 Eugenia sp"/>
        <s v="1193 Ficus cyathistipula"/>
        <s v="1194 Malvaceae"/>
        <s v="1195 Myrtaceae"/>
        <s v="1196 Fucraea sp"/>
        <s v="1197 Furcraea andina"/>
        <s v="1198 Geissanthus kalbreyeri"/>
        <s v="1199 Rubiaceae"/>
        <s v="1200 Salicaceae"/>
        <s v="1201 Sapotaceae"/>
        <s v="1202 Solanaceae"/>
        <s v="1203 Verbenaceae"/>
        <s v="1204 Hieronyma antioquensis"/>
        <s v="1205 Ilex danielis"/>
        <s v="1206 Ilex laurina"/>
        <s v="1207 Inga capitata"/>
        <s v="1208 Inga punctata"/>
        <s v="1209 Inga marginata"/>
        <s v="1210 Juniperus sp"/>
        <s v="1211 Juniperus squamata"/>
        <s v="1213 Leucaena sp"/>
        <s v="1214 Magnolia polyhypsophylla"/>
        <s v="1216 Matayba elegans "/>
        <s v="1217 Mauria heterophylla"/>
        <s v="1218 Miconia sp"/>
        <s v="1219 Melissa officinalis"/>
        <s v="1220 Miconia lehmannii "/>
        <s v="1221 Monnina solandrifolia"/>
        <s v="1222 Monnina speciosa"/>
        <s v="1223 Morus alba"/>
        <s v="1224 Myrcianthes leucoxyla"/>
        <s v="1225 Myrcianthes rhopaloides"/>
        <s v="1226 Myrsine sp"/>
        <s v="1228 Nectandra reticulata"/>
        <s v="1229 Nectandra laurel"/>
        <s v="1230 Oreopanax bogotensis"/>
        <s v="1231 Oreopanax incisus"/>
        <s v="1233 Pinus maximinoi"/>
        <s v="1241 Rosmarinus officinalis"/>
        <s v="1234 Pinus sp"/>
        <s v="1242 Roupala monosperma"/>
        <s v="1235 Piptocoma discolor "/>
        <s v="1237 Prunus muris "/>
        <s v="1238 Pyracantha angustifolia"/>
        <s v="1239 Pyracantha sp,"/>
        <s v="1251 Turpinia occidentalis"/>
        <s v="1253 Terminalia sp"/>
        <s v="1254 Tournefortia fuliginosa"/>
        <s v="1255 Tournefortia scabrida"/>
        <s v="1244 Salacia sp"/>
        <s v="1256 Tournefortia sp"/>
        <s v="1257 Vasconcellea pubescens "/>
        <s v="1246 Sapium stylare"/>
        <s v="1259 Verbesina nudipes"/>
        <s v="1248 Saurauia ursina"/>
        <s v="1249 Schefflera sp"/>
        <s v="1261 Viburnum undulatum"/>
        <s v="1262 Vitellaria paradoxa"/>
        <s v="1263 Xylosma spiculifera"/>
        <s v="1264 Phyllostachys aurea"/>
      </sharedItems>
    </cacheField>
    <cacheField name="Nombre común sin #" numFmtId="0">
      <sharedItems>
        <s v="Indeterminado"/>
        <s v="Frijolillo; Rayo; Guacamayo Blanco; Carbonero; Arenillo de Monte Chocho"/>
        <s v="Abarema"/>
        <s v="Hibisco"/>
        <s v="Abutilon"/>
        <s v="Faroolito Japones"/>
        <s v="Dormilón"/>
        <s v="Acacia (Baileyana)"/>
        <s v="Aromo"/>
        <s v="Acacia Roja (Decurrens)"/>
        <s v="Acacia de Desierto; Acacia Farnesiana"/>
        <s v="Acacia Mangium"/>
        <s v="Acacia Japonesa; Acacia Negra"/>
        <s v="Acacia"/>
        <s v="Acalifa Repollo; Carlota"/>
        <s v="Carlota"/>
        <s v="Cola de Zorro"/>
        <s v="Ortiga"/>
        <s v="Vara de Alcalde; Salvia de Monte"/>
        <s v="Guayaba Feijoa"/>
        <s v="Totocal O Limon Macho"/>
        <s v="Güitite; Tabalgue; Tomatoquina"/>
        <s v="Tasaa"/>
        <s v="Cedro Rosado de la India"/>
        <s v="Palma Chonta; Corozo Baboso"/>
        <s v="Coralito; Chocho"/>
        <s v="Chaparro"/>
        <s v="Palma de Manila; Palma de Navidad"/>
        <s v="Aegiceras Corniculatum"/>
        <s v="Pavo; Juan Blanco"/>
        <s v="Contraculebra de Venezuela"/>
        <s v="Loro"/>
        <s v="Tabaquillo; Palo Blanco; Mantequillo; Sapo de Vieja"/>
        <s v="Motua; Chaguar; Maguey"/>
        <s v="Maguey del Dragón"/>
        <s v="Pita; Pitera; Magüey"/>
        <s v="Laurel Feve"/>
        <s v="Palma Corocito; Corozo Rojo; Chascaraiza; Mararay"/>
        <s v="Corozo; Perrero"/>
        <s v="Pisquín; Carbonero"/>
        <s v="Igua"/>
        <s v="Acacia de Constantinopla"/>
        <s v="Carbonero Dormilón; Bayeto"/>
        <s v="Pisquin; Guacamayo"/>
        <s v="Saman"/>
        <s v="Albizia"/>
        <s v="Cafesito"/>
        <s v="Tostado"/>
        <s v="Escobo"/>
        <s v="Escobo; Carcomo; Mazamorro"/>
        <s v="Escobo; Quiebrapatas"/>
        <s v="Reventillo; Algodoncillo; Carcomo"/>
        <s v="Escobo (A otra sp de genero)"/>
        <s v="Tung Asiatico"/>
        <s v="Alfaroa"/>
        <s v="Trompeta; Jalapa Morada"/>
        <s v="Copa de Oro"/>
        <s v="Flor de Mantequilla"/>
        <s v="Cedrillo"/>
        <s v="Aliso"/>
        <s v="Sábila Candelabro Africano"/>
        <s v="Cedron"/>
        <s v="Yínyer; Yinye; Sanjuanico"/>
        <s v="Falso Ocobo; Palo de Sombra"/>
        <s v="Tebrol del Interior; Planta Percal; Alternatera"/>
        <s v="Amherstia"/>
        <s v="Ampeloceras"/>
        <s v="Jicarillo"/>
        <s v="Calabacillo (A otra sp de genero)"/>
        <s v="Calabazo"/>
        <s v="Calabacillo; Totumito (A otra sp de genero)"/>
        <s v="Caracolí"/>
        <s v="Marañón"/>
        <s v="Andira Chigorodensis"/>
        <s v="Borombolo; Congo de Agua"/>
        <s v="Borombolo; Congo de Agua (sp)"/>
        <s v="Comino Crespo (A otra sp de genero)"/>
        <s v="Laurel"/>
        <s v="Laurel Peque?O"/>
        <s v="Comino"/>
        <s v="Laurel Uncibe"/>
        <s v="Comino (sp)"/>
        <s v="Majagua"/>
        <s v="Chirimoyo; Chirimoya; Anón de Monte; Chirimoya de Monte"/>
        <s v="Guanabanilla"/>
        <s v="Guanbana Cimarrona"/>
        <s v="Guanábano"/>
        <s v="Anon de Monte"/>
        <s v="Anon de Monte; Anon Rolinia; Majagua"/>
        <s v="Chirimolla"/>
        <s v="Anon"/>
        <s v="Laran; Cadamba"/>
        <s v="Peine de Mono"/>
        <s v="Peine de Mono (Tibourbou)"/>
        <s v="Cola de Gallo"/>
        <s v="Árbol de Angélica China; Dimorphanthus"/>
        <s v="Araucaria"/>
        <s v="Araucaria; Araucaria Real; Pino de la Isla de Norfolk"/>
        <s v="Palma Alejandra; Reina Alejandra"/>
        <s v="Palma Payanesa"/>
        <s v="Ardisia Arborea"/>
        <s v="Ardisia"/>
        <s v="Ardisia Rio Claro; Ajicito de Diablo; Fresco; Mote"/>
        <s v="Palma de Betel; Nuez de Betel"/>
        <s v="Palmera Bambú"/>
        <s v="Palma Bambu"/>
        <s v="Palma Arenga"/>
        <s v="Artemisia"/>
        <s v="Árbol del Pan"/>
        <s v="Árbol del Pan; Jaca"/>
        <s v="Arbol del Pan"/>
        <s v="Artocarpus"/>
        <s v="Rejalgar; Bencenuco; Niñomuerto; Mataganado"/>
        <s v="Esparraguera"/>
        <s v="Carreto"/>
        <s v="Palma Malibú; Lanceta; Ancharma; Palma Estera; Anchamba"/>
        <s v="Diomate; Gusanero"/>
        <s v="Tortuguita; Nevado"/>
        <s v="Palma Táparo; Palma Almendrón; Almendrón"/>
        <s v="Palma de Vino; Palma de Cuesco; Palma Corozo de Puerco"/>
        <s v="Taparo; Pindoba"/>
        <s v="Laurel Manchado"/>
        <s v="Carambolo; Tamarindo; Carambola"/>
        <s v="Neem; Paraíso de la India"/>
        <s v="Bacaris; Chilca; Carqueja"/>
        <s v="Chilca; Chilco; Chilco Blanco"/>
        <s v="Chilo; Cirro; Ciro"/>
        <s v="Palma Chontaduro"/>
        <s v="Lata Blanca; Chacarrá"/>
        <s v="Bambú; Guadua Amarilla"/>
        <s v="Casco Buey"/>
        <s v="Casco de Vaca; Pata de Vaca; Pata de Buey; Casco de Buey"/>
        <s v="Casco Buey; Casco de Vaca"/>
        <s v="Casco de Vaca"/>
        <s v="Pata de Vaca; Patevaca; Patebuey; Casco de Vaca; Casco de Buey"/>
        <s v="Hernandiacea; Casco de Vaca"/>
        <s v="Casco de Vaca; Árbol Orquídea"/>
        <s v="Palma Pony"/>
        <s v="Begonia Alas de Angel"/>
        <s v="Laurel Negro; Aguacate Cimarrón"/>
        <s v="Coronillo; Guayaba de Mico"/>
        <s v="Bellucia sp"/>
        <s v="Bilia; Cucharo; Cariseco"/>
        <s v="Biscofia; Toog; Cedro de Java"/>
        <s v="Palma Bismarck Plateada"/>
        <s v="Achiote; Achote; Bija"/>
        <s v="Bien Me Sabe; Huevo de Gato"/>
        <s v="Trompeto; Albacarrín; Sarno; Llora Sangre"/>
        <s v="Zanca de Mula; Ortiguillo"/>
        <s v="Zorrumbo; Cola de Gato"/>
        <s v="Boehmeria Virgata"/>
        <s v="Cedro Caqueta; Ceiba Tolua; Algodonero Rojo"/>
        <s v="Borojó"/>
        <s v="Curazao; Veranera"/>
        <s v="Brachylaena sp"/>
        <s v="Chumbera Brasileña"/>
        <s v="Palma Brasiofenix"/>
        <s v="Breonia"/>
        <s v="Nivosa; Carnaval"/>
        <s v="Sande; Ramón; Nogal Maya"/>
        <s v="Morera de Papel"/>
        <s v="Arizá; Palo Cruz"/>
        <s v="Arizá Grandiceps"/>
        <s v="Arizá Blanco"/>
        <s v="Arizá; Florisanto; Clavellino"/>
        <s v="Cruceto; Palo de Cruz"/>
        <s v="Borrachero; Floripondio; Trompeta de Ángel"/>
        <s v="Brugmansia"/>
        <s v="Borrachero; Chiric Sanango; Chacruco; Picudo"/>
        <s v="Francesino"/>
        <s v="Francesina"/>
        <s v="Huele Noche"/>
        <s v="Acabí; Guayabillo; Granadillo"/>
        <s v="Muli; Capacho"/>
        <s v="Olivo Negro; Júcaro de Playa"/>
        <s v="Budelia; Butleya; Arbusto de las Mariposas; Ramillete"/>
        <s v="Guayacán de Bola"/>
        <s v="Guayacán; Guayacán de Bola; Guayacán Caparro"/>
        <s v="Confite; Ciruelo"/>
        <s v="Ciruela de Fraile; Ciruelo Cimarrón; Cereza"/>
        <s v="Carano; Crespín; Palo Santo; Aceitilla"/>
        <s v="Indio Desnudo; Almacigo; Resbala Monos"/>
        <s v="Palosanto; Tatamaco; Bijo"/>
        <s v="Boj; Palma de Boj"/>
        <s v="Nances Y Nanches"/>
        <s v="Noro; Paralejo; Nance"/>
        <s v="Noro; Tacasalejo; Doncella"/>
        <s v="Dividivi; Agallo; Ichí; Nacascalote"/>
        <s v="Ébano"/>
        <s v="Acacia Amarilla; Palo Brasil"/>
        <s v="Clavellino; Flor de Navidad"/>
        <s v="Tara; Guarango"/>
        <s v="Guandúl"/>
        <s v="Carbonero"/>
        <s v="Plumerillo Rosado"/>
        <s v="Bellota; Carbonero Rojo"/>
        <s v="Pavo Real; Carbonero Rojo; Rabo de Conejo; Saman de Jardín; Surinam"/>
        <s v="Carbonero Rojo"/>
        <s v="Callicarpa Macrophylla"/>
        <s v="Calistemon; Eucalipto Ornamental"/>
        <s v="Escobillón Rojo; Calistemo Rojo"/>
        <s v="Callitropsis Glabra"/>
        <s v="Cedro Colorado"/>
        <s v="Aceite María; Aceite"/>
        <s v="María; Santa María; Mamey Falso"/>
        <s v="Aceite"/>
        <s v="Calophyllum Soulattri"/>
        <s v="Guayabo Alazano; Dágame; Canelo"/>
        <s v="Calytranthes sp"/>
        <s v="Camelia"/>
        <s v="Guayaba de Leche"/>
        <s v="Cadmio; Ylang Ylang"/>
        <s v="Naranjillo; Naranjuelo"/>
        <s v="Ají"/>
        <s v="Cedro Guino"/>
        <s v="Papayo"/>
        <s v="Papauelo Silvestre"/>
        <s v="Abarco"/>
        <s v="Espino"/>
        <s v="Palma Iraca; Jipijapa"/>
        <s v="Pacano; Pecán; Nuez Pecana"/>
        <s v="Cagüí; Almendrón"/>
        <s v="Yumbe"/>
        <s v="Inchi; Almendro; Tacay"/>
        <s v="Palma Mariposa; Cola de Pescado"/>
        <s v="Palma Mariposa; Cola de Pescado (Urens)"/>
        <s v="Campanilla"/>
        <s v="Guapanto; Capulín Corona"/>
        <s v="Varablanca; Ondequera"/>
        <s v="Casearia sp"/>
        <s v="Zapote Blanco; Mango Matasano"/>
        <s v="Zapote Blanco; Matasano"/>
        <s v="Lluvia de Oro"/>
        <s v="Cañafístula; Cañandonga"/>
        <s v="Acacia Rosada; Acacia Brasilera"/>
        <s v="Velero"/>
        <s v="Caucho; Hule"/>
        <s v="Casuariana; Pino Australiano; Pino de París; Agoho de Filipinas"/>
        <s v="Crispeta; Catalpa"/>
        <s v="Baobab; Barrigón"/>
        <s v="Volao; Cuipo; Bonga; Güipo"/>
        <s v="Uvitos; Uva de Anís; Zarcillo; Colmillo"/>
        <s v="Uvito; Uvito de Monte"/>
        <s v="Yarumo Negro"/>
        <s v="Yarumo; Guarumo; Yarumo Blanco; Yagrumo"/>
        <s v="Yarumo Blanco"/>
        <s v="Cedro de Tierra Fría; Cedro de Montaña"/>
        <s v="Cedro Rosado; Cedro Americano; Cedro Amargo; Cedro"/>
        <s v="Cedro Macho; Cedro Chino; Cedro Oloroso"/>
        <s v="Cedro"/>
        <s v="Ceiba Bonga; Ceibo"/>
        <s v="Ceiba"/>
        <s v="Ceiba Rosada"/>
        <s v="Celastro"/>
        <s v="Falsa Dulcamara"/>
        <s v="Celastrus sp"/>
        <s v="Falso Cedro"/>
        <s v="Guayacán Jobo; Balaústre"/>
        <s v="Palmas Cicadas"/>
        <s v="Cirio; Vela"/>
        <s v="Cereus sp"/>
        <s v="Cacto Candelabro"/>
        <s v="Palma de Cera"/>
        <s v="Pacó"/>
        <s v="Dama de Noche; Galán de Noche"/>
        <s v="Zorrillo"/>
        <s v="Duraznillo Negro; Cestrum Verde; Palqui (A otra sp de genero)"/>
        <s v="Ciprés de Sawara; Ciprés de Hondo"/>
        <s v="Palma Caña de San Pablo; Caña de Víbora"/>
        <s v="Palma Metálica"/>
        <s v="Palma Molinillo"/>
        <s v="Palma Bambú; Palma de Miami; Camedorea"/>
        <s v="Hoja de Pacaya"/>
        <s v="Pacaya"/>
        <s v="Palma de Hoja Roja"/>
        <s v="Noli"/>
        <s v="Quina"/>
        <s v="Jacaré; Yacarí; Parasiempre"/>
        <s v="Albahaquilla"/>
        <s v="Icaco"/>
        <s v="Cainito"/>
        <s v="Caimito; Caimo Morado"/>
        <s v="Laurel; Aguacatillo"/>
        <s v="Canelo"/>
        <s v="Pendo; Palo Blanco; Casposo"/>
        <s v="Cajeto"/>
        <s v="Cajeto; Palo de Guitarra"/>
        <s v="Quimula; Cascarillo; Gavilán"/>
        <s v="Calamondina; Planta de Naranjo Es Miniatura"/>
        <s v="Naranjo Dulce"/>
        <s v="Limon Tahiti"/>
        <s v="Limon Mandarino"/>
        <s v="Limon Criollo"/>
        <s v="Limon de Coctel;Limón Aspero"/>
        <s v="Pomelo Chino; Toronja; Toronjo; Pomelo; Pamplemusa"/>
        <s v="Toronjo Dedos; Cridro"/>
        <s v="Naranjo Moruno"/>
        <s v="Mandarino Real"/>
        <s v="Citrus sp"/>
        <s v="Naranjo Espinoso; Naranjo Trifoliado"/>
        <s v="Naranjo Agrio; Naranjo Amargo"/>
        <s v="Aji; Sande Mora"/>
        <s v="Sapan"/>
        <s v="Fariñero; Bizcocho; Masano; Fariñoso"/>
        <s v="Durazno de Monte; Oreja de Burro"/>
        <s v="Clavija"/>
        <s v="Cometa"/>
        <s v="Gloria Enramada Sangrante; Corazón Sangrante"/>
        <s v="Clethra sp"/>
        <s v="Clibadium sp"/>
        <s v="Salvia Amarga; Conami; Barbasco"/>
        <s v="Camasay"/>
        <s v="Barbasco; Sombrero"/>
        <s v="Chagualo"/>
        <s v="Flor de Cera"/>
        <s v="Chagualo (A otra sp de genero)"/>
        <s v="Papayuelo"/>
        <s v="Maíz Tostao; Maíz Cocho"/>
        <s v="Kino Americano"/>
        <s v="Uvito de Playa"/>
        <s v="Palma de Plata; Pactá"/>
        <s v="Bototo; Majagua"/>
        <s v="Rosa Amarilla"/>
        <s v="Palma de Coco; Cocotero"/>
        <s v="Croto"/>
        <s v="Cafeto"/>
        <s v="Carbonero Zorro; Dormilón"/>
        <s v="Coleus spp"/>
        <s v="Mabí; Abejuelo"/>
        <s v="Soto"/>
        <s v="Azuceno; Cascarillo; Quino Blanco"/>
        <s v="Mangle Botoncillo"/>
        <s v="Canime; Aceite; Copaiba; Copayero"/>
        <s v="Canines"/>
        <s v="Nogal Cafetero"/>
        <s v="Guayaibí; Guayaibí Blanco"/>
        <s v="Palo Noble; Uvito"/>
        <s v="Moncoro"/>
        <s v="Carambolí; Sanjoaquín; Nomeolvides; Gomo"/>
        <s v="Nogal (A otra sp de genero)"/>
        <s v="Árbol de Queroseno"/>
        <s v="Palma de Torbay"/>
        <s v="Carey; Palma de Cementerio; Flor de Difunto"/>
        <s v="Drácena Roja"/>
        <s v="Sansá; Matarratones"/>
        <s v="Lengua de Vaca; Ahumapescado"/>
        <s v="Eucalipto Pomarroso"/>
        <s v="Jengibre Espiral"/>
        <s v="Griñolera Lechosa"/>
        <s v="Holly; Cotonister"/>
        <s v="Cabuyo; Cachimbo; Coco Cabuyo; Congolo"/>
        <s v="Bala de Cañón; Cocuelo; Ayahuma"/>
        <s v="Acerolo; Acerola"/>
        <s v="Cachimonda; Naranjuelo; Manzana de Playa"/>
        <s v="Totumo; Mate"/>
        <s v="Drago"/>
        <s v="Gallinazo; Croton"/>
        <s v="Sangre de Drago"/>
        <s v="Palma Escoba; Barbasco"/>
        <s v="Cedro Japonés; Sugi"/>
        <s v="Aliso Rojo Africano"/>
        <s v="Mestizo; Guacamayo"/>
        <s v="Mestizo; Gaucharaco"/>
        <s v="Pino Azul"/>
        <s v="Pino Ciprés; Cedro Blanco"/>
        <s v="Pino Vela"/>
        <s v="Chaparro; Peralejo; Paralejo Macho; Chaparro Bobo"/>
        <s v="Helecho Arboreo; Helecho Sarro; Sarro"/>
        <s v="Helecho Arboreo"/>
        <s v="Cyca sp"/>
        <s v="Cica; Palma Helecho; Cica de Hoja Larga"/>
        <s v="Palma de Segú; Palma Funebre"/>
        <s v="Palma Cyca"/>
        <s v="Helecho Arbóreo; Sarro; Helecho Macho; Helecho Arborecente"/>
        <s v="Papiro Sombrilla"/>
        <s v="Papiro"/>
        <s v="Tamarillo; Tomate de Palo"/>
        <s v="Palma Roja"/>
        <s v="Dalia"/>
        <s v="Acacia Roja; Flamboyán"/>
        <s v="Teterete; Navajuelo"/>
        <s v="Guayacan de Tierra Fria; Navajuelo"/>
        <s v="Gimpi Gimpi O Yimpi Yimpi"/>
        <s v="Zapotillo"/>
        <s v="Tamarindo de Monte"/>
        <s v="Sangria; Singamochila"/>
        <s v="Macana; Barrigona Blanca; Mapora"/>
        <s v="Loro; Iguano"/>
        <s v="Ojo de Dragón"/>
        <s v="Siete Sabores"/>
        <s v="Marfil"/>
        <s v="Zapote Negro; Zapote Prieto; Ébano; Guayabota"/>
        <s v="Limpiadientes; Diospiro; Juandedios; Limocillo; Granadillo"/>
        <s v="Zapote Negro; Limpia Dientes"/>
        <s v="Zapote Negro"/>
        <s v="Choibá; Palo de Piedra"/>
        <s v="Hayuelo"/>
        <s v="Árbol de las Hortensias"/>
        <s v="Drago de Madagasca; Carey; Banderilla"/>
        <s v="Dracena; Cana de Maiz"/>
        <s v="Bambú de la Suerte"/>
        <s v="Árbol Dragon"/>
        <s v="Cinta Variegada"/>
        <s v="Árbol de la Felicidad"/>
        <s v="Dracaena (Reflexa); Canción de la India"/>
        <s v="Palma de Carey; Drácena Roja"/>
        <s v="Palo de Brasil"/>
        <s v="Tronco del Brasil"/>
        <s v="Duranta"/>
        <s v="Palma Triangular"/>
        <s v="Palma Areca; Palma de Frutos de Oro"/>
        <s v="Palma de Madagascar"/>
        <s v="Caoba de Marfil"/>
        <s v="Dysoxylum Macranthum"/>
        <s v="Palma Africana; Palma de Aceite"/>
        <s v="Corozo; Nolí; Corozo de Manteca; Coroza"/>
        <s v="Cerezo Azul; Higo; Marmol Azul"/>
        <s v="Laurel Indio Viejo"/>
        <s v="Piñón de Oreja; Orejero; Piñón"/>
        <s v="Nazareno"/>
        <s v="Níspero del Japón"/>
        <s v="Cresta de Gallo"/>
        <s v="Chachafruto; Poroto; Balu"/>
        <s v="Búcaro"/>
        <s v="Cámbulo; Cachimbo; Barbatuco"/>
        <s v="Chocho; Siriguay"/>
        <s v="Erythrina sp"/>
        <s v="Árbol Coral"/>
        <s v="Búcaro Variegado; Colorin"/>
        <s v="Coca"/>
        <s v="Loqueto; Mangle"/>
        <s v="Olleto; Catelisoto; Olla de Mono"/>
        <s v="Fono; Carguero de Boa; Palo de Lombriz; Popay"/>
        <s v="Cargadero Blanco; Coco Blanco"/>
        <s v="Castaño; Catelisoto"/>
        <s v="Escobedia sp"/>
        <s v="Eucalipto"/>
        <s v="Eucalipto Plateado; Ocalita"/>
        <s v="Eucalipto Arcoíris; Eucalipti Guayabo"/>
        <s v="Eucalypto Rosado; Eucalipto"/>
        <s v="Eucalipto Rojo"/>
        <s v="Eucalipto Robusto"/>
        <s v="Grosello; Grosella; Grosellero; Cereza; Ciruela; Arrayán"/>
        <s v="Arrayán; Arrayán Limón"/>
        <s v="Flor Azul; Payo; Guayabillo"/>
        <s v="Cereza de Río Grande; Cerella ;Cerejeira"/>
        <s v="Eugenio"/>
        <s v="Arazá; Guayaba Brasileña; Arrayán"/>
        <s v="Pitanga; Grosella; Mirto; Cereza de Cayena; Uvo"/>
        <s v="Huso de la Fortuna"/>
        <s v="El Huso Japonés; El Bonetero; El Evónimo"/>
        <s v="Liberal; Lechero; Manzanillo; Caucho; Yuco"/>
        <s v="Euphorbia Grantii"/>
        <s v="Lechero; Lechero Espinoso; Carató"/>
        <s v="Navidad; Sombrilla; Olayaherrera; Paragua; Carnaval"/>
        <s v="Letra China; Quebradura; Cactus; Coralito"/>
        <s v="Lechero; Cactus"/>
        <s v="Lechero Africano; Lechero Verde"/>
        <s v="Naidi; Murrapo; Asaí de Pará; Manaca Brasilera; Tapafrío"/>
        <s v="Palmicho; Palma Asaí; Asaí; Manaca; Palmito; Palmiche"/>
        <s v="Feijoa; Guayaba Feijoa; Guayabo"/>
        <s v="Caucho Sabanero; Caucho; Lechero; Higuerón; Matapalo"/>
        <s v="Laurel; Falso Laurel; Ficus Variegata"/>
        <s v="Higueron"/>
        <s v="Higuera"/>
        <s v="Brevo; Breva; Higo; Higuera; Caucho de la India"/>
        <s v="Mata Palo"/>
        <s v="Caucho Matapalo; Matapalo; Suan; Abrazapalo; Higuerón; Caucho"/>
        <s v="Higuerón Guayabo; Higuerón; Breva de Monte"/>
        <s v="Caucho; Caucho de la India; Falso Caucho; Lechón"/>
        <s v="Caucho; Cauchito; Caucho Higuerón; Caucho Rosado; Lechero"/>
        <s v="Higo"/>
        <s v="Higuerón; Matapalo; Ojé; Copé; Caucho Glabrata; Caucho Incipida"/>
        <s v="Caucho; Higuero; Lechero"/>
        <s v="Lechero; Matapalo Guayanés"/>
        <s v="Pandurata; Caucho Lira; Lirata; Ficus Lira"/>
        <s v="Caucho Microcarpa; Caucho; Matapalo"/>
        <s v="Amate; Higuerón; Caucho; Matapalo; Herrerún; Lechero"/>
        <s v="Matapalo; Caucho; Lechudo; Caucho Común"/>
        <s v="Caucho de la India; Ficus; Caucho Acorazonado"/>
        <s v="Pivijay; Caucho"/>
        <s v="Mata Palos; Higuerón; Lechudo"/>
        <s v="Caucho"/>
        <s v="Caucho Tequendama; Caucho"/>
        <s v="Higuerón; Caucho; Higuerón Grande; Caucho Tonduzii"/>
        <s v="Ficus Variegado"/>
        <s v="Cerezo del Gobernador; Ciruela del Gobernador; Ciruelo del Gobernador; Uva Lisa"/>
        <s v="Frángula; Avellanillo; Hediondo; Alno Baccífero; Sangueño; Abiacán"/>
        <s v="Ojo de Perdiz; Palo Amarillo; Cabo de Hacha"/>
        <s v="Cabo de Hacha"/>
        <s v="Fresno Rojo; Fresno Blanco; Fresno Americano"/>
        <s v="Urapan; Fresno"/>
        <s v="Fucsia"/>
        <s v="Luvia de Oro; Flor Amarillo"/>
        <s v="Madroño; Madroña; Madruño"/>
        <s v="Mangostino"/>
        <s v="Madroño"/>
        <s v="Gardenia; Malabar; Jazmín del Cabo; Jazmín"/>
        <s v="Jagua; Caruto; Huito; Jaguo; Jigua"/>
        <s v="Silvadero"/>
        <s v="Ebano Falso; Ébano Ornamental; Silbadero"/>
        <s v="Cortadera"/>
        <s v="Palmicha; Palma Macuma"/>
        <s v="Mata Ratón"/>
        <s v="Melina; Gumhar"/>
        <s v="Algodon; Algodonero"/>
        <s v="Algodon"/>
        <s v="Planta de Caricatura"/>
        <s v="Grevileo de Jardín"/>
        <s v="Roble Australiano; Árbol de Seda; Rabo de Pavo; Grevilia; Roble de Australia"/>
        <s v="Guadua"/>
        <s v="Guayacán Azul; Guayacán; Guayaco; Florazul; Palosanto"/>
        <s v="Guayacan Azul"/>
        <s v="Trompillo; Cedrillo; Cedro Macho; Mestizo; Cartagüeño"/>
        <s v="Cargadero"/>
        <s v="Guácimo"/>
        <s v="Mula Muerta; Membrillo; Almanegra"/>
        <s v="Mula Muerta; Coco Hediondo"/>
        <s v="Membrillo; Cocuelo Blanco; Chupo; Chupa"/>
        <s v="Pacó; Membrillo; Chupo"/>
        <s v="Coralillo; Bencenuco; Hamelia"/>
        <s v="Algodoncillo"/>
        <s v="Guayacán Amarillo; Cañaguate; Guayacán; Chicalá; Polvillo"/>
        <s v="Guayacán Peludo; Guayacán"/>
        <s v="Polvillo; Chicalá; Floramarillo; Guayacán Polvillo; Guayacán; Guayacán Dorado"/>
        <s v="Chicalá; Floramarilla; Floramarillo; Curarire; Guayacán; Guayacán Polvillo"/>
        <s v="Harpulia"/>
        <s v="Pechuga de Gallina; Hueso; Huesito; Coronillo"/>
        <s v="Pestaña de Mula; Balso Blanco; Palo Bobo"/>
        <s v="Schefflera; Cheflera; Pategallina Hojigrande"/>
        <s v="Cheflera Variegada; Cheflera Enana"/>
        <s v="Cacaito"/>
        <s v="Caucho de Pará; Caucho; Hule; Caucho Amazónico"/>
        <s v="Roselle; Jamaica"/>
        <s v="Cayena Doble Flor"/>
        <s v="Rosa de Mayo; Algodón Rosa; Algodón; Cayeno; Malva"/>
        <s v="San Joaquín; Cayeno; Sanjoaquín; Resucitado"/>
        <s v="Planta de Jamaica"/>
        <s v="San Joaquín Rojo; Cardenal; Rosa China; Canastilla; Farolito; Rojo Chiroso; Rosito de Canasta"/>
        <s v="San Joaquin"/>
        <s v="San Joaquin Morado; Resucitado"/>
        <s v="Candelo; Palo Curtidor"/>
        <s v="Plumel; Árbol de la Vida"/>
        <s v="Himatanthus sp"/>
        <s v="Hoheria Sexstylosa"/>
        <s v="Sombrilla China"/>
        <s v="Palma de Kentia"/>
        <s v="Carrá; Naguare; Volador"/>
        <s v="Ceiba Bruja; Ceiba Amarilla; Tronador; Ceiba de Leche; Ceiba de Agua"/>
        <s v="Algarrobo; Algarrobillo; Ámbar; Copal; Courbail"/>
        <s v="Algarrobillo; Algarrobo; Coca de Mico"/>
        <s v="Palma Botella; Palma Botella Enana; Palma Botella Mascarena"/>
        <s v="Palma Huso; Palma de Cemento"/>
        <s v="Cardenillo"/>
        <s v="Añil"/>
        <s v="Guamo Churimo; Guamo; Guamo Machete"/>
        <s v="Guamo; Guamo Churimo; Carbonero; Guamo Caliente; Churimo"/>
        <s v="Guama"/>
        <s v="Guamo Santafereño"/>
        <s v="Guamo Macheto; Guamo; Guamo Machete"/>
        <s v="Guamo Rabodemico; Guamo; Algarroba; Algarrobillo; Ámbar; Copal"/>
        <s v="Guamo Macheto; Guamo Copero; Churimba; Guamo Machete"/>
        <s v="Inga; Guama"/>
        <s v="Guamba; Guama del Orinoco"/>
        <s v="Amapola Rosa"/>
        <s v="Zancona; Palmito Dulce"/>
        <s v="Coralillo; Tabaquillo; Guacharaco; Flor de Mayo"/>
        <s v="Coral; Coralito; Coral de la India; Coral Rojo"/>
        <s v="Ixora"/>
        <s v="Cruz de Malta; Coralillo; Santa Rita; Rangan; Kheme; Ponna"/>
        <s v="Gualanday; Chingalé; Flormorado"/>
        <s v="Chingalé; Pavito; Gualanday; Vainillo; Gualancho"/>
        <s v="Gualanday Nativo; Chingalé; Gualanday"/>
        <s v="Jacaranda; Gualanday"/>
        <s v="Gualanday; Flormorado; Gualanday Caliente; Jacaranda; Palisandro"/>
        <s v="Jazmín; Jazmín de Estrella"/>
        <s v="Jazmín Estrella; Jazmin Alas de Ángel"/>
        <s v="Jazmin"/>
        <s v="Piñon de Purga; Piñón; Coquillo; Frailecillo; Piñón de la India; Miñon"/>
        <s v="Jaquillo; Brailejón; Carretillo; Frailecillo"/>
        <s v="Peregrina; Flor Roja; Peregrina; Fuscia"/>
        <s v="Planta Coral; Tártago; Avellano Purgante; Cabalongo"/>
        <s v="Yuco; Yuca; Corales; Novio; Patihinchado"/>
        <s v="Nogal; Cedro Nogal; Cedro Negro"/>
        <s v="Nogal Americano"/>
        <s v="Cedro Negro; Nogal del Castillo"/>
        <s v="Enebro Común"/>
        <s v="Juniperus Conferta"/>
        <s v="Enebro de Virginia"/>
        <s v="Justicia Adhatoda"/>
        <s v="Tango; Justicia"/>
        <s v="Sanguinaria; Singamochila; Yerba de la Sangre; Árnica; Sangre de Cristo; Cascajera"/>
        <s v="Sanguinaria"/>
        <s v="Árbol de las Salchichas"/>
        <s v="Jabonero de la China"/>
        <s v="Jabonero de la China; Arbol de Los Farolillos; Sombrilla Japones"/>
        <s v="Lluvia de Oro; Falso Ébano"/>
        <s v="Palma de Atherton"/>
        <s v="Huesito; Café de Monte; Cafecillo; Coral; Coralito; Laurel Rosado"/>
        <s v="Leche Miel; Lechemiel; Palo Espino; Chicle; Chicle Con Espinas; Chicle Espinoso"/>
        <s v="Dorado; Manteco; Lagunero"/>
        <s v="Guayacán de Manizales; Mirto; Guayabo Manizaleño"/>
        <s v="Guayacán de Manizales; Guayacán del Cauca; Arrayán Escobo; Pelincú"/>
        <s v="Guayacan"/>
        <s v="Guayacan; Arrayan de Manizales"/>
        <s v="Júpiter; Astromelio; Júpiter; Astromelia; Gólgota"/>
        <s v="Flor de la Reina; Reina de las Flores; Astromelia; Embrujo de la India; Orgullo de la India"/>
        <s v="Cinco Negritos"/>
        <s v="Lantana Viburnoides"/>
        <s v="Camará; Lantana; Bandera Española; Cinco Negritos"/>
        <s v="Palma Latania"/>
        <s v="Latania Roja"/>
        <s v="Laurel; Laurel Real; Canlón; Laurel Europeo"/>
        <s v="Carrapo; la Costilla Danto"/>
        <s v="Olletico; Olla de Mono; Olleto; Cocuelo; Coquillo"/>
        <s v="Olla de Mono; Olleto; Olleta de Mono"/>
        <s v="Coccinea; Talyantan"/>
        <s v="Acebo Hawaiano Rojo"/>
        <s v="Leptospermum; Arbol de Te"/>
        <s v="Guaje"/>
        <s v="Leucaena; Acacia Blanca; Panelo; Carbonero Blanco; Acacia Forrajera"/>
        <s v="Leucothoe Fontanesiana"/>
        <s v="Licania"/>
        <s v="Oití; Árbol de Cúcuta; Aití"/>
        <s v="Laurel; Canelo; Tuabe Canelo; Jigua Canelo; Laurel; Laurel de Bola"/>
        <s v="Palma Totuma; Licuala; Palma Licuala"/>
        <s v="Licuala de Manglar"/>
        <s v="Aligustre; Alheña; Ligustro Común; Ligustro Europeo"/>
        <s v="Jazmín de la China; Paraseto"/>
        <s v="Ligustro"/>
        <s v="Paraseto; Aligustrina; Ligustrina; Ligustrín; Aligustre"/>
        <s v="Paraseto"/>
        <s v="Ligustrum"/>
        <s v="Alcornoque; Liquidambar; Estoraque"/>
        <s v="Mamoncillo Chino; Lychee; Lich"/>
        <s v="Litsea Monopetala"/>
        <s v="Palma Abanico de la China"/>
        <s v="Palma Abanico (Drudei)"/>
        <s v="Palma Abanico (Rotundifolia)"/>
        <s v="Barbasco; Matapez; Baurá; Palo de José"/>
        <s v="Fresno"/>
        <s v="Clavo de Laguna; Clavito; Clavo; Clavo Amarillo; Yerba de Rejo"/>
        <s v="Guácimo Colorado; Malagano"/>
        <s v="Palma Coquito"/>
        <s v="Macadamia"/>
        <s v="Pico de Loro; Capote; Sietecueros; Carbón; Chucunda"/>
        <s v="Machetico"/>
        <s v="Ají Mora; Rabito de Mora; Dindé"/>
        <s v="Tabaquillo"/>
        <s v="Guamillo; Encenillo; Cuero de Marrano"/>
        <s v="Magnolia; Magnolio; Magnolia Blanca"/>
        <s v="Molinillo; Copachí; Guanábano de Monte"/>
        <s v="Magnolio (Silvioi)"/>
        <s v="Guanábano de Monte; Guanabanillo; Guanabanadillo; Fruta de Molinillo"/>
        <s v="Arbolito de Navidad; Holly Brillante; Joli"/>
        <s v="Huesito; Arrayan Cerezo; Cerezo de Monte; Acerola"/>
        <s v="Ciruelo Rojo; Cereza de Barbados; Cerezo Montañero"/>
        <s v="Manzana; Manzano"/>
        <s v="Falso Hibiscus; Altea"/>
        <s v="Campanita Roja; San Joaquín"/>
        <s v="Mamey"/>
        <s v="Mango; Mango de Azúcar"/>
        <s v="Yuca"/>
        <s v="Caimo Rojo"/>
        <s v="Níspero"/>
        <s v="Ojo de Paloma; Ojo de Palomo; Perlito"/>
        <s v="Trestablas"/>
        <s v="Zapote; Sapote; Chupa Chupa; Chupachupa"/>
        <s v="Matisia Obliquifolia"/>
        <s v="Sarno; Manzanillo; Caspi; Birringo (A otra sp de genero)"/>
        <s v="Maytenus Segoviarum"/>
        <s v="Camarón Rojo; Manto Rojo; Capote Brasilero"/>
        <s v="Corcho; Calistemo Blanco"/>
        <s v="Melastoma Malabathricum"/>
        <s v="Paraíso; Jazmín; Árbol del Paraíso; Alelí"/>
        <s v="Mamoncillo; Mamón"/>
        <s v="Cotoprís; Mamón"/>
        <s v="Cotoprix; Mamoncillo de Monte"/>
        <s v="Meliosma Occidentalis"/>
        <s v="Meliosma; Baboso; Babillo; Calabazo"/>
        <s v="Amarrabollo; Amarraboyo"/>
        <s v="Laurel Amarillo"/>
        <s v="Zafiro; Migüito"/>
        <s v="Miconia; Mortiño; Cenizo"/>
        <s v="Miconia; Capulincillo"/>
        <s v="Hoja de Lanza; Punta Lanza"/>
        <s v="Cuatrofilos; Tuno"/>
        <s v="Tuno; Mortiño Negro; Macanillo"/>
        <s v="Miconia; Nigüito; Mortiño"/>
        <s v="Miconia; Pajarito"/>
        <s v="Miconia Ligustroides"/>
        <s v="Nigüito (Minutiflora); Tuno; Mortiño"/>
        <s v="Nigüito"/>
        <s v="Niguito; Teñidor"/>
        <s v="Mortiño Blanco; Florentino; Mortiño; Huesito"/>
        <s v="Niguito; Tuno Negro"/>
        <s v="Tabaida; Tuno Rosado; Mortiño"/>
        <s v="Amaillo; Cántaro; Mortiño"/>
        <s v="Bejuco de Criatura; Guaquito; Cernilla"/>
        <s v="Haba de la India; Pogam"/>
        <s v="Zarzón; Dormidera; Vergonzosa; Zarza Prieta"/>
        <s v="Mimosa; Dormidera"/>
        <s v="Punta de Candado; Punte; Oquendo; Melcocho"/>
        <s v="Arboloco; Pauche"/>
        <s v="Olivo de Cera; Laurel de Cera; Aromo; Laurel"/>
        <s v="Noni; Piñuela"/>
        <s v="Moringa"/>
        <s v="Morisonia Oblongifolia"/>
        <s v="Moral Negro; Morera Negra"/>
        <s v="Morera Blanca"/>
        <s v="Chitató; Capulín; Chitato; Nigua"/>
        <s v="Bergera Koenigii"/>
        <s v="Azahar de la India; Jazmín"/>
        <s v="Musaenda Roja; Musaenda; Musaendo; Musaendra"/>
        <s v="Musaenda; Musaendra"/>
        <s v="Mussaenda sp"/>
        <s v="Guamo Peludo"/>
        <s v="Arrayán; Árbol de Cera"/>
        <s v="Guayabillo"/>
        <s v="Arrayán de Hoja Grande; Arrayán"/>
        <s v="Arrayán Blanco; Arrayán Negro; Guayabo de Castilla"/>
        <s v="Jaboticaba; Guayabo Jaboticaba"/>
        <s v="Bálsamo; Bálsamo de Tolú"/>
        <s v="Espadero; Cucharo; Cucharo Blanco"/>
        <s v="Espadero; Chagualo; Cucharo"/>
        <s v="Amarillo; Laurel (Acutifolia); Laurel Jigua"/>
        <s v="Laurel; Palialte"/>
        <s v="Rambután"/>
        <s v="Habano; Adelfa; Azuceno"/>
        <s v="Contragavilana; Gavilana"/>
        <s v="Palmera Negra; Normambia"/>
        <s v="Mickey Mouse"/>
        <s v="Árbol Mickey Mouse"/>
        <s v="Balso; Palo de Balsa"/>
        <s v="Laurel Tunoso; Laurel Ojo de Mula; Jigua Laurel"/>
        <s v="Laurel; Jigua Amarillo"/>
        <s v="Laurel Mono; Laurel Pajita; Laurel; Laurel Tabaidá"/>
        <s v="Laurel Blanco"/>
        <s v="Laurel; Matatigre; Tigrito; Laurel Guacharaco"/>
        <s v="Laurel Yema de Huevo"/>
        <s v="Laurel de Bola"/>
        <s v="Palma Mil Pesos; Milpesos; Chapil"/>
        <s v="Nopal; Chumbo; Tuna"/>
        <s v="Blanco"/>
        <s v="Mano de Oso"/>
        <s v="Chocho; Alcornoque; Frijolillo de la Suerte"/>
        <s v="Chocho"/>
        <s v="Otobo; Cuangare; Sangregallino; Soto Sangre"/>
        <s v="Ozoroa sphaerocarpa"/>
        <s v="Ceibo de Agua; Castaño de Agua; Cacao de Monte"/>
        <s v="Castaño (Insignis); Castaño Silvestre; Cacao Ornamental; Zapotolongo"/>
        <s v="Tolúa; Ceiba Tolúa"/>
        <s v="Nuez del Brasil"/>
        <s v="Castaño; Cacao de Monte"/>
        <s v="Guardia de Cardenal"/>
        <s v="Camaron Amarillo"/>
        <s v="Aguadulce; Cafeto de Monte; Café de Montaña; Café de Monte"/>
        <s v="Cagalera; Flor de Mayo; Corpus"/>
        <s v="Flor de Mayo"/>
        <s v="Lato"/>
        <s v="Pandanus"/>
        <s v="Palma de Tornillo; Pandano"/>
        <s v="Acacia; Acacia Bracatinga; Acacia Negra; Acacia Baracatinga"/>
        <s v="Cachiporro; Navidad"/>
        <s v="Parkia"/>
        <s v="Espino de Jerusalén; Palo Verde; Retama; Sauce Guajiro"/>
        <s v="Curubo de Árbol; Granadilla de Árbol"/>
        <s v="Paulownia"/>
        <s v="Caguingo"/>
        <s v="Escobilla; Cadillo"/>
        <s v="Nazareno; Tananeo; Mochilero; Algarrobito"/>
        <s v="Acacia Ferruginea; Acacia"/>
        <s v="Dormilón; Capitancillo"/>
        <s v="Árbol Murciélago; Tapaculo"/>
        <s v="Quiebra Hacha; Carnegallina; Negrito; Cucharo"/>
        <s v="Varasanta; Palodiablo; Paparua"/>
        <s v="Bleo; Chupamelón; Bledochupa; Bleo de Chupa"/>
        <s v="Aguacate"/>
        <s v="Aguacatillo"/>
        <s v="Laurel Orquideas"/>
        <s v="Tastacame"/>
        <s v="Copa Blanca; Capá"/>
        <s v="Anamú; Chimú"/>
        <s v="Estrella de Oriente; Chaparrito; Chaparrillo; Chaparro"/>
        <s v="Flor Azúl; Azulito; Carrasposo; Chaparrillo"/>
        <s v="Plumon; Jazmín Azul; Chaparrito"/>
        <s v="Mano de Tigre; Güembé"/>
        <s v="Palma Datil de las Canarias; Palma Fénix; Datilera de las Canarias; Palma de Canarias"/>
        <s v="Dátil; Palma de Dátil; Palma Datilera; Datilera"/>
        <s v="Palma Datilera del Senegal; Palma Fénix"/>
        <s v="Palma Robeleni"/>
        <s v="Ditalera Plateada"/>
        <s v="Photinia; Fotinia"/>
        <s v="Grosello; Phyllantus"/>
        <s v="Grosello (Acuminatus); Barbasco; Barbasquillo; Chirrinche"/>
        <s v="Physocarpus Opulifolius"/>
        <s v="Tagua; Palmera de Marfil; Marfil Vegetal"/>
        <s v="Tagua"/>
        <s v="Ombú; Yerba de Culebra; Guaba; Árbol de la Bella Sombra"/>
        <s v="Pimienta de Olor; Pimienta Dulce; Pimiento"/>
        <s v="Aceituno; Malagueto"/>
        <s v="Pino Caribe; Pino Caribeño; Pino; Pino Caribea"/>
        <s v="Ocote Chino; Pino; Pino Ocarpa"/>
        <s v="Pino Pátula; Pino; Pino Espátula"/>
        <s v="Cordoncillo; Matico; Hierba del Soldado"/>
        <s v="Cordoncillo; Santamaría de Anís; Anisillo; Santamaría"/>
        <s v="Cordoncillo"/>
        <s v="Uña de Perro; Uña de Gato; Aruñagato"/>
        <s v="Chiminango; Payandé"/>
        <s v="Espino de Mono; Chiminango Rojo; Punta de Mono; Payandé"/>
        <s v="Pittosporum sp"/>
        <s v="Pítosporo de Hoja Fina"/>
        <s v="Galán de Noche; Huesito; Jazmín del Cabo"/>
        <s v="Tuya; Pino Libro; Pino Tuya"/>
        <s v="Trebol; Salero"/>
        <s v="Guayacán Trébol"/>
        <s v="Lomo de Caimán; Matarratón Extranjero; Cajón"/>
        <s v="Falsa Aralia; Aralia Araña"/>
        <s v="Pleuropetalum sp"/>
        <s v="Pleuropetalum sprucei"/>
        <s v="Laurel Jabon"/>
        <s v="Azulina; Bellaemilia; Floroazul"/>
        <s v="Alcamancayo; Amancayo; Azuceno; Blanco"/>
        <s v="Frangipani Blanco; Amancayo Amarillo"/>
        <s v="Florón; Floral; Azuceno; Plumeria"/>
        <s v="Flor de Mayo; Amancayo Rosado; Frangipán; Azuceno"/>
        <s v="Plumeria"/>
        <s v="Cipresillo; Pinotea; Chaquiro Dulce"/>
        <s v="Kusamaki O Inumaki"/>
        <s v="Chaquiro; Pino Colombiano (Oleifolius)"/>
        <s v="Pino Colombiano"/>
        <s v="Llovizno"/>
        <s v="Chorcha de Gallo; Quina; Chibigui; Madroño"/>
        <s v="Péndulo"/>
        <s v="Sereno; Millonaria"/>
        <s v="Millonaria (Fructicosa); Elegantísima"/>
        <s v="Millón; Pestañaevieja; Millonario Blanco; Geranio"/>
        <s v="Polyscias Paniculata"/>
        <s v="Crispa; Millonaria; Millonario; Millón"/>
        <s v="Millonaria"/>
        <s v="Haba de la India"/>
        <s v="Chopo"/>
        <s v="Azuceno de Monte; Jazmin Naranjo"/>
        <s v="Uva Caimarona; Caimarón"/>
        <s v="Uva Caimarona"/>
        <s v="Mediacara; Lechero de Plomo"/>
        <s v="Caimito de Monte; Zapote Amarillo"/>
        <s v="Caimo Peludo; Caimito; Caimo"/>
        <s v="Caimitillo; Níspero de Monte; Sapotillo"/>
        <s v="Níspero; Caimo Cafe; Caimo Negro"/>
        <s v="Caimo Cerezo; Zapotillo"/>
        <s v="Caimito; Ojo de Venado"/>
        <s v="Zapote de Carne; Zapote Costeño"/>
        <s v="Caimo Peludo; Guaimaro; Sapotillo"/>
        <s v="Palmicho; Palmito"/>
        <s v="Cola de Pescado"/>
        <s v="Cativo; Trementino"/>
        <s v="Palma Abanico de Fiji; Palma Pritchardia"/>
        <s v="Trupillo; Cuji; Algarrobo; Tropillo"/>
        <s v="Ánime; Ánime Rojo; Breo; Laurel Perico"/>
        <s v="Durazno; Melocotón"/>
        <s v="Cerezo; Cereza; Capulí"/>
        <s v="Truco"/>
        <s v="Pseuderanthemum Maculatum"/>
        <s v="Ceiba Verde; Majagua; Bonga"/>
        <s v="Cedro Amarillo; Iguá; Iguamarillo"/>
        <s v="Guayabo Peruano; Guayabo de Monte; Guayabo Agrio"/>
        <s v="Guayaba Coronilla; Guayaba Agria; Guayabo de Castilla"/>
        <s v="Guayabo; Guayaba; Guayaba Común; Guayaba Manzana"/>
        <s v="Guayabo Agrio; Guayaba Agria; Guayabito Agrio"/>
        <s v="Guayabo de Monte"/>
        <s v="Psychotria Nervosa"/>
        <s v="Sangre de Gallo; Drago; Ojo de Venado; Sangregado"/>
        <s v="Palo de Arco"/>
        <s v="Barbasco"/>
        <s v="Palma Solitaria; Ticosperma"/>
        <s v="Palma Mcarthur; Macarthur"/>
        <s v="Pueraria"/>
        <s v="Granada; Granado"/>
        <s v="Mortiño; Holly Espinoso; Piracanta"/>
        <s v="Olivo Santo; Olivo; Olivo Hembra; Naranjuelo; Naranjillo"/>
        <s v="Canela; Canelilla; Flor de Cacao; Madre Cacao; Madre de Cacao; Molinillo; Palo Copado; Palo de Canela; Palo de Molinillo; Rosa de Cacao"/>
        <s v="Roble de Tierra Fría; Roble"/>
        <s v="Quercus"/>
        <s v="Quillay"/>
        <s v="Palma del Viajero"/>
        <s v="Palma Majestad"/>
        <s v="Pino Colombiano; Chaquiro; Pino de Montaña; Pino Romerón"/>
        <s v="Palma Rafis; Palmerita China"/>
        <s v="Azalea; Biflora; Miflora"/>
        <s v="Laurel; Jigua Baboso; Jigua Laurel; Jigua Negro; Jigua Pava; Aguacatillo Gigante"/>
        <s v="Rhopalostylis Sapida"/>
        <s v="Rhus Glabra"/>
        <s v="Rhus Virens"/>
        <s v="Higuerilla; Higuerillo; Higuereta; Higuereto; Higuerillo Blanco"/>
        <s v="Anón; Anón de Monte; Anón Cimarón; Majagua"/>
        <s v="Rosa"/>
        <s v="Rosa Alpina"/>
        <s v="Rosa de Japón; Rosa Multiflora"/>
        <s v="Mapora; Palma Botella; Palma Mapora; Palma Imperial"/>
        <s v="Palma Real de Cuba; Palma Real"/>
        <s v="Trompillo; Cedrillo"/>
        <s v="Petunia Mexicana"/>
        <s v="Ruellia sp"/>
        <s v="Palma Cana"/>
        <s v="Palmiche; Palma Amarga; Palmiche; Palmito; Calicá; Palmicho"/>
        <s v="Sabal; Palmicha"/>
        <s v="Zalac"/>
        <s v="Sauce Llorón"/>
        <s v="Sauce Llorón; Sauce; Sauce Macho; Sausa; Sauce Colorado; Icaco"/>
        <s v="Sauce Negro"/>
        <s v="Salvia Rosa"/>
        <s v="Salviarroja; Liberal; Calzón del Diablo; Viudalegre; Liberal"/>
        <s v="Samán; Campano; Algarrobillo; Árbol de Lluvia"/>
        <s v="Sauco; Saúco; Sauco de Castilla; Salbuguera; Sabuguera"/>
        <s v="Sauco"/>
        <s v="Espinazo; Afelandra"/>
        <s v="Cachimbo Amarillo"/>
        <s v="Chumbimbo; Jaboncillo; Árbol de Jabón; Jabo; Jabón; Chambimbe"/>
        <s v="Marañon; Caucho; Ñipi"/>
        <s v="Lechudo"/>
        <s v="Dulomoco; Chupachupa"/>
        <s v="Cheflera (Arborícola); Cheflera Enana"/>
        <s v="Falsa Aralia"/>
        <s v="Falso Pimiento; Muelle; Pimiento"/>
        <s v="Falso Pimiento; Pimiento; Terebinto; Pimineto Negro; Turibinto"/>
        <s v="Tambor; Tambolero; Tamborero; Frijolillo; Arenillas; Chingalé Tamborero"/>
        <s v="Alcaparro; Babacú; Martinable; Frisolito; Cacaona; Jagua"/>
        <s v="Bombito; Cuchillito; Platanito; Chivato; Ahitera"/>
        <s v="Sen del Campo"/>
        <s v="Potra; Frijolato; Bicho"/>
        <s v="Alcaparro; Palo Bonito; Pichuelo; Galvis; Cucaracho; Frutillo"/>
        <s v="Hawaii"/>
        <s v="Dorancé; Floramarillo; Bajagua; Galvis; Majagüito; Dorancel"/>
        <s v="Alcaparro"/>
        <s v="Acacia Siamea; Abeto; Acacio Santandereano; Alcaparro; Acacia; Carmín"/>
        <s v="Cassia"/>
        <s v="Cantagallo Blanco; Gallito; Pirigallo; Sesbania; Agatí"/>
        <s v="Escobilla; Escobadura; Malva de Escoba; Malva de Puerco Y Malva Prieta"/>
        <s v="Amargo; Cedrillo; Aceituno; Amargo; Caratero; Chapul"/>
        <s v="Cofalillo; Hoja de Pasmo; Limoncillo"/>
        <s v="Cacao Montano"/>
        <s v="Zancona; Palma Mulata; Chuapo; Araco; Pachúa Zancona; Pona Lisa"/>
        <s v="Tomate de Árbol; Pepino de Árbol ; Tamarillo ; Tomate ; Tomate de Montaña ; Tomate de Monte"/>
        <s v="Lulo de Ciudad; Lulo Ornamental; Arbol de las Papas"/>
        <s v="Lulo de Perro; Friegaplatos; Matacucharachas"/>
        <s v="Tabaquillo; Fona de Porca"/>
        <s v="Borrachero; Borrachero Chiquito; Borrachero Cimarrón; Bodoquillo; Cucubo; Tinto"/>
        <s v="Lulo; Lulo de Castilla; Lulo de Perro; Lulo Morado; Lulo Pequeño; Bombolo"/>
        <s v="Indioviejo"/>
        <s v="Sacalaestaca; Sacaestaca; Friegaplatos; Limpiaplato; Mancatigre"/>
        <s v="Solanum"/>
        <s v="Cujarco; Cucubo; Cujaco; Almanegra; Lulo; Tachuelo"/>
        <s v="Friegaplatos; Cujaca; Berenjenita Cimarrona; Frutillo"/>
        <s v="Chucho Lanudo; Pepo; Borrachero"/>
        <s v="Tachuelo; Lulo"/>
        <s v="Espaquea"/>
        <s v="Tulipán Africano; Tulipán; Miona; Rosa China; Barquitos"/>
        <s v="Ceiba Tierra Fria"/>
        <s v="Espiroteca"/>
        <s v="Cancharana; Canyarana; Canllarana; Cancharama; Ciruelo Dulce; Hobo"/>
        <s v="Hobo; Jobo; Ubo; Uvo; Hobo Arisco; Ciruelo"/>
        <s v="Ciruelo; Cirgüelo; Ciruela; Ciruela Calentana; Ciruelo Blanco"/>
        <s v="Verbena Lila"/>
        <s v="Mora de Terciopelo; Hierba de Serpiente"/>
        <s v="Verbena Azul"/>
        <s v="Azuceno; Huevos de Perro; Cojon de Gato; Jazmín; Estremadelio"/>
        <s v="Camajón; Piñón; Camajonduro; Camajorú; Camajurú; Camajón Duro"/>
        <s v="Barbatimao"/>
        <s v="Chuchillo"/>
        <s v="Mucuna; Guacharaco; Rumbo; Macuná; Mucuná"/>
        <s v="Fresno; Frijolillo; Costillo; Latigo"/>
        <s v="Cucharo; Frijolillo"/>
        <s v="Cucharo; Frijolillo (A otra sp de genero)"/>
        <s v="Caoba; Caobo; Caoba Americana; Cedro Caoba; Palo Santo"/>
        <s v="Caoba Dominicana; Caoba; Caobo; Caoba Americana; Caobo Cubano; Caoba de Santo Domingo"/>
        <s v="Limonacho; Limoncillo; Limón Swinglia; Limón Suingla"/>
        <s v="Palma de Azúcar; Palma Reina; Coco Plumoso"/>
        <s v="Palma Sancona; Sarare; Zancona; Quirache; Saray; Palma de Sarare"/>
        <s v="Falso Camedor; Corosilla"/>
        <s v="Fruta Milagrosa"/>
        <s v="Aceituno Dulce; Aceituno; Uva; Uvito; Jambolán; Aceituna"/>
        <s v="Pomo; Pomarroso; Pomarrosa; Pomarrosa Común; Pomorroso; Pomorroso de Castilla"/>
        <s v="Pero de Agua; Pomarroso; Pomarroso Brasilero; Pomarroso Brasileño; Pomarrosa del Brasil; Pera de Malaca"/>
        <s v="Eugenia"/>
        <s v="Syzygium"/>
        <s v="Polvillo; Coralibre; Cañaguate Blanco"/>
        <s v="Roble Amarillo; Cañaguate; Guayacán; Alumbre"/>
        <s v="Guayacan Peludo"/>
        <s v="Lapacho Rosado; Corazonfino; Cañaguate Morado"/>
        <s v="Guayacán; Chicalá; Floramarillo; Guayacán Polvillo; Guayacán Amarillo"/>
        <s v="Cáliz de Papel; Roble Merrill"/>
        <s v="Apamate; Guayacán Rosado; Ocobo; Roble; Guayacán; Guayacán Morado"/>
        <s v="Guayacán Enano"/>
        <s v="Cojon de Frayle; Lirio Macho; Jazmín del Monte"/>
        <s v="Jazmín de Malabar; Jazmín; Malabar; Sanango; Malabarí"/>
        <s v="Jazmín de Malabar; Jazmín; Malabar; Malabarí; Azuceno"/>
        <s v="Azuceno; Cojón de Gato; Jazmín; Cachito"/>
        <s v="Piangüita; Lechito"/>
        <s v="Cojón de Perro (A otra sp de genero)"/>
        <s v="Majaguo; Sanjoaquín; Chitú; Majagua"/>
        <s v="Pitomba Sacha"/>
        <s v="Tamarindo"/>
        <s v="Fresno; Cedrillo; Guarupayo; Cedro Macho"/>
        <s v="Ciprés Moctezuma; Ahuehuete; Sabino"/>
        <s v="Bignonia Roja; Llamarada; Candela; Bignonia; Tecomaria"/>
        <s v="Chirlobirlo; Floramarillo; Fresno; Amarillo; Fresnillo; Chicalá"/>
        <s v="Teca; Teco"/>
        <s v="Almendro Amazónico; Amarillón; Roble Coral; Vara de León"/>
        <s v="Almendro; Almendrón; Almendra; Almendrillo"/>
        <s v="Terminalia; Almendro Ovirensis"/>
        <s v="Terminalia Mantaly"/>
        <s v="Guayabillo; Vara de León; Guayabito; Guayabo"/>
        <s v="Limba; Terminalia"/>
        <s v="Sauce Playero; Aliso de Rio; Sauce de Playa; Sauce; Cenizo"/>
        <s v="Papel Arroz"/>
        <s v="Maraco; Bacao; Bacao de Monte; Maraca"/>
        <s v="Cacao; Cacaotero; Chocolate"/>
        <s v="Copoazú; Copuazú; Cupuazú; Cacao de Monte; Maraca Silvestre"/>
        <s v="Clemón; Algodoncillo; Algodon de Arbol"/>
        <s v="Huevos de Tigre"/>
        <s v="Catape; Cobalongo"/>
        <s v="Mirasol; Boton de Oro; Margaritón"/>
        <s v="Palma Abanico"/>
        <s v="Manto de Rey"/>
        <s v="Flor de Princesa; Planta de la Gloria"/>
        <s v="Siete Cueros"/>
        <s v="Oreja de Venado"/>
        <s v="Sietecueros; Sietecueros Real"/>
        <s v="Siete Cueros; Sietecueros Brasilero; Sietecueros Nazareno"/>
        <s v="Tilia Europaea"/>
        <s v="Toddalia sp"/>
        <s v="Trompillo; Rapabarbo"/>
        <s v="Manzanillo; Chiraco; Caspi; Pedrohernández"/>
        <s v="Molino del Viento Chino; Palma de Viento; Palma Molino de Viento Chino"/>
        <s v="Amor de Hombre"/>
        <s v="Guarda Parque Morado"/>
        <s v="Cariaño; Caraño; Ampó"/>
        <s v="Zurrumbo; Látigo; Verraco; Surundé; Cargadero; Raspador; Berraco"/>
        <s v="Quiebra Barrigo; Quiebrabarrigo; Nacedero; Madre de Agua"/>
        <s v="Chalahuite"/>
        <s v="Cedrillo; Cacique; Cedro"/>
        <s v="Jobo Macho; Trompillo; Jobo; Tautano; Tuétano"/>
        <s v="Tuétano; Cedrillo; Vara de Piedra"/>
        <s v="Melao; Chillalde"/>
        <s v="Cerezo Asiatico"/>
        <s v="Vara Santa; Varasanta; Guacamayo; Palosanto"/>
        <s v="Palma Carandilla"/>
        <s v="Santalucía; Damiana; Panchecito; Amapola"/>
        <s v="Olmo Chino"/>
        <s v="Pringamosa; Pringamoza; Ortiga; Ortigo"/>
        <s v="Tamarindo; Tamarindo de Montaña"/>
        <s v="Cornezuelo; Torito; Árbol de Cuerno"/>
        <s v="Aromo; Espino"/>
        <s v="Papayo de Monte; Papayo de Rastrojo"/>
        <s v="Guacimo Blanco"/>
        <s v="Palo de Gallinazo; Guerra; Marimari; Palo de Grulla; Gallinazo Ordinario"/>
        <s v="Palma Montgomery"/>
        <s v="Pauche; Camargo; Tabaquillo"/>
        <s v="Olivon"/>
        <s v="Indioviejo; Olivón; Varejón; Salvión"/>
        <s v="Juco; Pita; Sauco de Monte; Cabo de Hacha"/>
        <s v="Viburno"/>
        <s v="Virola Multiflora"/>
        <s v="Sangretoro; Soto; Cuangare"/>
        <s v="Murdago"/>
        <s v="Carate; Punta de Lanza; Puntalanza; Puntelanza"/>
        <s v="Sangre Gallina; Manchado; Manchador; Carate; Punta de Lanza; Carate Negro"/>
        <s v="Aceituno; Aceituna; Guayacán Azul; Taruma"/>
        <s v="Aceituno"/>
        <s v="Roble Guayo; Penda; Higüerillo"/>
        <s v="Truntago"/>
        <s v="Nispero Amazonico"/>
        <s v="Palma Abanico; Washingtonia; Palma Washingtonia; Palma de Abanico; Palma Washingtoniana"/>
        <s v="Washingtonia; Palma Washingtonia"/>
        <s v="Encenillo; Encino; Encenillo Crespo"/>
        <s v="Encenillo; Encino; Encenillo Peludo"/>
        <s v="Sanjuán; Amargo; Cuasbil; Sanjuán; Palma Sanjuán;"/>
        <s v="Palma Macana; Baqueta; Crespa"/>
        <s v="Palma Crespa; Macana"/>
        <s v="Punteguayabo; Cabo de Hacha; Mantequillo"/>
        <s v="Palma Cola de Zorro; Cola de Zorro"/>
        <s v="Xilopia; Copillo; Sembé; Malagueto; Escobillo; Frisolillo"/>
        <s v="Yucca; Palma de Yuca; Palma de Bayoneta"/>
        <s v="Espadillo; Palma Yuca"/>
        <s v="Palma Yuca; Palma Bayoneta; Palmiche"/>
        <s v="Yuca Brillante"/>
        <s v="Tachuelo"/>
        <s v="Tachuelo; Tacho; Doncel; Cilantrón; Mamica de Cadela"/>
        <s v="Guinda; Manzanita; Manzanito"/>
        <s v="Guinda; Manzanita Costeña; Pistacho"/>
        <s v="Suribio; Chíparo; Achil; Payandé; Playero"/>
        <s v="Cadillo Africano"/>
        <s v="Tanag de Filipinas"/>
        <s v="Pronto Alibio; Sanalotodo"/>
        <s v="Campanilla de Invierno; Perforanieves; Galanto"/>
        <s v="Hierba Buena"/>
        <s v="Achita; Amaranto"/>
        <s v="Árbol del Cielo"/>
        <s v="Duraznillo; Chirlobirlo; Sacaojos Colorado"/>
        <s v="Anón"/>
        <s v="Chilco"/>
        <s v="Bambú"/>
        <s v="Carbonero de Monte; Pegamosco"/>
        <s v="Trompeto; Curador"/>
        <s v="Veranera; Curazao"/>
        <s v="Borrachero; Borrachero Blanco"/>
        <s v="Francesino; Jazmín de Malabar"/>
        <s v="Cañafístula; Acacia"/>
        <s v="Limón; Limón Dulce"/>
        <s v="Chiriguaco; Cargagua; Ahuyamo"/>
        <s v="Chagualo; Chagualito"/>
        <s v="Café; Cafeto"/>
        <s v="Cascabelito; Guache; Chucho"/>
        <s v="Ciprés; Pino; Pino Limon"/>
        <s v="Palma Cica; Cyca; Cica; Palma de Sagú"/>
        <s v="Guasco; Granado; Mote"/>
        <s v="Dombeya"/>
        <s v="Canelo de Páramo; Ají de Páramo; Canelo"/>
        <s v="Chocho; Gachingo; Secó"/>
        <s v="Chilco Colorado; Chilco; Carbón; Tíbar"/>
        <s v="Eugenia; Grosello"/>
        <s v="Ficus Bomba"/>
        <s v="Caucho; Higuerón"/>
        <s v="Cerezo de Monte"/>
        <s v="Fique"/>
        <s v="Fique; Cabuya; Maguey"/>
        <s v="Colorado; Cucharo"/>
        <s v="Caunce; Floramarillo"/>
        <s v="Cargadero; Cargadera; Garrapato"/>
        <s v="Lechero"/>
        <s v="Balso Blanco; Balso; Pestaña de Mula"/>
        <s v="Candelo; Motilon"/>
        <s v="Cardenillo; Piedro; Algodón"/>
        <s v="Guamo; Churimo; Barbasco"/>
        <s v="Guamo; Guama; Guabo; Churimo de Orilla;"/>
        <s v="Guamo Churimo; Guamo; Guamo Cazamuelas; Brijolito"/>
        <s v="Enebro azul; Ciprés Azul; Juníspero"/>
        <s v="Leucaena; Acacia Blanca; Panelo; Carbonero Blanco"/>
        <s v="Almanegra; Bolenillo"/>
        <s v="Guacharaco; Patepaujil; Joropo; Bálsamo"/>
        <s v="Sarno; Manguito; Caspi; Palo de Sarno"/>
        <s v="Niguito; Esmeraldo; Tuno; Mortiño"/>
        <s v="Toronjil"/>
        <s v="Niguito; Morochillo; Mortiño; Granizo"/>
        <s v="Rúchica"/>
        <s v="Monina"/>
        <s v="Morera; Mora"/>
        <s v="Arrayán Grande; Arrayán; Guayabito; Guayabito Liso"/>
        <s v="Arrayán Negro; Almanegra; Chiso; Chisa"/>
        <s v="Cucharo; Espadero; Cucharo Blanco; Chagualo; Garrocho"/>
        <s v="Jigua Laurel; Guacharaco; Laurel; Jigua Negro; Laurel Amarillo"/>
        <s v="Laurel; Amargo; Laurel Amarillo; Laurel Llanero"/>
        <s v="Mano de Oso; Amarillo; Higuerón; Higuerillo"/>
        <s v="Mano de Oso; Guache; Candelero; Pata de Gallina"/>
        <s v="Pino Maximinoi"/>
        <s v="Romero; Romero Común"/>
        <s v="Pino"/>
        <s v="Carnefiambre; Jigracaspi; Azufre; Carafiambre; Carneasao; Fiambre"/>
        <s v="Gallinazo; Cenizo; Cacique"/>
        <s v="Ciruelo; Ciruela"/>
        <s v="Piracanto; Coralito"/>
        <s v="Coralito; Holly; Mortiño"/>
        <s v="Mantequillo; Almendro"/>
        <s v="Terminalia; Almendro"/>
        <s v="Verdenegro; Guásimo"/>
        <s v="Guácimo Blanco"/>
        <s v="Cabuyo"/>
        <s v="Guasco"/>
        <s v="Papayuela; Papayuelo"/>
        <s v="Lechero; Caucho; Murillo; Mantequilla; Mantequillo; Lechudo"/>
        <s v="Yesco; Camargo"/>
        <s v="Dulumoco; Lulumoco; Dulomoco; Moco; Moquillo; Aguanoso"/>
        <s v="Cheflera; Yuco"/>
        <s v="Sauco de Monte; Pitá"/>
        <s v="Karité"/>
        <s v="Corono; Puyón; Aguja de Arria; Tachuelo; Cacho de Venado; Espino"/>
        <s v="Guaudilla; Bambú"/>
      </sharedItems>
    </cacheField>
    <cacheField name="Nombre común con #" numFmtId="0">
      <sharedItems>
        <s v="00 Indeterminado"/>
        <s v="1 Frijolillo; Rayo; Guacamayo Blanco; Carbonero; Arenillo de Monte Chocho"/>
        <s v="2 Abarema"/>
        <s v="3 Hibisco"/>
        <s v="4 Abutilon"/>
        <s v="5 Faroolito Japones"/>
        <s v="6 Abutilon"/>
        <s v="7 Dormilón"/>
        <s v="8 Acacia (Baileyana)"/>
        <s v="9 Aromo"/>
        <s v="10 Acacia Roja (Decurrens)"/>
        <s v="11 Acacia de Desierto; Acacia Farnesiana"/>
        <s v="12 Acacia Mangium"/>
        <s v="13 Acacia Japonesa; Acacia Negra"/>
        <s v="14 Acacia"/>
        <s v="15 Acalifa Repollo; Carlota"/>
        <s v="16 Carlota"/>
        <s v="17 Cola de Zorro"/>
        <s v="18 Ortiga"/>
        <s v="19 Vara de Alcalde; Salvia de Monte"/>
        <s v="20 Carlota"/>
        <s v="21 Guayaba Feijoa"/>
        <s v="22 Totocal O Limon Macho"/>
        <s v="23 Güitite; Tabalgue; Tomatoquina"/>
        <s v="24 Tasaa"/>
        <s v="25 Cedro Rosado de la India"/>
        <s v="26 Palma Chonta; Corozo Baboso"/>
        <s v="27 Coralito; Chocho"/>
        <s v="28 Chaparro"/>
        <s v="29 Palma de Manila; Palma de Navidad"/>
        <s v="30 Aegiceras Corniculatum"/>
        <s v="31 Pavo; Juan Blanco"/>
        <s v="32 Contraculebra de Venezuela"/>
        <s v="33 Loro"/>
        <s v="34 Tabaquillo; Palo Blanco; Mantequillo; Sapo de Vieja"/>
        <s v="35 Motua; Chaguar; Maguey"/>
        <s v="36 Maguey del Dragón"/>
        <s v="37 Pita; Pitera; Magüey"/>
        <s v="38 Laurel Feve"/>
        <s v="39 Palma Corocito; Corozo Rojo; Chascaraiza; Mararay"/>
        <s v="40 Corozo; Perrero"/>
        <s v="41 Pisquín; Carbonero"/>
        <s v="42 Igua"/>
        <s v="43 Acacia de Constantinopla"/>
        <s v="44 Carbonero Dormilón; Bayeto"/>
        <s v="45 Pisquin; Guacamayo"/>
        <s v="46 Saman"/>
        <s v="47 Albizia"/>
        <s v="48 Cafesito"/>
        <s v="49 Tostado"/>
        <s v="50 Escobo"/>
        <s v="51 Escobo; Carcomo; Mazamorro"/>
        <s v="52 Escobo; Quiebrapatas"/>
        <s v="53 Reventillo; Algodoncillo; Carcomo"/>
        <s v="54 Escobo (A otra sp de genero)"/>
        <s v="55 Tung Asiatico"/>
        <s v="56 Alfaroa"/>
        <s v="57 Trompeta; Jalapa Morada"/>
        <s v="58 Copa de Oro"/>
        <s v="59 Flor de Mantequilla"/>
        <s v="60 Cedrillo"/>
        <s v="61 Aliso"/>
        <s v="62 Sábila Candelabro Africano"/>
        <s v="63 Cedron"/>
        <s v="64 Yínyer; Yinye; Sanjuanico"/>
        <s v="65 Falso Ocobo; Palo de Sombra"/>
        <s v="66 Tebrol del Interior; Planta Percal; Alternatera"/>
        <s v="67 Amherstia"/>
        <s v="68 Ampeloceras"/>
        <s v="69 Jicarillo"/>
        <s v="70 Calabacillo (A otra sp de genero)"/>
        <s v="71 Calabazo"/>
        <s v="72 Calabacillo; Totumito (A otra sp de genero)"/>
        <s v="73 Caracolí"/>
        <s v="74 Marañón"/>
        <s v="75 Andira Chigorodensis"/>
        <s v="76 Borombolo; Congo de Agua"/>
        <s v="77 Borombolo; Congo de Agua (sp)"/>
        <s v="78 Comino Crespo (A otra sp de genero)"/>
        <s v="79 Laurel"/>
        <s v="80 Laurel Peque?O"/>
        <s v="81 Comino"/>
        <s v="82 Laurel Uncibe"/>
        <s v="83 Comino (sp)"/>
        <s v="84 Majagua"/>
        <s v="85 Chirimoyo; Chirimoya; Anón de Monte; Chirimoya de Monte"/>
        <s v="86 Guanabanilla"/>
        <s v="87 Guanbana Cimarrona"/>
        <s v="88 Guanábano"/>
        <s v="89 Anon de Monte"/>
        <s v="90 Anon de Monte; Anon Rolinia; Majagua"/>
        <s v="91 Chirimolla"/>
        <s v="93 Anon"/>
        <s v="94 Laran; Cadamba"/>
        <s v="95 Peine de Mono"/>
        <s v="96 Peine de Mono"/>
        <s v="97 Peine de Mono (Tibourbou)"/>
        <s v="98 Cola de Gallo"/>
        <s v="99 Árbol de Angélica China; Dimorphanthus"/>
        <s v="100 Araucaria"/>
        <s v="101 Araucaria"/>
        <s v="102 Araucaria; Araucaria Real; Pino de la Isla de Norfolk"/>
        <s v="103 Palma Alejandra; Reina Alejandra"/>
        <s v="104 Palma Payanesa"/>
        <s v="105 Ardisia Arborea"/>
        <s v="106 Ardisia"/>
        <s v="107 Ardisia"/>
        <s v="108 Ardisia Rio Claro; Ajicito de Diablo; Fresco; Mote"/>
        <s v="109 Palma de Betel; Nuez de Betel"/>
        <s v="110 Palmera Bambú"/>
        <s v="111 Palma Bambu"/>
        <s v="112 Palma Arenga"/>
        <s v="113 Artemisia"/>
        <s v="114 Árbol del Pan"/>
        <s v="115 Árbol del Pan; Jaca"/>
        <s v="116 Arbol del Pan"/>
        <s v="117 Artocarpus"/>
        <s v="118 Rejalgar; Bencenuco; Niñomuerto; Mataganado"/>
        <s v="119 Esparraguera"/>
        <s v="120 Carreto"/>
        <s v="121 Carreto"/>
        <s v="122 Palma Malibú; Lanceta; Ancharma; Palma Estera; Anchamba"/>
        <s v="123 Diomate; Gusanero"/>
        <s v="124 Tortuguita; Nevado"/>
        <s v="125 Palma Táparo; Palma Almendrón; Almendrón"/>
        <s v="126 Palma de Vino; Palma de Cuesco; Palma Corozo de Puerco"/>
        <s v="127 Taparo; Pindoba"/>
        <s v="128 Laurel Manchado"/>
        <s v="129 Carambolo; Tamarindo; Carambola"/>
        <s v="130 Neem; Paraíso de la India"/>
        <s v="131 Bacaris; Chilca; Carqueja"/>
        <s v="132 Chilca; Chilco; Chilco Blanco"/>
        <s v="133 Chilo; Cirro; Ciro"/>
        <s v="134 Palma Chontaduro"/>
        <s v="135 Lata Blanca; Chacarrá"/>
        <s v="136 Bambú; Guadua Amarilla"/>
        <s v="137 Casco Buey"/>
        <s v="138 Casco de Vaca; Pata de Vaca; Pata de Buey; Casco de Buey"/>
        <s v="139 Casco Buey; Casco de Vaca"/>
        <s v="140 Casco de Vaca"/>
        <s v="141 Pata de Vaca; Patevaca; Patebuey; Casco de Vaca; Casco de Buey"/>
        <s v="142 Hernandiacea; Casco de Vaca"/>
        <s v="143 Casco de Vaca; Árbol Orquídea"/>
        <s v="144 Palma Pony"/>
        <s v="145 Begonia Alas de Angel"/>
        <s v="146 Laurel Negro; Aguacate Cimarrón"/>
        <s v="147 Coronillo; Guayaba de Mico"/>
        <s v="148 Bellucia sp"/>
        <s v="149 Bilia; Cucharo; Cariseco"/>
        <s v="150 Biscofia; Toog; Cedro de Java"/>
        <s v="151 Palma Bismarck Plateada"/>
        <s v="152 Achiote; Achote; Bija"/>
        <s v="153 Bien Me Sabe; Huevo de Gato"/>
        <s v="154 Trompeto; Albacarrín; Sarno; Llora Sangre"/>
        <s v="155 Zanca de Mula; Ortiguillo"/>
        <s v="156 Zorrumbo; Cola de Gato"/>
        <s v="157 Boehmeria Virgata"/>
        <s v="158 Cedro Caqueta; Ceiba Tolua; Algodonero Rojo"/>
        <s v="159 Borojó"/>
        <s v="160 Curazao; Veranera"/>
        <s v="161 Brachylaena sp"/>
        <s v="162 Chumbera Brasileña"/>
        <s v="163 Palma Brasiofenix"/>
        <s v="164 Breonia"/>
        <s v="165 Nivosa; Carnaval"/>
        <s v="166 Sande; Ramón; Nogal Maya"/>
        <s v="167 Morera de Papel"/>
        <s v="168 Arizá; Palo Cruz"/>
        <s v="169 Arizá Grandiceps"/>
        <s v="170 Arizá Blanco"/>
        <s v="171 Arizá; Florisanto; Clavellino"/>
        <s v="172 Cruceto; Palo de Cruz"/>
        <s v="173 Borrachero; Floripondio; Trompeta de Ángel"/>
        <s v="174 Brugmansia"/>
        <s v="175 Borrachero; Chiric Sanango; Chacruco; Picudo"/>
        <s v="176 Francesino"/>
        <s v="177 Francesina"/>
        <s v="178 Huele Noche"/>
        <s v="179 Francesina"/>
        <s v="180 Acabí; Guayabillo; Granadillo"/>
        <s v="181 Muli; Capacho"/>
        <s v="182 Olivo Negro; Júcaro de Playa"/>
        <s v="183 Budelia; Butleya; Arbusto de las Mariposas; Ramillete"/>
        <s v="184 Guayacán de Bola"/>
        <s v="185 Guayacán; Guayacán de Bola; Guayacán Caparro"/>
        <s v="186 Confite; Ciruelo"/>
        <s v="187 Ciruela de Fraile; Ciruelo Cimarrón; Cereza"/>
        <s v="188 Carano; Crespín; Palo Santo; Aceitilla"/>
        <s v="189 Indio Desnudo; Almacigo; Resbala Monos"/>
        <s v="190 Palosanto; Tatamaco; Bijo"/>
        <s v="191 Boj; Palma de Boj"/>
        <s v="192 Nances Y Nanches"/>
        <s v="193 Noro; Paralejo; Nance"/>
        <s v="194 Noro; Tacasalejo; Doncella"/>
        <s v="195 Dividivi; Agallo; Ichí; Nacascalote"/>
        <s v="196 Ébano"/>
        <s v="197 Acacia Amarilla; Palo Brasil"/>
        <s v="198 Clavellino; Flor de Navidad"/>
        <s v="199 Clavellino; Flor de Navidad"/>
        <s v="200 Tara; Guarango"/>
        <s v="201 Guandúl"/>
        <s v="202 Carbonero"/>
        <s v="203 Plumerillo Rosado"/>
        <s v="204 Bellota; Carbonero Rojo"/>
        <s v="205 Carbonero"/>
        <s v="206 Carbonero"/>
        <s v="207 Carbonero"/>
        <s v="208 Carbonero"/>
        <s v="209 Pavo Real; Carbonero Rojo; Rabo de Conejo; Saman de Jardín; Surinam"/>
        <s v="210 Carbonero"/>
        <s v="211 Carbonero Rojo"/>
        <s v="212 Carbonero Rojo"/>
        <s v="213 Callicarpa Macrophylla"/>
        <s v="214 Calistemon; Eucalipto Ornamental"/>
        <s v="215 Escobillón Rojo; Calistemo Rojo"/>
        <s v="216 Callitropsis Glabra"/>
        <s v="217 Cedro Colorado"/>
        <s v="218 Aceite María; Aceite"/>
        <s v="219 María; Santa María; Mamey Falso"/>
        <s v="220 Aceite"/>
        <s v="221 Calophyllum Soulattri"/>
        <s v="222 Guayabo Alazano; Dágame; Canelo"/>
        <s v="223 Calytranthes sp"/>
        <s v="224 Camelia"/>
        <s v="225 Camelia"/>
        <s v="226 Guayaba de Leche"/>
        <s v="227 Cadmio; Ylang Ylang"/>
        <s v="228 Naranjillo; Naranjuelo"/>
        <s v="229 Ají"/>
        <s v="230 Ají"/>
        <s v="231 Cedro Guino"/>
        <s v="232 Papayo"/>
        <s v="233 Papauelo Silvestre"/>
        <s v="234 Abarco"/>
        <s v="235 Espino"/>
        <s v="236 Palma Iraca; Jipijapa"/>
        <s v="237 Pacano; Pecán; Nuez Pecana"/>
        <s v="238 Cagüí; Almendrón"/>
        <s v="239 Yumbe"/>
        <s v="240 Inchi; Almendro; Tacay"/>
        <s v="241 Palma Mariposa; Cola de Pescado"/>
        <s v="242 Palma Mariposa; Cola de Pescado"/>
        <s v="243 Palma Mariposa; Cola de Pescado (Urens)"/>
        <s v="244 Campanilla"/>
        <s v="245 Guapanto; Capulín Corona"/>
        <s v="246 Varablanca; Ondequera"/>
        <s v="247 Casearia sp"/>
        <s v="248 Zapote Blanco; Mango Matasano"/>
        <s v="249 Zapote Blanco; Matasano"/>
        <s v="250 Lluvia de Oro"/>
        <s v="251 Cañafístula; Cañandonga"/>
        <s v="252 Acacia Rosada; Acacia Brasilera"/>
        <s v="253 Velero"/>
        <s v="254 Caucho; Hule"/>
        <s v="255 Casuariana; Pino Australiano; Pino de París; Agoho de Filipinas"/>
        <s v="256 Crispeta; Catalpa"/>
        <s v="257 Baobab; Barrigón"/>
        <s v="258 Volao; Cuipo; Bonga; Güipo"/>
        <s v="259 Uvitos; Uva de Anís; Zarcillo; Colmillo"/>
        <s v="260 Uvito; Uvito de Monte"/>
        <s v="261 Yarumo Negro"/>
        <s v="262 Yarumo; Guarumo; Yarumo Blanco; Yagrumo"/>
        <s v="263 Yarumo Blanco"/>
        <s v="264 Cedro de Tierra Fría; Cedro de Montaña"/>
        <s v="265 Cedro Rosado; Cedro Americano; Cedro Amargo; Cedro"/>
        <s v="266 Cedro Macho; Cedro Chino; Cedro Oloroso"/>
        <s v="267 Cedro"/>
        <s v="268 Ceiba Bonga; Ceibo"/>
        <s v="269 Ceiba"/>
        <s v="270 Ceiba Rosada"/>
        <s v="271 Celastro"/>
        <s v="272 Falsa Dulcamara"/>
        <s v="273 Celastrus sp"/>
        <s v="274 Falso Cedro"/>
        <s v="275 Guayacán Jobo; Balaústre"/>
        <s v="276 Palmas Cicadas"/>
        <s v="277 Cirio; Vela"/>
        <s v="278 Cereus sp"/>
        <s v="279 Cacto Candelabro"/>
        <s v="280 Palma de Cera"/>
        <s v="281 Pacó"/>
        <s v="282 Dama de Noche; Galán de Noche"/>
        <s v="283 Zorrillo"/>
        <s v="284 Zorrillo"/>
        <s v="285 Duraznillo Negro; Cestrum Verde; Palqui (A otra sp de genero)"/>
        <s v="286 Ciprés de Sawara; Ciprés de Hondo"/>
        <s v="287 Palma Caña de San Pablo; Caña de Víbora"/>
        <s v="288 Palma Metálica"/>
        <s v="289 Palma Molinillo"/>
        <s v="290 Palma Bambú; Palma de Miami; Camedorea"/>
        <s v="291 Hoja de Pacaya"/>
        <s v="292 Pacaya"/>
        <s v="293 Palma de Hoja Roja"/>
        <s v="294 Noli"/>
        <s v="295 Quina"/>
        <s v="296 Jacaré; Yacarí; Parasiempre"/>
        <s v="297 Albahaquilla"/>
        <s v="298 Icaco"/>
        <s v="299 Cainito"/>
        <s v="300 Caimito; Caimo Morado"/>
        <s v="301 Laurel; Aguacatillo"/>
        <s v="302 Canelo"/>
        <s v="303 Pendo; Palo Blanco; Casposo"/>
        <s v="304 Cajeto"/>
        <s v="305 Cajeto; Palo de Guitarra"/>
        <s v="306 Quimula; Cascarillo; Gavilán"/>
        <s v="307 Calamondina; Planta de Naranjo Es Miniatura"/>
        <s v="308 Naranjo Dulce"/>
        <s v="309 Limon Tahiti"/>
        <s v="310 Limon Mandarino"/>
        <s v="311 Limon Criollo"/>
        <s v="312 Limon de Coctel;Limón Aspero"/>
        <s v="314 Pomelo Chino; Toronja; Toronjo; Pomelo; Pamplemusa"/>
        <s v="315 Toronjo Dedos; Cridro"/>
        <s v="316 Naranjo Moruno"/>
        <s v="317 Mandarino Real"/>
        <s v="318 Naranjo Dulce"/>
        <s v="319 Citrus sp"/>
        <s v="320 Naranjo Espinoso; Naranjo Trifoliado"/>
        <s v="321 Naranjo Agrio; Naranjo Amargo"/>
        <s v="322 Aji; Sande Mora"/>
        <s v="323 Sapan"/>
        <s v="324 Fariñero; Bizcocho; Masano; Fariñoso"/>
        <s v="325 Durazno de Monte; Oreja de Burro"/>
        <s v="326 Clavija"/>
        <s v="327 Cometa"/>
        <s v="328 Gloria Enramada Sangrante; Corazón Sangrante"/>
        <s v="329 Clethra sp"/>
        <s v="330 Clibadium sp"/>
        <s v="331 Salvia Amarga; Conami; Barbasco"/>
        <s v="332 Camasay"/>
        <s v="333 Barbasco; Sombrero"/>
        <s v="334 Chagualo"/>
        <s v="335 Chagualo"/>
        <s v="336 Chagualo"/>
        <s v="337 Flor de Cera"/>
        <s v="338 Chagualo (A otra sp de genero)"/>
        <s v="339 Papayuelo"/>
        <s v="340 Maíz Tostao; Maíz Cocho"/>
        <s v="341 Kino Americano"/>
        <s v="342 Uvito de Playa"/>
        <s v="343 Palma de Plata; Pactá"/>
        <s v="344 Bototo; Majagua"/>
        <s v="345 Rosa Amarilla"/>
        <s v="346 Palma de Coco; Cocotero"/>
        <s v="347 Croto"/>
        <s v="348 Cafeto"/>
        <s v="349 Carbonero Zorro; Dormilón"/>
        <s v="350 Coleus spp"/>
        <s v="351 Mabí; Abejuelo"/>
        <s v="352 Soto"/>
        <s v="353 Azuceno; Cascarillo; Quino Blanco"/>
        <s v="354 Mangle Botoncillo"/>
        <s v="355 Canime; Aceite; Copaiba; Copayero"/>
        <s v="356 Canines"/>
        <s v="357 Nogal Cafetero"/>
        <s v="358 Guayaibí; Guayaibí Blanco"/>
        <s v="359 Palo Noble; Uvito"/>
        <s v="360 Moncoro"/>
        <s v="361 Carambolí; Sanjoaquín; Nomeolvides; Gomo"/>
        <s v="362 Nogal (A otra sp de genero)"/>
        <s v="363 Árbol de Queroseno"/>
        <s v="364 Palma de Torbay"/>
        <s v="365 Carey; Palma de Cementerio; Flor de Difunto"/>
        <s v="366 Drácena Roja"/>
        <s v="368 Sansá; Matarratones"/>
        <s v="369 Lengua de Vaca; Ahumapescado"/>
        <s v="370 Eucalipto Pomarroso"/>
        <s v="371 Jengibre Espiral"/>
        <s v="372 Griñolera Lechosa"/>
        <s v="373 Holly; Cotonister"/>
        <s v="374 Cabuyo; Cachimbo; Coco Cabuyo; Congolo"/>
        <s v="375 Bala de Cañón; Cocuelo; Ayahuma"/>
        <s v="376 Acerolo; Acerola"/>
        <s v="377 Cachimonda; Naranjuelo; Manzana de Playa"/>
        <s v="378 Totumo; Mate"/>
        <s v="379 Drago"/>
        <s v="380 Gallinazo; Croton"/>
        <s v="381 Drago"/>
        <s v="382 Sangre de Drago"/>
        <s v="383 Palma Escoba; Barbasco"/>
        <s v="384 Cedro Japonés; Sugi"/>
        <s v="385 Cedro Japonés; Sugi"/>
        <s v="386 Aliso Rojo Africano"/>
        <s v="387 Mestizo; Guacamayo"/>
        <s v="388 Mestizo; Gaucharaco"/>
        <s v="389 Pino Azul"/>
        <s v="390 Pino Ciprés; Cedro Blanco"/>
        <s v="391 Pino Vela"/>
        <s v="392 Chaparro; Peralejo; Paralejo Macho; Chaparro Bobo"/>
        <s v="393 Helecho Arboreo; Helecho Sarro; Sarro"/>
        <s v="394 Helecho Arboreo; Helecho Sarro; Sarro"/>
        <s v="395 Helecho Arboreo; Helecho Sarro; Sarro"/>
        <s v="396 Helecho Arboreo"/>
        <s v="397 Cyca sp"/>
        <s v="398 Cica; Palma Helecho; Cica de Hoja Larga"/>
        <s v="399 Palma de Segú; Palma Funebre"/>
        <s v="400 Palma Cyca"/>
        <s v="401 Helecho Arbóreo; Sarro; Helecho Macho; Helecho Arborecente"/>
        <s v="402 Papiro Sombrilla"/>
        <s v="403 Papiro"/>
        <s v="404 Tamarillo; Tomate de Palo"/>
        <s v="405 Palma Roja"/>
        <s v="406 Dalia"/>
        <s v="407 Acacia Roja; Flamboyán"/>
        <s v="408 Teterete; Navajuelo"/>
        <s v="410 Guayacan de Tierra Fria; Navajuelo"/>
        <s v="411 Gimpi Gimpi O Yimpi Yimpi"/>
        <s v="412 Zapotillo"/>
        <s v="413 Zapotillo"/>
        <s v="414 Tamarindo de Monte"/>
        <s v="415 Sangria; Singamochila"/>
        <s v="416 Helecho Arboreo; Helecho Sarro; Sarro"/>
        <s v="417 Macana; Barrigona Blanca; Mapora"/>
        <s v="418 Loro; Iguano"/>
        <s v="419 Ojo de Dragón"/>
        <s v="420 Siete Sabores"/>
        <s v="421 Marfil"/>
        <s v="422 Zapote Negro; Zapote Prieto; Ébano; Guayabota"/>
        <s v="423 Limpiadientes; Diospiro; Juandedios; Limocillo; Granadillo"/>
        <s v="424 Zapote Negro; Limpia Dientes"/>
        <s v="425 Zapote Negro"/>
        <s v="426 Choibá; Palo de Piedra"/>
        <s v="427 Hayuelo"/>
        <s v="428 Árbol de las Hortensias"/>
        <s v="429 Espino"/>
        <s v="430 Drago de Madagasca; Carey; Banderilla"/>
        <s v="431 Dracena; Cana de Maiz"/>
        <s v="432 Bambú de la Suerte"/>
        <s v="433 Árbol Dragon"/>
        <s v="434 Cinta Variegada"/>
        <s v="435 Árbol de la Felicidad"/>
        <s v="436 Dracaena (Reflexa); Canción de la India"/>
        <s v="437 Palma de Carey; Drácena Roja"/>
        <s v="438 Palo de Brasil"/>
        <s v="439 Tronco del Brasil"/>
        <s v="440 Duranta"/>
        <s v="441 Espino"/>
        <s v="442 Duranta"/>
        <s v="443 Duranta"/>
        <s v="444 Palma Triangular"/>
        <s v="445 Palma Areca; Palma de Frutos de Oro"/>
        <s v="446 Palma de Madagascar"/>
        <s v="447 Caoba de Marfil"/>
        <s v="448 Dysoxylum Macranthum"/>
        <s v="449 Ébano"/>
        <s v="450 Palma Africana; Palma de Aceite"/>
        <s v="451 Corozo; Nolí; Corozo de Manteca; Coroza"/>
        <s v="452 Cerezo Azul; Higo; Marmol Azul"/>
        <s v="453 Laurel Indio Viejo"/>
        <s v="454 Piñón de Oreja; Orejero; Piñón"/>
        <s v="455 Nazareno"/>
        <s v="456 Níspero del Japón"/>
        <s v="457 Cresta de Gallo"/>
        <s v="458 Chachafruto; Poroto; Balu"/>
        <s v="459 Búcaro"/>
        <s v="460 Cámbulo; Cachimbo; Barbatuco"/>
        <s v="461 Chocho; Siriguay"/>
        <s v="462 Erythrina sp"/>
        <s v="463 Árbol Coral"/>
        <s v="464 Búcaro Variegado; Colorin"/>
        <s v="465 Coca"/>
        <s v="466 Loqueto; Mangle"/>
        <s v="467 Olleto; Catelisoto; Olla de Mono"/>
        <s v="468 Fono; Carguero de Boa; Palo de Lombriz; Popay"/>
        <s v="469 Cargadero Blanco; Coco Blanco"/>
        <s v="470 Castaño; Catelisoto"/>
        <s v="471 Escobedia sp"/>
        <s v="472 Eucalipto"/>
        <s v="473 Eucalipto Plateado; Ocalita"/>
        <s v="474 Eucalipto Arcoíris; Eucalipti Guayabo"/>
        <s v="475 Eucalypto Rosado; Eucalipto"/>
        <s v="476 Eucalipto Rojo"/>
        <s v="477 Eucalipto Robusto"/>
        <s v="478 Eucalipto"/>
        <s v="479 Eucalipto"/>
        <s v="480 Grosello; Grosella; Grosellero; Cereza; Ciruela; Arrayán"/>
        <s v="481 Arrayán; Arrayán Limón"/>
        <s v="482 Flor Azul; Payo; Guayabillo"/>
        <s v="483 Cereza de Río Grande; Cerella ;Cerejeira"/>
        <s v="484 Eugenio"/>
        <s v="485 Arazá; Guayaba Brasileña; Arrayán"/>
        <s v="486 Pitanga; Grosella; Mirto; Cereza de Cayena; Uvo"/>
        <s v="487 Huso de la Fortuna"/>
        <s v="488 El Huso Japonés; El Bonetero; El Evónimo"/>
        <s v="489 Liberal; Lechero; Manzanillo; Caucho; Yuco"/>
        <s v="490 Euphorbia Grantii"/>
        <s v="491 Lechero; Lechero Espinoso; Carató"/>
        <s v="492 Navidad; Sombrilla; Olayaherrera; Paragua; Carnaval"/>
        <s v="493 Letra China; Quebradura; Cactus; Coralito"/>
        <s v="494 Lechero; Cactus"/>
        <s v="495 Lechero Africano; Lechero Verde"/>
        <s v="496 Naidi; Murrapo; Asaí de Pará; Manaca Brasilera; Tapafrío"/>
        <s v="497 Palmicho; Palma Asaí; Asaí; Manaca; Palmito; Palmiche"/>
        <s v="498 Feijoa; Guayaba Feijoa; Guayabo"/>
        <s v="499 Caucho Sabanero; Caucho; Lechero; Higuerón; Matapalo"/>
        <s v="500 Laurel; Falso Laurel; Ficus Variegata"/>
        <s v="501 Higueron"/>
        <s v="502 Higuera"/>
        <s v="503 Brevo; Breva; Higo; Higuera; Caucho de la India"/>
        <s v="504 Higueron"/>
        <s v="505 Mata Palo"/>
        <s v="506 Caucho Matapalo; Matapalo; Suan; Abrazapalo; Higuerón; Caucho"/>
        <s v="507 Higuerón Guayabo; Higuerón; Breva de Monte"/>
        <s v="508 Caucho; Caucho de la India; Falso Caucho; Lechón"/>
        <s v="509 Caucho; Cauchito; Caucho Higuerón; Caucho Rosado; Lechero"/>
        <s v="510 Higo"/>
        <s v="511 Higuerón; Matapalo; Ojé; Copé; Caucho Glabrata; Caucho Incipida"/>
        <s v="512 Caucho; Higuero; Lechero"/>
        <s v="513 Lechero; Matapalo Guayanés"/>
        <s v="514 Pandurata; Caucho Lira; Lirata; Ficus Lira"/>
        <s v="515 Caucho Microcarpa; Caucho; Matapalo"/>
        <s v="516 Amate; Higuerón; Caucho; Matapalo; Herrerún; Lechero"/>
        <s v="517 Matapalo; Caucho; Lechudo; Caucho Común"/>
        <s v="518 Caucho de la India; Ficus; Caucho Acorazonado"/>
        <s v="519 Pivijay; Caucho"/>
        <s v="520 Mata Palos; Higuerón; Lechudo"/>
        <s v="521 Caucho"/>
        <s v="522 Caucho Tequendama; Caucho"/>
        <s v="523 Higuerón; Caucho; Higuerón Grande; Caucho Tonduzii"/>
        <s v="524 Ficus Variegado"/>
        <s v="525 Cerezo del Gobernador; Ciruela del Gobernador; Ciruelo del Gobernador; Uva Lisa"/>
        <s v="526 Frángula; Avellanillo; Hediondo; Alno Baccífero; Sangueño; Abiacán"/>
        <s v="527 Ojo de Perdiz; Palo Amarillo; Cabo de Hacha"/>
        <s v="528 Cabo de Hacha"/>
        <s v="529 Fresno Rojo; Fresno Blanco; Fresno Americano"/>
        <s v="530 Urapan; Fresno"/>
        <s v="531 Urapan; Fresno"/>
        <s v="532 Fucsia"/>
        <s v="533 Luvia de Oro; Flor Amarillo"/>
        <s v="534 Madroño; Madroña; Madruño"/>
        <s v="535 Mangostino"/>
        <s v="536 Madroño"/>
        <s v="537 Gardenia; Malabar; Jazmín del Cabo; Jazmín"/>
        <s v="538 Jagua; Caruto; Huito; Jaguo; Jigua"/>
        <s v="539 Silvadero"/>
        <s v="540 Ebano Falso; Ébano Ornamental; Silbadero"/>
        <s v="541 Cortadera"/>
        <s v="542 Palmicha; Palma Macuma"/>
        <s v="543 Mata Ratón"/>
        <s v="544 Melina; Gumhar"/>
        <s v="545 Algodon; Algodonero"/>
        <s v="546 Algodon"/>
        <s v="547 Planta de Caricatura"/>
        <s v="548 Grevileo de Jardín"/>
        <s v="549 Roble Australiano; Árbol de Seda; Rabo de Pavo; Grevilia; Roble de Australia"/>
        <s v="550 Guadua"/>
        <s v="551 Guayacán Azul; Guayacán; Guayaco; Florazul; Palosanto"/>
        <s v="552 Guayacan Azul"/>
        <s v="553 Trompillo; Cedrillo; Cedro Macho; Mestizo; Cartagüeño"/>
        <s v="554 Cedrillo"/>
        <s v="555 Cedrillo"/>
        <s v="556 Cargadero"/>
        <s v="557 Guácimo"/>
        <s v="558 Mula Muerta; Membrillo; Almanegra"/>
        <s v="559 Mula Muerta; Coco Hediondo"/>
        <s v="560 Membrillo; Cocuelo Blanco; Chupo; Chupa"/>
        <s v="561 Pacó; Membrillo; Chupo"/>
        <s v="562 Coralillo; Bencenuco; Hamelia"/>
        <s v="563 Algodoncillo"/>
        <s v="564 Guayacán Amarillo; Cañaguate; Guayacán; Chicalá; Polvillo"/>
        <s v="565 Guayacán Peludo; Guayacán"/>
        <s v="566 Polvillo; Chicalá; Floramarillo; Guayacán Polvillo; Guayacán; Guayacán Dorado"/>
        <s v="567 Chicalá; Floramarilla; Floramarillo; Curarire; Guayacán; Guayacán Polvillo"/>
        <s v="568 Harpulia"/>
        <s v="569 Pechuga de Gallina; Hueso; Huesito; Coronillo"/>
        <s v="570 Pestaña de Mula; Balso Blanco; Palo Bobo"/>
        <s v="571 Schefflera; Cheflera; Pategallina Hojigrande"/>
        <s v="572 Cheflera Variegada; Cheflera Enana"/>
        <s v="573 Cacaito"/>
        <s v="574 Caucho de Pará; Caucho; Hule; Caucho Amazónico"/>
        <s v="575 Roselle; Jamaica"/>
        <s v="576 Majagua"/>
        <s v="577 Cayena Doble Flor"/>
        <s v="578 Rosa de Mayo; Algodón Rosa; Algodón; Cayeno; Malva"/>
        <s v="579 San Joaquín; Cayeno; Sanjoaquín; Resucitado"/>
        <s v="580 Planta de Jamaica"/>
        <s v="581 San Joaquín Rojo; Cardenal; Rosa China; Canastilla; Farolito; Rojo Chiroso; Rosito de Canasta"/>
        <s v="582 San Joaquin"/>
        <s v="583 San Joaquin Morado; Resucitado"/>
        <s v="584 Candelo; Palo Curtidor"/>
        <s v="585 Plumel; Árbol de la Vida"/>
        <s v="586 Himatanthus sp"/>
        <s v="587 Hoheria Sexstylosa"/>
        <s v="588 Sombrilla China"/>
        <s v="589 Palma de Kentia"/>
        <s v="590 Carrá; Naguare; Volador"/>
        <s v="591 Ceiba Bruja; Ceiba Amarilla; Tronador; Ceiba de Leche; Ceiba de Agua"/>
        <s v="592 Algarrobo; Algarrobillo; Ámbar; Copal; Courbail"/>
        <s v="593 Algarrobillo; Algarrobo; Coca de Mico"/>
        <s v="594 Palma Botella; Palma Botella Enana; Palma Botella Mascarena"/>
        <s v="595 Palma Huso; Palma de Cemento"/>
        <s v="596 Cardenillo"/>
        <s v="597 Añil"/>
        <s v="598 Guamo Churimo; Guamo; Guamo Machete"/>
        <s v="599 Guamo; Guamo Churimo; Carbonero; Guamo Caliente; Churimo"/>
        <s v="600 Guama"/>
        <s v="601 Guamo Santafereño"/>
        <s v="602 Guamo Macheto; Guamo; Guamo Machete"/>
        <s v="603 Guamo Rabodemico; Guamo; Algarroba; Algarrobillo; Ámbar; Copal"/>
        <s v="604 Guama"/>
        <s v="605 Guamo Macheto; Guamo Copero; Churimba; Guamo Machete"/>
        <s v="606 Inga; Guama"/>
        <s v="607 Guamba; Guama del Orinoco"/>
        <s v="608 Amapola Rosa"/>
        <s v="609 Zancona; Palmito Dulce"/>
        <s v="610 Coralillo; Tabaquillo; Guacharaco; Flor de Mayo"/>
        <s v="611 Coral; Coralito; Coral de la India; Coral Rojo"/>
        <s v="612 Ixora"/>
        <s v="613 Cruz de Malta; Coralillo; Santa Rita; Rangan; Kheme; Ponna"/>
        <s v="614 Gualanday; Chingalé; Flormorado"/>
        <s v="615 Chingalé; Pavito; Gualanday; Vainillo; Gualancho"/>
        <s v="616 Gualanday Nativo; Chingalé; Gualanday"/>
        <s v="617 Jacaranda; Gualanday"/>
        <s v="618 Gualanday; Flormorado; Gualanday Caliente; Jacaranda; Palisandro"/>
        <s v="619 Jazmín; Jazmín de Estrella"/>
        <s v="620 Jazmín Estrella; Jazmin Alas de Ángel"/>
        <s v="621 Jazmin"/>
        <s v="622 Piñon de Purga; Piñón; Coquillo; Frailecillo; Piñón de la India; Miñon"/>
        <s v="623 Jaquillo; Brailejón; Carretillo; Frailecillo"/>
        <s v="624 Peregrina; Flor Roja; Peregrina; Fuscia"/>
        <s v="625 Planta Coral; Tártago; Avellano Purgante; Cabalongo"/>
        <s v="626 Yuco; Yuca; Corales; Novio; Patihinchado"/>
        <s v="627 Nogal; Cedro Nogal; Cedro Negro"/>
        <s v="628 Nogal Americano"/>
        <s v="629 Cedro Negro; Nogal del Castillo"/>
        <s v="630 Enebro Común"/>
        <s v="631 Juniperus Conferta"/>
        <s v="632 Enebro de Virginia"/>
        <s v="633 Justicia Adhatoda"/>
        <s v="634 Tango; Justicia"/>
        <s v="635 Sanguinaria; Singamochila; Yerba de la Sangre; Árnica; Sangre de Cristo; Cascajera"/>
        <s v="636 Sanguinaria"/>
        <s v="637 Árbol de las Salchichas"/>
        <s v="638 Jabonero de la China"/>
        <s v="639 Jabonero de la China; Arbol de Los Farolillos; Sombrilla Japones"/>
        <s v="640 Lluvia de Oro; Falso Ébano"/>
        <s v="641 Palma de Atherton"/>
        <s v="642 Huesito; Café de Monte; Cafecillo; Coral; Coralito; Laurel Rosado"/>
        <s v="643 Leche Miel; Lechemiel; Palo Espino; Chicle; Chicle Con Espinas; Chicle Espinoso"/>
        <s v="644 Dorado; Manteco; Lagunero"/>
        <s v="645 Guayacán de Manizales; Mirto; Guayabo Manizaleño"/>
        <s v="646 Guayacán de Manizales; Guayacán del Cauca; Arrayán Escobo; Pelincú"/>
        <s v="647 Guayacan"/>
        <s v="648 Guayacan; Arrayan de Manizales"/>
        <s v="649 Júpiter; Astromelio; Júpiter; Astromelia; Gólgota"/>
        <s v="650 Flor de la Reina; Reina de las Flores; Astromelia; Embrujo de la India; Orgullo de la India"/>
        <s v="651 Cinco Negritos"/>
        <s v="653 Lantana Viburnoides"/>
        <s v="652 Camará; Lantana; Bandera Española; Cinco Negritos"/>
        <s v="654 Palma Latania"/>
        <s v="655 Latania Roja"/>
        <s v="656 Laurel; Laurel Real; Canlón; Laurel Europeo"/>
        <s v="657 Carrapo; la Costilla Danto"/>
        <s v="658 Olletico; Olla de Mono; Olleto; Cocuelo; Coquillo"/>
        <s v="659 Olla de Mono; Olleto; Olleta de Mono"/>
        <s v="660 Coccinea; Talyantan"/>
        <s v="661 Acebo Hawaiano Rojo"/>
        <s v="662 Leptospermum; Arbol de Te"/>
        <s v="663 Guaje"/>
        <s v="664 Leucaena; Acacia Blanca; Panelo; Carbonero Blanco; Acacia Forrajera"/>
        <s v="665 Leucothoe Fontanesiana"/>
        <s v="666 Licania"/>
        <s v="667 Oití; Árbol de Cúcuta; Aití"/>
        <s v="668 Laurel; Canelo; Tuabe Canelo; Jigua Canelo; Laurel; Laurel de Bola"/>
        <s v="669 Palma Totuma; Licuala; Palma Licuala"/>
        <s v="670 Licuala de Manglar"/>
        <s v="671 Aligustre; Alheña; Ligustro Común; Ligustro Europeo"/>
        <s v="672 Jazmín de la China; Paraseto"/>
        <s v="673 Ligustro"/>
        <s v="674 Paraseto; Aligustrina; Ligustrina; Ligustrín; Aligustre"/>
        <s v="675 Paraseto"/>
        <s v="676 Ligustrum"/>
        <s v="677 Alcornoque; Liquidambar; Estoraque"/>
        <s v="678 Mamoncillo Chino; Lychee; Lich"/>
        <s v="679 Litsea Monopetala"/>
        <s v="680 Palma Abanico de la China"/>
        <s v="681 Palma Abanico (Drudei)"/>
        <s v="682 Palma Abanico (Rotundifolia)"/>
        <s v="683 Barbasco; Matapez; Baurá; Palo de José"/>
        <s v="684 Fresno"/>
        <s v="685 Clavo de Laguna; Clavito; Clavo; Clavo Amarillo; Yerba de Rejo"/>
        <s v="686 Guácimo Colorado; Malagano"/>
        <s v="687 Palma Coquito"/>
        <s v="688 Macadamia"/>
        <s v="689 Pico de Loro; Capote; Sietecueros; Carbón; Chucunda"/>
        <s v="690 Machetico"/>
        <s v="691 Ají Mora; Rabito de Mora; Dindé"/>
        <s v="692 Tabaquillo"/>
        <s v="693 Guamillo; Encenillo; Cuero de Marrano"/>
        <s v="694 Magnolia; Magnolio; Magnolia Blanca"/>
        <s v="695 Molinillo; Copachí; Guanábano de Monte"/>
        <s v="696 Magnolio (Silvioi)"/>
        <s v="697 Guanábano de Monte; Guanabanillo; Guanabanadillo; Fruta de Molinillo"/>
        <s v="698 Arbolito de Navidad; Holly Brillante; Joli"/>
        <s v="699 Huesito; Arrayan Cerezo; Cerezo de Monte; Acerola"/>
        <s v="700 Ciruelo Rojo; Cereza de Barbados; Cerezo Montañero"/>
        <s v="701 Manzana; Manzano"/>
        <s v="702 Falso Hibiscus; Altea"/>
        <s v="703 Campanita Roja; San Joaquín"/>
        <s v="704 Mamey"/>
        <s v="705 Mango; Mango de Azúcar"/>
        <s v="706 Yuca"/>
        <s v="707 Caimo Rojo"/>
        <s v="708 Níspero"/>
        <s v="709 Ojo de Paloma; Ojo de Palomo; Perlito"/>
        <s v="710 Trestablas"/>
        <s v="711 Zapote; Sapote; Chupa Chupa; Chupachupa"/>
        <s v="712 Matisia Obliquifolia"/>
        <s v="713 Sarno; Manzanillo; Caspi; Birringo (A otra sp de genero)"/>
        <s v="714 Maytenus Segoviarum"/>
        <s v="715 Camarón Rojo; Manto Rojo; Capote Brasilero"/>
        <s v="716 Corcho; Calistemo Blanco"/>
        <s v="717 Melastoma Malabathricum"/>
        <s v="718 Paraíso; Jazmín; Árbol del Paraíso; Alelí"/>
        <s v="719 Mamoncillo; Mamón"/>
        <s v="720 Cotoprís; Mamón"/>
        <s v="721 Cotoprix; Mamoncillo de Monte"/>
        <s v="722 Meliosma Occidentalis"/>
        <s v="723 Meliosma; Baboso; Babillo; Calabazo"/>
        <s v="724 Amarrabollo; Amarraboyo"/>
        <s v="725 Laurel Amarillo"/>
        <s v="726 Zafiro; Migüito"/>
        <s v="727 Miconia; Mortiño; Cenizo"/>
        <s v="728 Miconia; Capulincillo"/>
        <s v="729 Hoja de Lanza; Punta Lanza"/>
        <s v="730 Cuatrofilos; Tuno"/>
        <s v="731 Tuno; Mortiño Negro; Macanillo"/>
        <s v="732 Miconia; Nigüito; Mortiño"/>
        <s v="733 Miconia; Pajarito"/>
        <s v="734 Miconia Ligustroides"/>
        <s v="735 Nigüito (Minutiflora); Tuno; Mortiño"/>
        <s v="736 Nigüito"/>
        <s v="737 Niguito; Teñidor"/>
        <s v="738 Mortiño Blanco; Florentino; Mortiño; Huesito"/>
        <s v="739 Niguito; Tuno Negro"/>
        <s v="740 Tabaida; Tuno Rosado; Mortiño"/>
        <s v="742 Amaillo; Cántaro; Mortiño"/>
        <s v="743 Nigüito"/>
        <s v="744 Bejuco de Criatura; Guaquito; Cernilla"/>
        <s v="745 Haba de la India; Pogam"/>
        <s v="746 Zarzón; Dormidera; Vergonzosa; Zarza Prieta"/>
        <s v="747 Mimosa; Dormidera"/>
        <s v="748 Punta de Candado; Punte; Oquendo; Melcocho"/>
        <s v="749 Arboloco; Pauche"/>
        <s v="750 Olivo de Cera; Laurel de Cera; Aromo; Laurel"/>
        <s v="751 Noni; Piñuela"/>
        <s v="752 Moringa"/>
        <s v="753 Morisonia Oblongifolia"/>
        <s v="754 Moral Negro; Morera Negra"/>
        <s v="755 Morera Blanca"/>
        <s v="756 Chitató; Capulín; Chitato; Nigua"/>
        <s v="757 Bergera Koenigii"/>
        <s v="758 Azahar de la India; Jazmín"/>
        <s v="759 Musaenda Roja; Musaenda; Musaendo; Musaendra"/>
        <s v="760 Musaenda; Musaendra"/>
        <s v="761 Mussaenda sp"/>
        <s v="762 Guamo Peludo"/>
        <s v="763 Arrayán; Árbol de Cera"/>
        <s v="764 Guayabillo"/>
        <s v="765 Arrayán de Hoja Grande; Arrayán"/>
        <s v="766 Arrayán Blanco; Arrayán Negro; Guayabo de Castilla"/>
        <s v="767 Jaboticaba; Guayabo Jaboticaba"/>
        <s v="768 Bálsamo; Bálsamo de Tolú"/>
        <s v="769 Espadero; Cucharo; Cucharo Blanco"/>
        <s v="770 Espadero; Chagualo; Cucharo"/>
        <s v="771 Amarillo; Laurel (Acutifolia); Laurel Jigua"/>
        <s v="772 Laurel; Palialte"/>
        <s v="773 Laurel"/>
        <s v="774 Rambután"/>
        <s v="775 Habano; Adelfa; Azuceno"/>
        <s v="776 Contragavilana; Gavilana"/>
        <s v="777 Palmera Negra; Normambia"/>
        <s v="778 Mickey Mouse"/>
        <s v="779 Árbol Mickey Mouse"/>
        <s v="780 Balso; Palo de Balsa"/>
        <s v="781 Laurel Tunoso; Laurel Ojo de Mula; Jigua Laurel"/>
        <s v="782 Laurel; Jigua Amarillo"/>
        <s v="783 Laurel Mono; Laurel Pajita; Laurel; Laurel Tabaidá"/>
        <s v="784 Laurel Blanco"/>
        <s v="785 Laurel; Matatigre; Tigrito; Laurel Guacharaco"/>
        <s v="786 Laurel Yema de Huevo"/>
        <s v="787 Laurel de Bola"/>
        <s v="788 Palma Mil Pesos; Milpesos; Chapil"/>
        <s v="789 Nopal; Chumbo; Tuna"/>
        <s v="790 Blanco"/>
        <s v="791 Mano de Oso"/>
        <s v="792 Chocho; Alcornoque; Frijolillo de la Suerte"/>
        <s v="793 Chocho"/>
        <s v="794 Otobo; Cuangare; Sangregallino; Soto Sangre"/>
        <s v="795 Ozoroa sphaerocarpa"/>
        <s v="796 Ceibo de Agua; Castaño de Agua; Cacao de Monte"/>
        <s v="797 Castaño (Insignis); Castaño Silvestre; Cacao Ornamental; Zapotolongo"/>
        <s v="798 Tolúa; Ceiba Tolúa"/>
        <s v="799 Nuez del Brasil"/>
        <s v="800 Castaño; Cacao de Monte"/>
        <s v="801 Guardia de Cardenal"/>
        <s v="802 Camaron Amarillo"/>
        <s v="803 Aguadulce; Cafeto de Monte; Café de Montaña; Café de Monte"/>
        <s v="804 Cagalera; Flor de Mayo; Corpus"/>
        <s v="805 Flor de Mayo"/>
        <s v="806 Lato"/>
        <s v="807 Pandanus"/>
        <s v="808 Palma de Tornillo; Pandano"/>
        <s v="809 Acacia; Acacia Bracatinga; Acacia Negra; Acacia Baracatinga"/>
        <s v="810 Cachiporro; Navidad"/>
        <s v="811 Parkia"/>
        <s v="812 Espino de Jerusalén; Palo Verde; Retama; Sauce Guajiro"/>
        <s v="813 Curubo de Árbol; Granadilla de Árbol"/>
        <s v="814 Paulownia"/>
        <s v="815 Caguingo"/>
        <s v="816 Escobilla; Cadillo"/>
        <s v="817 Nazareno; Tananeo; Mochilero; Algarrobito"/>
        <s v="818 Acacia Ferruginea; Acacia"/>
        <s v="819 Dormilón; Capitancillo"/>
        <s v="820 Árbol Murciélago; Tapaculo"/>
        <s v="821 Quiebra Hacha; Carnegallina; Negrito; Cucharo"/>
        <s v="822 Varasanta; Palodiablo; Paparua"/>
        <s v="823 Bleo; Chupamelón; Bledochupa; Bleo de Chupa"/>
        <s v="824 Aguacate"/>
        <s v="825 Aguacatillo"/>
        <s v="826 Laurel Orquideas"/>
        <s v="827 Tastacame"/>
        <s v="828 Copa Blanca; Capá"/>
        <s v="829 Anamú; Chimú"/>
        <s v="830 Estrella de Oriente; Chaparrito; Chaparrillo; Chaparro"/>
        <s v="831 Flor Azúl; Azulito; Carrasposo; Chaparrillo"/>
        <s v="832 Plumon; Jazmín Azul; Chaparrito"/>
        <s v="833 Mano de Tigre; Güembé"/>
        <s v="834 Palma Datil de las Canarias; Palma Fénix; Datilera de las Canarias; Palma de Canarias"/>
        <s v="835 Dátil; Palma de Dátil; Palma Datilera; Datilera"/>
        <s v="836 Palma Datilera del Senegal; Palma Fénix"/>
        <s v="837 Palma Robeleni"/>
        <s v="838 Ditalera Plateada"/>
        <s v="839 Photinia; Fotinia"/>
        <s v="840 Grosello; Phyllantus"/>
        <s v="841 Grosello (Acuminatus); Barbasco; Barbasquillo; Chirrinche"/>
        <s v="842 Physocarpus Opulifolius"/>
        <s v="843 Tagua; Palmera de Marfil; Marfil Vegetal"/>
        <s v="844 Tagua"/>
        <s v="845 Ombú; Yerba de Culebra; Guaba; Árbol de la Bella Sombra"/>
        <s v="846 Pimienta de Olor; Pimienta Dulce; Pimiento"/>
        <s v="847 Aceituno; Malagueto"/>
        <s v="848 Pino Caribe; Pino Caribeño; Pino; Pino Caribea"/>
        <s v="849 Ocote Chino; Pino; Pino Ocarpa"/>
        <s v="850 Pino Pátula; Pino; Pino Espátula"/>
        <s v="851 Cordoncillo; Matico; Hierba del Soldado"/>
        <s v="852 Cordoncillo; Santamaría de Anís; Anisillo; Santamaría"/>
        <s v="853 Cordoncillo"/>
        <s v="854 Cordoncillo"/>
        <s v="855 Cordoncillo"/>
        <s v="856 Uña de Perro; Uña de Gato; Aruñagato"/>
        <s v="857 Chiminango; Payandé"/>
        <s v="858 Espino de Mono; Chiminango Rojo; Punta de Mono; Payandé"/>
        <s v="859 Pittosporum sp"/>
        <s v="860 Pítosporo de Hoja Fina"/>
        <s v="861 Galán de Noche; Huesito; Jazmín del Cabo"/>
        <s v="862 Tuya; Pino Libro; Pino Tuya"/>
        <s v="863 Trebol; Salero"/>
        <s v="864 Guayacán Trébol"/>
        <s v="865 Lomo de Caimán; Matarratón Extranjero; Cajón"/>
        <s v="866 Falsa Aralia; Aralia Araña"/>
        <s v="867 Pleuropetalum sp"/>
        <s v="868 Pleuropetalum sprucei"/>
        <s v="869 Laurel Jabon"/>
        <s v="870 Azulina; Bellaemilia; Floroazul"/>
        <s v="871 Alcamancayo; Amancayo; Azuceno; Blanco"/>
        <s v="872 Frangipani Blanco; Amancayo Amarillo"/>
        <s v="873 Florón; Floral; Azuceno; Plumeria"/>
        <s v="874 Flor de Mayo; Amancayo Rosado; Frangipán; Azuceno"/>
        <s v="875 Plumeria"/>
        <s v="876 Cipresillo; Pinotea; Chaquiro Dulce"/>
        <s v="877 Kusamaki O Inumaki"/>
        <s v="878 Chaquiro; Pino Colombiano (Oleifolius)"/>
        <s v="879 Pino Colombiano"/>
        <s v="880 Llovizno"/>
        <s v="881 Chorcha de Gallo; Quina; Chibigui; Madroño"/>
        <s v="882 Péndulo"/>
        <s v="883 Sereno; Millonaria"/>
        <s v="884 Millonaria (Fructicosa); Elegantísima"/>
        <s v="885 Millón; Pestañaevieja; Millonario Blanco; Geranio"/>
        <s v="886 Polyscias Paniculata"/>
        <s v="887 Crispa; Millonaria; Millonario; Millón"/>
        <s v="888 Millonaria"/>
        <s v="889 Haba de la India"/>
        <s v="890 Chopo"/>
        <s v="891 Azuceno de Monte; Jazmin Naranjo"/>
        <s v="892 Uva Caimarona; Caimarón"/>
        <s v="893 Uva Caimarona"/>
        <s v="894 Mediacara; Lechero de Plomo"/>
        <s v="895 Caimito de Monte; Zapote Amarillo"/>
        <s v="896 Caimo Peludo; Caimito; Caimo"/>
        <s v="897 Caimitillo; Níspero de Monte; Sapotillo"/>
        <s v="898 Níspero; Caimo Cafe; Caimo Negro"/>
        <s v="899 Caimo Cerezo; Zapotillo"/>
        <s v="900 Caimito; Ojo de Venado"/>
        <s v="901 Zapote de Carne; Zapote Costeño"/>
        <s v="902 Caimo Peludo; Guaimaro; Sapotillo"/>
        <s v="903 Palmicho; Palmito"/>
        <s v="904 Cola de Pescado"/>
        <s v="905 Cativo; Trementino"/>
        <s v="906 Palma Abanico de Fiji; Palma Pritchardia"/>
        <s v="907 Trupillo; Cuji; Algarrobo; Tropillo"/>
        <s v="908 Ánime; Ánime Rojo; Breo; Laurel Perico"/>
        <s v="909 Durazno; Melocotón"/>
        <s v="910 Cerezo; Cereza; Capulí"/>
        <s v="911 Truco"/>
        <s v="912 Pseuderanthemum Maculatum"/>
        <s v="913 Ceiba Verde; Majagua; Bonga"/>
        <s v="914 Cedro Amarillo; Iguá; Iguamarillo"/>
        <s v="915 Guayabo Peruano; Guayabo de Monte; Guayabo Agrio"/>
        <s v="916 Guayaba Coronilla; Guayaba Agria; Guayabo de Castilla"/>
        <s v="917 Guayabo; Guayaba; Guayaba Común; Guayaba Manzana"/>
        <s v="918 Guayabo Agrio; Guayaba Agria; Guayabito Agrio"/>
        <s v="919 Guayabo de Monte"/>
        <s v="920 Psychotria Nervosa"/>
        <s v="921 Sangre de Gallo; Drago; Ojo de Venado; Sangregado"/>
        <s v="922 Palo de Arco"/>
        <s v="923 Barbasco"/>
        <s v="924 Palma Solitaria; Ticosperma"/>
        <s v="925 Palma Mcarthur; Macarthur"/>
        <s v="926 Pueraria"/>
        <s v="927 Granada; Granado"/>
        <s v="928 Mortiño; Holly Espinoso; Piracanta"/>
        <s v="929 Olivo Santo; Olivo; Olivo Hembra; Naranjuelo; Naranjillo"/>
        <s v="930 Canela; Canelilla; Flor de Cacao; Madre Cacao; Madre de Cacao; Molinillo; Palo Copado; Palo de Canela; Palo de Molinillo; Rosa de Cacao"/>
        <s v="931 Roble de Tierra Fría; Roble"/>
        <s v="932 Quercus"/>
        <s v="933 Quillay"/>
        <s v="934 Palma del Viajero"/>
        <s v="935 Palma Majestad"/>
        <s v="936 Pino Colombiano; Chaquiro; Pino de Montaña; Pino Romerón"/>
        <s v="937 Palma Rafis; Palmerita China"/>
        <s v="938 Azalea; Biflora; Miflora"/>
        <s v="939 Laurel; Jigua Baboso; Jigua Laurel; Jigua Negro; Jigua Pava; Aguacatillo Gigante"/>
        <s v="940 Rhopalostylis Sapida"/>
        <s v="941 Rhus Glabra"/>
        <s v="942 Rhus Virens"/>
        <s v="943 Higuerilla; Higuerillo; Higuereta; Higuereto; Higuerillo Blanco"/>
        <s v="944 Anón; Anón de Monte; Anón Cimarón; Majagua"/>
        <s v="945 Rosa"/>
        <s v="946 Rosa Alpina"/>
        <s v="947 Rosa"/>
        <s v="948 Rosa de Japón; Rosa Multiflora"/>
        <s v="949 Rosa"/>
        <s v="950 Rosa"/>
        <s v="951 Mapora; Palma Botella; Palma Mapora; Palma Imperial"/>
        <s v="952 Palma Real de Cuba; Palma Real"/>
        <s v="953 Trompillo; Cedrillo"/>
        <s v="954 Petunia Mexicana"/>
        <s v="955 Ruellia sp"/>
        <s v="956 Palma Cana"/>
        <s v="957 Palmiche; Palma Amarga; Palmiche; Palmito; Calicá; Palmicho"/>
        <s v="958 Sabal; Palmicha"/>
        <s v="959 Zalac"/>
        <s v="960 Sauce Llorón"/>
        <s v="961 Sauce Llorón; Sauce; Sauce Macho; Sausa; Sauce Colorado; Icaco"/>
        <s v="962 Sauce Negro"/>
        <s v="963 Salvia Rosa"/>
        <s v="964 Salviarroja; Liberal; Calzón del Diablo; Viudalegre; Liberal"/>
        <s v="965 Samán; Campano; Algarrobillo; Árbol de Lluvia"/>
        <s v="966 Sauco; Saúco; Sauco de Castilla; Salbuguera; Sabuguera"/>
        <s v="967 Sauco"/>
        <s v="968 Espinazo; Afelandra"/>
        <s v="969 Cachimbo Amarillo"/>
        <s v="970 Chumbimbo; Jaboncillo; Árbol de Jabón; Jabo; Jabón; Chambimbe"/>
        <s v="971 Marañon; Caucho; Ñipi"/>
        <s v="972 Lechudo"/>
        <s v="973 Dulomoco; Chupachupa"/>
        <s v="974 Schefflera; Cheflera; Pategallina Hojigrande"/>
        <s v="975 Cheflera (Arborícola); Cheflera Enana"/>
        <s v="976 Falsa Aralia"/>
        <s v="977 Falso Pimiento; Muelle; Pimiento"/>
        <s v="978 Falso Pimiento; Pimiento; Terebinto; Pimineto Negro; Turibinto"/>
        <s v="979 Tambor; Tambolero; Tamborero; Frijolillo; Arenillas; Chingalé Tamborero"/>
        <s v="980 Alcaparro; Babacú; Martinable; Frisolito; Cacaona; Jagua"/>
        <s v="981 Bombito; Cuchillito; Platanito; Chivato; Ahitera"/>
        <s v="982 Sen del Campo"/>
        <s v="983 Potra; Frijolato; Bicho"/>
        <s v="984 Alcaparro; Palo Bonito; Pichuelo; Galvis; Cucaracho; Frutillo"/>
        <s v="985 Hawaii"/>
        <s v="986 Dorancé; Floramarillo; Bajagua; Galvis; Majagüito; Dorancel"/>
        <s v="987 Alcaparro"/>
        <s v="988 Acacia Siamea; Abeto; Acacio Santandereano; Alcaparro; Acacia; Carmín"/>
        <s v="989 Acacia"/>
        <s v="990 Cassia"/>
        <s v="991 Cantagallo Blanco; Gallito; Pirigallo; Sesbania; Agatí"/>
        <s v="992 Escobilla; Escobadura; Malva de Escoba; Malva de Puerco Y Malva Prieta"/>
        <s v="993 Amargo; Cedrillo; Aceituno; Amargo; Caratero; Chapul"/>
        <s v="994 Cofalillo; Hoja de Pasmo; Limoncillo"/>
        <s v="995 Cacao Montano"/>
        <s v="996 Zancona; Palma Mulata; Chuapo; Araco; Pachúa Zancona; Pona Lisa"/>
        <s v="997 Copa de Oro"/>
        <s v="998 Copa de Oro"/>
        <s v="999 Tomate de Árbol; Pepino de Árbol ; Tamarillo ; Tomate ; Tomate de Montaña ; Tomate de Monte"/>
        <s v="1000 Lulo de Ciudad; Lulo Ornamental; Arbol de las Papas"/>
        <s v="1001 Lulo de Perro; Friegaplatos; Matacucharachas"/>
        <s v="1002 Tabaquillo; Fona de Porca"/>
        <s v="1003 Borrachero; Borrachero Chiquito; Borrachero Cimarrón; Bodoquillo; Cucubo; Tinto"/>
        <s v="1004 Lulo; Lulo de Castilla; Lulo de Perro; Lulo Morado; Lulo Pequeño; Bombolo"/>
        <s v="1005 Indioviejo"/>
        <s v="1006 Sacalaestaca; Sacaestaca; Friegaplatos; Limpiaplato; Mancatigre"/>
        <s v="1007 Solanum"/>
        <s v="1008 Cujarco; Cucubo; Cujaco; Almanegra; Lulo; Tachuelo"/>
        <s v="1009 Friegaplatos; Cujaca; Berenjenita Cimarrona; Frutillo"/>
        <s v="1010 Chucho Lanudo; Pepo; Borrachero"/>
        <s v="1011 Tachuelo; Lulo"/>
        <s v="1012 Espaquea"/>
        <s v="1013 Tulipán Africano; Tulipán; Miona; Rosa China; Barquitos"/>
        <s v="1014 Ceiba Tierra Fria"/>
        <s v="1015 Espiroteca"/>
        <s v="1016 Cancharana; Canyarana; Canllarana; Cancharama; Ciruelo Dulce; Hobo"/>
        <s v="1017 Hobo; Jobo; Ubo; Uvo; Hobo Arisco; Ciruelo"/>
        <s v="1018 Ciruelo; Cirgüelo; Ciruela; Ciruela Calentana; Ciruelo Blanco"/>
        <s v="1019 Verbena Lila"/>
        <s v="1020 Mora de Terciopelo; Hierba de Serpiente"/>
        <s v="1021 Verbena Azul"/>
        <s v="1022 Azuceno; Huevos de Perro; Cojon de Gato; Jazmín; Estremadelio"/>
        <s v="1023 Camajón; Piñón; Camajonduro; Camajorú; Camajurú; Camajón Duro"/>
        <s v="1024 Barbatimao"/>
        <s v="1025 Chuchillo"/>
        <s v="1026 Mucuna; Guacharaco; Rumbo; Macuná; Mucuná"/>
        <s v="1027 Fresno; Frijolillo; Costillo; Latigo"/>
        <s v="1028 Cucharo; Frijolillo"/>
        <s v="1029 Cucharo; Frijolillo (A otra sp de genero)"/>
        <s v="1030 Caoba; Caobo; Caoba Americana; Cedro Caoba; Palo Santo"/>
        <s v="1031 Caoba Dominicana; Caoba; Caobo; Caoba Americana; Caobo Cubano; Caoba de Santo Domingo"/>
        <s v="1032 Limonacho; Limoncillo; Limón Swinglia; Limón Suingla"/>
        <s v="1033 Palma de Azúcar; Palma Reina; Coco Plumoso"/>
        <s v="1034 Palma Sancona; Sarare; Zancona; Quirache; Saray; Palma de Sarare"/>
        <s v="1035 Falso Camedor; Corosilla"/>
        <s v="1036 Fruta Milagrosa"/>
        <s v="1037 Aceituno Dulce; Aceituno; Uva; Uvito; Jambolán; Aceituna"/>
        <s v="1038 Pomo; Pomarroso; Pomarrosa; Pomarrosa Común; Pomorroso; Pomorroso de Castilla"/>
        <s v="1039 Pero de Agua; Pomarroso; Pomarroso Brasilero; Pomarroso Brasileño; Pomarrosa del Brasil; Pera de Malaca"/>
        <s v="1040 Eugenia"/>
        <s v="1041 Syzygium"/>
        <s v="1042 Polvillo; Coralibre; Cañaguate Blanco"/>
        <s v="1043 Roble Amarillo; Cañaguate; Guayacán; Alumbre"/>
        <s v="1044 Guayacan Peludo"/>
        <s v="1045 Lapacho Rosado; Corazonfino; Cañaguate Morado"/>
        <s v="1046 Guayacán; Chicalá; Floramarillo; Guayacán Polvillo; Guayacán Amarillo"/>
        <s v="1047 Cáliz de Papel; Roble Merrill"/>
        <s v="1048 Apamate; Guayacán Rosado; Ocobo; Roble; Guayacán; Guayacán Morado"/>
        <s v="1049 Guayacán Enano"/>
        <s v="1050 Cojon de Frayle; Lirio Macho; Jazmín del Monte"/>
        <s v="1051 Jazmín de Malabar; Jazmín; Malabar; Sanango; Malabarí"/>
        <s v="1052 Jazmín de Malabar; Jazmín; Malabar; Malabarí; Azuceno"/>
        <s v="1053 Azuceno; Cojón de Gato; Jazmín; Cachito"/>
        <s v="1054 Piangüita; Lechito"/>
        <s v="1055 Cojón de Perro (A otra sp de genero)"/>
        <s v="1056 Tostado"/>
        <s v="1057 Majaguo; Sanjoaquín; Chitú; Majagua"/>
        <s v="1058 Pitomba Sacha"/>
        <s v="1059 Tamarindo"/>
        <s v="1060 Fresno; Cedrillo; Guarupayo; Cedro Macho"/>
        <s v="1061 Ciprés Moctezuma; Ahuehuete; Sabino"/>
        <s v="1062 Bignonia Roja; Llamarada; Candela; Bignonia; Tecomaria"/>
        <s v="1063 Chirlobirlo; Floramarillo; Fresno; Amarillo; Fresnillo; Chicalá"/>
        <s v="1064 Teca; Teco"/>
        <s v="1065 Almendro Amazónico; Amarillón; Roble Coral; Vara de León"/>
        <s v="1067 Almendro; Almendrón; Almendra; Almendrillo"/>
        <s v="1068 Guayabillo"/>
        <s v="1069 Terminalia; Almendro Ovirensis"/>
        <s v="1070 Terminalia Mantaly"/>
        <s v="1071 Guayabillo; Vara de León; Guayabito; Guayabo"/>
        <s v="1072 Limba; Terminalia"/>
        <s v="1073 Sauce Playero; Aliso de Rio; Sauce de Playa; Sauce; Cenizo"/>
        <s v="1074 Papel Arroz"/>
        <s v="1075 Maraco; Bacao; Bacao de Monte; Maraca"/>
        <s v="1076 Cacao; Cacaotero; Chocolate"/>
        <s v="1077 Copoazú; Copuazú; Cupuazú; Cacao de Monte; Maraca Silvestre"/>
        <s v="1078 Clemón; Algodoncillo; Algodon de Arbol"/>
        <s v="1079 Huevos de Tigre"/>
        <s v="1080 Catape; Cobalongo"/>
        <s v="1081 Mirasol; Boton de Oro; Margaritón"/>
        <s v="1082 Palma Abanico"/>
        <s v="1083 Manto de Rey"/>
        <s v="1084 Manto de Rey"/>
        <s v="1085 Flor de Princesa; Planta de la Gloria"/>
        <s v="1086 Siete Cueros"/>
        <s v="1087 Oreja de Venado"/>
        <s v="1088 Sietecueros; Sietecueros Real"/>
        <s v="1089 Siete Cueros; Sietecueros Brasilero; Sietecueros Nazareno"/>
        <s v="1090 Tilia Europaea"/>
        <s v="1091 Toddalia sp"/>
        <s v="1092 Trompillo; Rapabarbo"/>
        <s v="1093 Manzanillo; Chiraco; Caspi; Pedrohernández"/>
        <s v="1094 Molino del Viento Chino; Palma de Viento; Palma Molino de Viento Chino"/>
        <s v="1095 Amor de Hombre"/>
        <s v="1096 Guarda Parque Morado"/>
        <s v="1097 Cariaño; Caraño; Ampó"/>
        <s v="1098 Zurrumbo; Látigo; Verraco; Surundé; Cargadero; Raspador; Berraco"/>
        <s v="1099 Quiebra Barrigo; Quiebrabarrigo; Nacedero; Madre de Agua"/>
        <s v="1100 Chalahuite"/>
        <s v="1101 Cedrillo; Cacique; Cedro"/>
        <s v="1102 Jobo Macho; Trompillo; Jobo; Tautano; Tuétano"/>
        <s v="1103 Tuétano; Cedrillo; Vara de Piedra"/>
        <s v="1104 Melao; Chillalde"/>
        <s v="1105 Cerezo Asiatico"/>
        <s v="1106 Vara Santa; Varasanta; Guacamayo; Palosanto"/>
        <s v="1107 Palma Carandilla"/>
        <s v="1108 Santalucía; Damiana; Panchecito; Amapola"/>
        <s v="1109 Olmo Chino"/>
        <s v="1110 Ortiga"/>
        <s v="1111 Pringamosa; Pringamoza; Ortiga; Ortigo"/>
        <s v="1112 Tamarindo; Tamarindo de Montaña"/>
        <s v="1113 Cornezuelo; Torito; Árbol de Cuerno"/>
        <s v="1114 Aromo; Espino"/>
        <s v="1115 Papayo de Monte; Papayo de Rastrojo"/>
        <s v="1116 Guacimo Blanco"/>
        <s v="1117 Palo de Gallinazo; Guerra; Marimari; Palo de Grulla; Gallinazo Ordinario"/>
        <s v="1118 Palma Montgomery"/>
        <s v="1119 Pauche; Camargo; Tabaquillo"/>
        <s v="1120 Olivon"/>
        <s v="1121 Indioviejo; Olivón; Varejón; Salvión"/>
        <s v="1122 Juco; Pita; Sauco de Monte; Cabo de Hacha"/>
        <s v="1123 Viburno"/>
        <s v="1124 Sauco"/>
        <s v="1125 Virola Multiflora"/>
        <s v="1126 Sangretoro; Soto; Cuangare"/>
        <s v="1127 Murdago"/>
        <s v="1128 Carate; Punta de Lanza; Puntalanza; Puntelanza"/>
        <s v="1129 Sangre Gallina; Manchado; Manchador; Carate; Punta de Lanza; Carate Negro"/>
        <s v="1130 Aceituno; Aceituna; Guayacán Azul; Taruma"/>
        <s v="1131 Aceituno"/>
        <s v="1132 Roble Guayo; Penda; Higüerillo"/>
        <s v="1133 Truntago"/>
        <s v="1134 Nispero Amazonico"/>
        <s v="1135 Palma Abanico; Washingtonia; Palma Washingtonia; Palma de Abanico; Palma Washingtoniana"/>
        <s v="1136 Washingtonia; Palma Washingtonia"/>
        <s v="1137 Encenillo; Encino; Encenillo Crespo"/>
        <s v="1138 Encenillo; Encino; Encenillo Peludo"/>
        <s v="1139 Sanjuán; Amargo; Cuasbil; Sanjuán; Palma Sanjuán;"/>
        <s v="1140 Palma Macana; Baqueta; Crespa"/>
        <s v="1141 Palma Crespa; Macana"/>
        <s v="1142 Punteguayabo; Cabo de Hacha; Mantequillo"/>
        <s v="1143 Palma Cola de Zorro; Cola de Zorro"/>
        <s v="1144 Xilopia; Copillo; Sembé; Malagueto; Escobillo; Frisolillo"/>
        <s v="1145 Yucca; Palma de Yuca; Palma de Bayoneta"/>
        <s v="1146 Espadillo; Palma Yuca"/>
        <s v="1147 Palma Yuca; Palma Bayoneta; Palmiche"/>
        <s v="1148 Yuca Brillante"/>
        <s v="1149 Tachuelo"/>
        <s v="1150 Tachuelo; Tacho; Doncel; Cilantrón; Mamica de Cadela"/>
        <s v="1151 Guinda; Manzanita; Manzanito"/>
        <s v="1152 Guinda; Manzanita Costeña; Pistacho"/>
        <s v="1153 Suribio; Chíparo; Achil; Payandé; Playero"/>
        <s v="1154 Cadillo Africano"/>
        <s v="1155 Tanag de Filipinas"/>
        <s v="1156 Pronto Alibio; Sanalotodo"/>
        <s v="1157 Campanilla de Invierno; Perforanieves; Galanto"/>
        <s v="1158 Hierba Buena"/>
        <s v="1159 Achita; Amaranto"/>
        <s v="1160 Árbol del Cielo"/>
        <s v="1161 Duraznillo; Chirlobirlo; Sacaojos Colorado"/>
        <s v="1162 Anón"/>
        <s v="1163 Indeterminado"/>
        <s v="1164 Indeterminado"/>
        <s v="1165 Chilco"/>
        <s v="1166 Bambú"/>
        <s v="1167 Carbonero de Monte; Pegamosco"/>
        <s v="1168 Trompeto; Curador"/>
        <s v="1169 Veranera; Curazao"/>
        <s v="1170 Veranera; Curazao"/>
        <s v="1171 Borrachero; Borrachero Blanco"/>
        <s v="1172 Cedrillo"/>
        <s v="1173 Francesino; Jazmín de Malabar"/>
        <s v="1177 Cañafístula; Acacia"/>
        <s v="1178 Limón; Limón Dulce"/>
        <s v="1179 Chiriguaco; Cargagua; Ahuyamo"/>
        <s v="1180 Chagualo; Chagualito"/>
        <s v="1181 Chagualo"/>
        <s v="1182 Café; Cafeto"/>
        <s v="1183 Cascabelito; Guache; Chucho"/>
        <s v="1184 Ciprés; Pino; Pino Limon"/>
        <s v="1185 Palma Cica; Cyca; Cica; Palma de Sagú"/>
        <s v="1186 Guasco; Granado; Mote"/>
        <s v="1187 Dombeya"/>
        <s v="1188 Canelo de Páramo; Ají de Páramo; Canelo"/>
        <s v="1189 Chocho; Gachingo; Secó"/>
        <s v="1190 Chilco Colorado; Chilco; Carbón; Tíbar"/>
        <s v="1191 Eugenia; Grosello"/>
        <s v="1193 Ficus Bomba"/>
        <s v="1194 Caucho; Higuerón"/>
        <s v="1195 Cerezo de Monte"/>
        <s v="1196 Fique"/>
        <s v="1197 Fique; Cabuya; Maguey"/>
        <s v="1198 Colorado; Cucharo"/>
        <s v="1199 Caunce; Floramarillo"/>
        <s v="1200 Cargadero; Cargadera; Garrapato"/>
        <s v="1201 Lechero"/>
        <s v="1202 Balso Blanco; Balso; Pestaña de Mula"/>
        <s v="1203 Majagua"/>
        <s v="1204 Candelo; Motilon"/>
        <s v="1205 Cardenillo"/>
        <s v="1206 Cardenillo; Piedro; Algodón"/>
        <s v="1207 Guamo; Churimo; Barbasco"/>
        <s v="1208 Guamo; Guama; Guabo; Churimo de Orilla;"/>
        <s v="1209 Guamo Churimo; Guamo; Guamo Cazamuelas; Brijolito"/>
        <s v="1210 Pino Azul"/>
        <s v="1211 Enebro azul; Ciprés Azul; Juníspero"/>
        <s v="1213 Leucaena; Acacia Blanca; Panelo; Carbonero Blanco"/>
        <s v="1214 Almanegra; Bolenillo"/>
        <s v="1216 Guacharaco; Patepaujil; Joropo; Bálsamo"/>
        <s v="1217 Sarno; Manguito; Caspi; Palo de Sarno"/>
        <s v="1218 Niguito; Esmeraldo; Tuno; Mortiño"/>
        <s v="1219 Toronjil"/>
        <s v="1220 Niguito; Morochillo; Mortiño; Granizo"/>
        <s v="1221 Rúchica"/>
        <s v="1222 Monina"/>
        <s v="1223 Morera; Mora"/>
        <s v="1224 Arrayán Grande; Arrayán; Guayabito; Guayabito Liso"/>
        <s v="1225 Arrayán Negro; Almanegra; Chiso; Chisa"/>
        <s v="1226 Cucharo; Espadero; Cucharo Blanco; Chagualo; Garrocho"/>
        <s v="1228 Jigua Laurel; Guacharaco; Laurel; Jigua Negro; Laurel Amarillo"/>
        <s v="1229 Laurel; Amargo; Laurel Amarillo; Laurel Llanero"/>
        <s v="1230 Mano de Oso; Amarillo; Higuerón; Higuerillo"/>
        <s v="1231 Mano de Oso; Guache; Candelero; Pata de Gallina"/>
        <s v="1233 Pino Maximinoi"/>
        <s v="1241 Romero; Romero Común"/>
        <s v="1234 Pino"/>
        <s v="1242 Carnefiambre; Jigracaspi; Azufre; Carafiambre; Carneasao; Fiambre"/>
        <s v="1235 Gallinazo; Cenizo; Cacique"/>
        <s v="1237 Ciruelo; Ciruela"/>
        <s v="1238 Piracanto; Coralito"/>
        <s v="1239 Coralito; Holly; Mortiño"/>
        <s v="1251 Mantequillo; Almendro"/>
        <s v="1253 Terminalia; Almendro"/>
        <s v="1254 Verdenegro; Guásimo"/>
        <s v="1255 Guácimo Blanco"/>
        <s v="1244 Cabuyo"/>
        <s v="1256 Guasco"/>
        <s v="1257 Papayuela; Papayuelo"/>
        <s v="1246 Lechero; Caucho; Murillo; Mantequilla; Mantequillo; Lechudo"/>
        <s v="1259 Yesco; Camargo"/>
        <s v="1248 Dulumoco; Lulumoco; Dulomoco; Moco; Moquillo; Aguanoso"/>
        <s v="1249 Cheflera; Yuco"/>
        <s v="1261 Sauco de Monte; Pitá"/>
        <s v="1262 Karité"/>
        <s v="1263 Corono; Puyón; Aguja de Arria; Tachuelo; Cacho de Venado; Espino"/>
        <s v="1264 Guaudilla; Bambú"/>
      </sharedItems>
    </cacheField>
    <cacheField name="Origen" numFmtId="0">
      <sharedItems containsBlank="1">
        <s v="Indeterminado"/>
        <s v="Nativa"/>
        <s v="Introducida"/>
        <m/>
        <s v="Endemica"/>
        <s v="No definido"/>
      </sharedItems>
    </cacheField>
    <cacheField name="¿Hay reportes en Colombia?" numFmtId="0">
      <sharedItems containsBlank="1">
        <s v="No"/>
        <s v="Si"/>
        <m/>
        <s v="No determinado"/>
      </sharedItems>
    </cacheField>
    <cacheField name="Hábito" numFmtId="0">
      <sharedItems containsBlank="1">
        <s v="Indeterminado"/>
        <s v="Árbol"/>
        <s v="Arbusto"/>
        <s v="Palma"/>
        <s v="Roseta"/>
        <s v="Trepadora"/>
        <s v="Bambú y guaduas"/>
        <s v="Xerófita"/>
        <m/>
        <s v="Palmera*"/>
        <s v="Hierba"/>
        <s v="No definido"/>
      </sharedItems>
    </cacheField>
    <cacheField name="Género sin #" numFmtId="0">
      <sharedItems containsBlank="1">
        <s v="Indeterminado"/>
        <s v="Abarema"/>
        <s v="Abelmoschus"/>
        <s v="Abutilon"/>
        <s v="Acacia"/>
        <s v="Acalypha"/>
        <s v="Acca"/>
        <s v="Achatocarpus"/>
        <s v="Acnistus"/>
        <s v="Acosmium"/>
        <s v="Acrocarpus"/>
        <s v="Acrocomia"/>
        <s v="Adenanthera"/>
        <s v="Adenaria"/>
        <s v="Adonidia"/>
        <s v="Aegiceras"/>
        <s v="Aegiphila"/>
        <s v="Agave"/>
        <s v="Aiouea"/>
        <s v="Aiphanes"/>
        <s v="Albizia"/>
        <s v="Alchornea"/>
        <s v="Aleurites"/>
        <s v="Alfaroa"/>
        <s v="Allamanda"/>
        <s v="Allophylus"/>
        <s v="Alnus"/>
        <s v="Aloe"/>
        <s v="Aloysia"/>
        <s v="Alpinia"/>
        <s v="Alstonia"/>
        <s v="Alternanthera"/>
        <s v="Amherstia"/>
        <s v="Ampelocera"/>
        <s v="Amphitecna"/>
        <s v="Anacardium"/>
        <s v="Andira"/>
        <s v="Aniba"/>
        <s v="Annona"/>
        <s v="Neolamarckia"/>
        <s v="Apeiba"/>
        <s v="Aphelandra"/>
        <s v="Aralia"/>
        <s v="Araucaria"/>
        <s v="Archontophoenix"/>
        <s v="Ardisia"/>
        <s v="Areca"/>
        <s v="Arenga"/>
        <s v="Artemisia"/>
        <s v="Artocarpus"/>
        <s v="Asclepias"/>
        <s v="Asparagus"/>
        <s v="Aspidosperma"/>
        <s v="Astrocaryum"/>
        <s v="Astronium"/>
        <s v="Asystasia"/>
        <s v="Attalea"/>
        <s v="Aucuba"/>
        <s v="Averrhoa"/>
        <s v="Azadirachta"/>
        <s v="Baccharis"/>
        <s v="Bactris"/>
        <s v="Bambusa"/>
        <s v="Bauhinia"/>
        <s v="Beaucarnea"/>
        <s v="Begonia"/>
        <s v="Beilschmiedia"/>
        <s v="Bellucia"/>
        <s v="Billia"/>
        <s v="Bischofia"/>
        <s v="Bismarckia"/>
        <s v="Bixa"/>
        <s v="Blighia"/>
        <s v="Bocconia"/>
        <s v="Boehmeria"/>
        <s v="Bombax"/>
        <s v="Alibertia"/>
        <s v="Bougainvillea"/>
        <s v="Brachylaena"/>
        <s v="Brasiliopuntia"/>
        <s v="Brassiophoenix"/>
        <s v="Breonia"/>
        <s v="Breynia"/>
        <s v="Brosimum"/>
        <s v="Broussonetia"/>
        <s v="Brownea"/>
        <s v="Browneopsis"/>
        <s v="Brugmansia"/>
        <s v="Brunfelsia"/>
        <s v="Terminalia"/>
        <s v="Buddleja"/>
        <s v="Bulnesia"/>
        <s v="Plectrocarpa"/>
        <s v="Bunchosia"/>
        <s v="Bursera"/>
        <s v="Buxus"/>
        <s v="Byrsonima"/>
        <s v="Libidibia"/>
        <m/>
        <s v="Caesalpinia"/>
        <s v="Tara"/>
        <s v="Cajanus"/>
        <s v="Calliandra"/>
        <s v="Callicarpa"/>
        <s v="Melaleuca"/>
        <s v="Hesperocyparis"/>
        <s v="Calocedrus"/>
        <s v="Calophyllum"/>
        <s v="Calycophyllum"/>
        <s v="Calyptranthes"/>
        <s v="Camelia"/>
        <s v="Campomanesia"/>
        <s v="Cananga"/>
        <s v="Morisonia"/>
        <s v="Capsicum"/>
        <s v="Carapa"/>
        <s v="Carica"/>
        <s v="Cariniana"/>
        <s v="Carissa"/>
        <s v="Carludovica"/>
        <s v="Carya"/>
        <s v="Caryocar"/>
        <s v="Caryodaphnopsis"/>
        <s v="Caryodendron"/>
        <s v="Caryota"/>
        <s v="Cascabela"/>
        <s v="Casearia"/>
        <s v="Casimiroa"/>
        <s v="Cassia"/>
        <s v="Senna"/>
        <s v="Castilla"/>
        <s v="Casuarina"/>
        <s v="Catalpa"/>
        <s v="Cavanillesia"/>
        <s v="Cavendishia"/>
        <s v="Cecropia"/>
        <s v="Cedrela"/>
        <s v="Ceiba"/>
        <s v="Celastrus"/>
        <s v="Centrolobium"/>
        <s v="Ceratozamia"/>
        <s v="Cereus"/>
        <s v="Ceroxylon"/>
        <s v="Cespedesia"/>
        <s v="Cestrum"/>
        <s v="Chamaecyparis"/>
        <s v="Chamaedorea"/>
        <s v="Chambeyronia"/>
        <s v="Chelyocarpus"/>
        <s v="Cinchona"/>
        <s v="Chloroleucon"/>
        <s v="Chromolaena"/>
        <s v="Chrysobalanus"/>
        <s v="Chrysophyllum"/>
        <s v="Cinnamomum"/>
        <s v="Citharexylum"/>
        <s v="Citrus"/>
        <s v="Clarisia"/>
        <s v="Clathrotropis"/>
        <s v="Clavija"/>
        <s v="Clerodendrum"/>
        <s v="Clethra"/>
        <s v="Clibadium"/>
        <s v="Clidemia"/>
        <s v="Clitoria"/>
        <s v="Clusia"/>
        <s v="Cnidoscolus"/>
        <s v="Coccoloba"/>
        <s v="Coccothrinax"/>
        <s v="Cochlospermum"/>
        <s v="Cocos"/>
        <s v="Codiaeum"/>
        <s v="Coffea"/>
        <s v="Cojoba"/>
        <s v="Coleus"/>
        <s v="Colubrina"/>
        <s v="Compsoneura"/>
        <s v="Condaminea"/>
        <s v="Conocarpus"/>
        <s v="Copaifera"/>
        <s v="Cordia"/>
        <s v="Guayubirá"/>
        <s v="Cordyline"/>
        <s v="Coriaria"/>
        <s v="Cornutia"/>
        <s v="Corymbia"/>
        <s v="Costus"/>
        <s v="Cotoneaster"/>
        <s v="Couratari"/>
        <s v="Couroupita"/>
        <s v="Crataegus"/>
        <s v="Crateva"/>
        <s v="Crescentia"/>
        <s v="Croton"/>
        <s v="Cryosophila"/>
        <s v="Cryptomeria"/>
        <s v="Cunonia"/>
        <s v="Cupania"/>
        <s v="Cupressus"/>
        <s v="Curatella"/>
        <s v="Cyathea"/>
        <s v="Cyca"/>
        <s v="Cycas"/>
        <s v="Cyperus"/>
        <s v="Cyphomandra"/>
        <s v="Cyrtostachys"/>
        <s v="Dahlia"/>
        <s v="Delonix"/>
        <s v="Delostoma"/>
        <s v="Dendrocnide"/>
        <s v="Dendropanax"/>
        <s v="Dialium"/>
        <s v="Dianthera"/>
        <s v="Dicksonia"/>
        <s v="Dictyocaryum"/>
        <s v="Dilodendron"/>
        <s v="Dimocarpus"/>
        <s v="Diospyros"/>
        <s v="Dipteryx"/>
        <s v="Dodonaea"/>
        <s v="Dombeya"/>
        <s v="Dovyalis"/>
        <s v="Dracaena"/>
        <s v="Duranta"/>
        <s v="Dypsis"/>
        <s v="Dysoxylum"/>
        <s v="Elaeis"/>
        <s v="Elaeocarpus"/>
        <s v="Endlicheria"/>
        <s v="Enterolobium"/>
        <s v="Eperua"/>
        <s v="Eriobotrya"/>
        <s v="Erythrina"/>
        <s v="Erythroxylum"/>
        <s v="Escallonia"/>
        <s v="Eschweilera"/>
        <s v="Escobedia"/>
        <s v="Eucalyptus"/>
        <s v="Eugenia"/>
        <s v="Euonymus"/>
        <s v="Euphorbia"/>
        <s v="Euterpe"/>
        <s v="Feijoa"/>
        <s v="Ficus"/>
        <s v="Flacourtia"/>
        <s v="Frangula"/>
        <s v="Fraxinus"/>
        <s v="Fuchsia"/>
        <s v="Galphimia"/>
        <s v="Garcinia"/>
        <s v="Gardenia"/>
        <s v="Genipa"/>
        <s v="Geoffroea"/>
        <s v="Geonoma"/>
        <s v="Gliricidia"/>
        <s v="Gmelina"/>
        <s v="Gossypium"/>
        <s v="Graptophyllum"/>
        <s v="Grevillea"/>
        <s v="Guadua"/>
        <s v="Guaiacum"/>
        <s v="Guarea"/>
        <s v="Guatteria"/>
        <s v="Guazuma"/>
        <s v="Gustavia"/>
        <s v="Hamelia"/>
        <s v="Hampea"/>
        <s v="Handroanthus"/>
        <s v="Harpullia"/>
        <s v="Hasseltia"/>
        <s v="Heliocarpus"/>
        <s v="Heptapleurum"/>
        <s v="Herrania"/>
        <s v="Hevea"/>
        <s v="Hibiscus"/>
        <s v="Hieronyma"/>
        <s v="Himatanthus"/>
        <s v="Hoheria"/>
        <s v="Holmskioldia"/>
        <s v="Howea"/>
        <s v="Huberodendron"/>
        <s v="Hura"/>
        <s v="Hymenaea"/>
        <s v="Hyophorbe"/>
        <s v="Ilex"/>
        <s v="Indigofera"/>
        <s v="Inga"/>
        <s v="Ipomoea"/>
        <s v="Iriartea"/>
        <s v="Isertia"/>
        <s v="Ixora"/>
        <s v="Jacaranda"/>
        <s v="Jasminum"/>
        <s v="Jatropha"/>
        <s v="Juglans"/>
        <s v="Juniperus"/>
        <s v="Justicia"/>
        <s v="Kigelia"/>
        <s v="Koelreuteria"/>
        <s v="Laburnum"/>
        <s v="Laccospadix"/>
        <s v="Lacistema"/>
        <s v="Lacmellea"/>
        <s v="Laetia"/>
        <s v="Lafoensia"/>
        <s v="Lagerstroemia"/>
        <s v="Lantana"/>
        <s v="Latania"/>
        <s v="Laurus"/>
        <s v="Lecointea"/>
        <s v="Lecythis"/>
        <s v="Leea"/>
        <s v="Leptospermum"/>
        <s v="Leucaena"/>
        <s v="Leucothoe"/>
        <s v="Licania"/>
        <s v="Licaria"/>
        <s v="Licuala"/>
        <s v="Ligustrum"/>
        <s v="Liquidambar"/>
        <s v="Litchi"/>
        <s v="Litsea"/>
        <s v="Livistona"/>
        <s v="Lonchocarpus"/>
        <s v="Ludwigia"/>
        <s v="Luehea"/>
        <s v="Lytocaryum"/>
        <s v="Macadamia"/>
        <s v="Machaerium"/>
        <s v="Maclura"/>
        <s v="Macrocarpaea"/>
        <s v="Macrolobium"/>
        <s v="Magnolia"/>
        <s v="Malpighia"/>
        <s v="Malus"/>
        <s v="Malvaviscus"/>
        <s v="Mammea"/>
        <s v="Mangifera"/>
        <s v="Manihot"/>
        <s v="Manilkara"/>
        <s v="Margaritaria"/>
        <s v="Matayba"/>
        <s v="Matisia"/>
        <s v="Mauria"/>
        <s v="Maytenus"/>
        <s v="Megaskepasma"/>
        <s v="Melastoma"/>
        <s v="Melia"/>
        <s v="Melicoccus"/>
        <s v="Meliosma"/>
        <s v="Meriania"/>
        <s v="Mespilodaphne"/>
        <s v="Miconia"/>
        <s v="Mikania"/>
        <s v="Millettia"/>
        <s v="Mimosa"/>
        <s v="Minquartia"/>
        <s v="Montanoa"/>
        <s v="Morella"/>
        <s v="Morinda"/>
        <s v="Moringa"/>
        <s v="Morus"/>
        <s v="Muntingia"/>
        <s v="Bergera"/>
        <s v="Murraya"/>
        <s v="Mussaenda"/>
        <s v="Myrcia"/>
        <s v="Myrcianthes"/>
        <s v="Plinia"/>
        <s v="Myroxylon"/>
        <s v="Myrsine"/>
        <s v="Nectandra"/>
        <s v="Nephelium"/>
        <s v="Nerium"/>
        <s v="Neurolaena"/>
        <s v="Normanbya"/>
        <s v="Ochna"/>
        <s v="Ochroma"/>
        <s v="Ocotea"/>
        <s v="Oenocarpus"/>
        <s v="Opuntia"/>
        <s v="Orania"/>
        <s v="Oreopanax"/>
        <s v="Ormosia"/>
        <s v="Otoba"/>
        <s v="Ozoroa"/>
        <s v="Pachira"/>
        <s v="Pachystachys"/>
        <s v="Palicourea"/>
        <s v="Pandanus"/>
        <s v="Paraserianthes"/>
        <s v="Parkia"/>
        <s v="Parkinsonia"/>
        <s v="Passiflora"/>
        <s v="Paulownia"/>
        <s v="Pausandra"/>
        <s v="Pavonia"/>
        <s v="Peltogyne"/>
        <s v="Peltophorum"/>
        <s v="Pentaclethra"/>
        <s v="Pentagonia"/>
        <s v="Pera"/>
        <s v="Perebea"/>
        <s v="Pereskia"/>
        <s v="Persea"/>
        <s v="Perymenium"/>
        <s v="Petitia"/>
        <s v="Petiveria"/>
        <s v="Petrea"/>
        <s v="Philodendron"/>
        <s v="Phoenix"/>
        <s v="Photinia"/>
        <s v="Phyllanthus"/>
        <s v="Physocarpus"/>
        <s v="Phytelephas"/>
        <s v="Phytolacca"/>
        <s v="Pimenta"/>
        <s v="Pinus"/>
        <s v="Piper"/>
        <s v="Pisonia"/>
        <s v="Pithecellobium"/>
        <s v="Pittosporum"/>
        <s v="Platycladus"/>
        <s v="Platymiscium"/>
        <s v="Platypodium"/>
        <s v="Plerandra"/>
        <s v="Pleuropetalum"/>
        <s v="Pleurothyrium"/>
        <s v="Plumbago"/>
        <s v="Plumeria"/>
        <s v="Podocarpus"/>
        <s v="Poeppigia"/>
        <s v="Pogonopus"/>
        <s v="Monoon"/>
        <s v="Polyscias"/>
        <s v="Pongamia"/>
        <s v="Populus"/>
        <s v="Posoqueria"/>
        <s v="Pourouma"/>
        <s v="Pouteria"/>
        <s v="Prestoea"/>
        <s v="Prioria"/>
        <s v="Pritchardia"/>
        <s v="Prosopis"/>
        <s v="Protium"/>
        <s v="Prunus"/>
        <s v="Pseuderanthemum"/>
        <s v="Pseudobombax"/>
        <s v="Pseudosamanea"/>
        <s v="Psidium"/>
        <s v="Psychotria"/>
        <s v="Pterocarpus"/>
        <s v="Ptychosperma"/>
        <s v="Pueraria"/>
        <s v="Punica"/>
        <s v="Pyracantha"/>
        <s v="Quadrella"/>
        <s v="Quararibea"/>
        <s v="Quercus"/>
        <s v="Quillaja"/>
        <s v="Ravenala"/>
        <s v="Ravenea"/>
        <s v="Retrophyllum"/>
        <s v="Rhapis"/>
        <s v="Rhododendron"/>
        <s v="Rhodostemonodaphne"/>
        <s v="Rhopalostylis"/>
        <s v="Rhus"/>
        <s v="Ricinus"/>
        <s v="Rollinia"/>
        <s v="Rosa"/>
        <s v="Roystonea"/>
        <s v="Ruagea"/>
        <s v="Ruellia"/>
        <s v="Sabal"/>
        <s v="Salacca"/>
        <s v="Salix"/>
        <s v="Salvia"/>
        <s v="Samanea"/>
        <s v="Sambucus"/>
        <s v="Sanchezia"/>
        <s v="Sapindus"/>
        <s v="Sapium"/>
        <s v="Saurauia"/>
        <s v="Schefflera"/>
        <s v="Schinus"/>
        <s v="Schizolobium"/>
        <s v="Sesbania"/>
        <s v="Sida"/>
        <s v="Simarouba"/>
        <s v="Siparuna"/>
        <s v="Sloanea"/>
        <s v="Socratea"/>
        <s v="Solandra"/>
        <s v="Solanum"/>
        <s v="Spachea"/>
        <s v="Spathodea"/>
        <s v="Spirotheca"/>
        <s v="Spondias"/>
        <s v="Stachytarpheta"/>
        <s v="Stemmadenia"/>
        <s v="Sterculia"/>
        <s v="Stryphnodendron"/>
        <s v="Stylogyne"/>
        <s v="Swartzia"/>
        <s v="Swietenia"/>
        <s v="Swinglea"/>
        <s v="Syagrus"/>
        <s v="Synechanthus"/>
        <s v="Synsepalum"/>
        <s v="Syzygium"/>
        <s v="Tabebuia"/>
        <s v="Tabernaemontana"/>
        <s v="Tachigali"/>
        <s v="Talipariti"/>
        <s v="Talisia"/>
        <s v="Tamarindus"/>
        <s v="Tapirira"/>
        <s v="Taxodium"/>
        <s v="Tecoma"/>
        <s v="Tectona"/>
        <s v="Tessaria"/>
        <s v="Tetrapanax"/>
        <s v="Theobroma"/>
        <s v="Thespesia"/>
        <s v="Thevetia"/>
        <s v="Tithonia"/>
        <s v="Thrinax"/>
        <s v="Thunbergia"/>
        <s v="Tibouchina"/>
        <s v="Tilia"/>
        <s v="Toddalia"/>
        <s v="Tovomita"/>
        <s v="Toxicodendron"/>
        <s v="Trachycarpus"/>
        <s v="Tradescantia"/>
        <s v="Trattinnickia"/>
        <s v="Trema"/>
        <s v="Trichanthera"/>
        <s v="Trichilia"/>
        <s v="Trichospermum"/>
        <s v="Triphasia"/>
        <s v="Triplaris"/>
        <s v="Trithrinax"/>
        <s v="Turnera"/>
        <s v="Ulmus"/>
        <s v="Urera"/>
        <s v="Uribea"/>
        <s v="Vachellia"/>
        <s v="Vasconcellea"/>
        <s v="Vasivaea"/>
        <s v="Vatairea"/>
        <s v="Palma"/>
        <s v="Verbesina"/>
        <s v="Vernonia"/>
        <s v="Vernonanthura"/>
        <s v="Viburnum"/>
        <s v="Virola"/>
        <s v="Viscum"/>
        <s v="Vismia"/>
        <s v="Vitex"/>
        <s v="Vochysia"/>
        <s v="Washingtonia"/>
        <s v="Weinmannia"/>
        <s v="Welfia"/>
        <s v="Wettinia"/>
        <s v="Wittmackanthus"/>
        <s v="Wodyetia"/>
        <s v="Xylopia"/>
        <s v="Yucca"/>
        <s v="Zanthoxylum"/>
        <s v="Ziziphus"/>
        <s v="Zygia"/>
        <s v="Achyranthes"/>
        <s v="Kleinhovia"/>
        <s v="Lippia"/>
        <s v="Galanthus"/>
        <s v="Mentha"/>
        <s v="Amaranthus"/>
        <s v="Ailanthus"/>
        <s v="Abatia"/>
        <s v="Apocynaceae"/>
        <s v="Asteraceae"/>
        <s v="Bejaria"/>
        <s v="Brunellia"/>
        <s v="Crotalaria"/>
        <s v="Daphnopsis"/>
        <s v="Drimys"/>
        <s v="Lauraceae"/>
        <s v="Malvaceae"/>
        <s v="Myrtaceae"/>
        <s v="Papaveraceae"/>
        <s v="Podocarpaceae"/>
        <s v="Rosaceae"/>
        <s v="Rubiaceae"/>
        <s v="Salicaceae"/>
        <s v="Sapotaceae"/>
        <s v="Solanaceae"/>
        <s v="Verbenaceae"/>
        <s v="Melissa"/>
        <s v="Monnina"/>
        <s v="Myrsine sp"/>
        <s v="Rosmarinus"/>
        <s v="Roupala"/>
        <s v="Piptocoma"/>
        <s v="Turpinia"/>
        <s v="Tournefortia"/>
        <s v="Salacia"/>
        <s v="Vitellaria"/>
        <s v="Xylosma"/>
        <s v="Phyllostachys"/>
      </sharedItems>
    </cacheField>
    <cacheField name="Altura en desarrollo pleno (m)">
      <sharedItems containsDate="1" containsBlank="1" containsMixedTypes="1">
        <n v="0.0"/>
        <n v="20.0"/>
        <m/>
        <n v="3.0"/>
        <n v="6.0"/>
        <n v="5.0"/>
        <n v="15.0"/>
        <n v="2.0"/>
        <n v="30.0"/>
        <n v="4.0"/>
        <n v="12.0"/>
        <n v="8.0"/>
        <n v="25.0"/>
        <n v="7.0"/>
        <s v="15-20"/>
        <s v="3"/>
        <n v="18.0"/>
        <s v="20-30"/>
        <n v="16.0"/>
        <n v="10.0"/>
        <n v="40.0"/>
        <n v="35.0"/>
        <s v="50"/>
        <s v="20"/>
        <s v="4-6"/>
        <s v="5"/>
        <s v="15"/>
        <n v="45.0"/>
        <n v="34.0"/>
        <s v="10"/>
        <s v="2-5"/>
        <s v="2"/>
        <s v="12-15"/>
        <s v="18"/>
        <s v="11"/>
        <s v="11-20"/>
        <n v="9.0"/>
        <s v="30"/>
        <s v="8-20"/>
        <s v="7"/>
        <s v="6"/>
        <s v="4"/>
        <s v="12"/>
        <s v="3-12"/>
        <s v="8"/>
        <s v="17"/>
        <n v="60.0"/>
        <s v="25"/>
        <s v="35"/>
        <s v="25-35"/>
        <s v="30-50"/>
        <s v="60"/>
        <s v="10-35"/>
        <s v="9"/>
        <s v="5-10"/>
        <s v="14"/>
        <s v="10-15"/>
        <s v="10-30"/>
        <s v="5-7"/>
        <n v="14.0"/>
        <s v="1"/>
        <d v="2024-12-10T00:00:00Z"/>
        <n v="50.0"/>
        <s v="5-6"/>
        <n v="37.0"/>
        <n v="27.0"/>
        <s v="49"/>
        <s v="&gt;20"/>
        <s v="22"/>
        <n v="22.0"/>
        <n v="19.0"/>
        <n v="1.0"/>
        <s v="4-5"/>
        <s v="10-40"/>
        <s v="16"/>
        <s v="2-10"/>
        <s v="19"/>
        <s v="5-40"/>
        <s v="8-50"/>
        <s v="40"/>
        <s v="5-15"/>
        <s v="3-20"/>
        <s v="3-5"/>
        <s v="21"/>
        <s v="10-20"/>
        <s v="1-6"/>
        <s v="2-15"/>
        <s v="3-15"/>
        <s v="45"/>
        <s v="5-20"/>
        <s v="6-40"/>
        <s v="2-6"/>
        <s v="46"/>
        <s v="10-25"/>
        <s v="4-12"/>
      </sharedItems>
    </cacheField>
    <cacheField name="Fuente (altura)" numFmtId="0">
      <sharedItems containsBlank="1">
        <s v="Consultar"/>
        <s v="(UEIA, 2014)"/>
        <m/>
        <s v="(UEIA &amp; USFS, 2018)"/>
        <s v="(Benedetti, 2012)"/>
        <s v="(iNaturalistCO, 2024)"/>
        <s v="(Varón &amp; Morales, 2014)"/>
        <s v="(SIRE, sf)"/>
      </sharedItems>
    </cacheField>
    <cacheField name="Diametro en desarrollo pleno (cm)">
      <sharedItems containsBlank="1" containsMixedTypes="1" containsNumber="1" containsInteger="1">
        <n v="0.0"/>
        <n v="60.0"/>
        <m/>
        <s v="30"/>
        <s v="70"/>
        <n v="40.0"/>
        <s v="60"/>
        <n v="50.0"/>
        <n v="20.0"/>
        <s v="25"/>
        <n v="30.0"/>
        <n v="45.0"/>
        <n v="10.0"/>
        <n v="70.0"/>
        <n v="100.0"/>
        <s v="15"/>
        <s v="20"/>
        <n v="18.0"/>
        <n v="300.0"/>
        <s v="50"/>
        <n v="80.0"/>
        <n v="250.0"/>
        <n v="200.0"/>
        <n v="5.0"/>
        <s v="10"/>
        <n v="25.0"/>
        <n v="75.0"/>
        <n v="3.0"/>
        <s v="5-10"/>
        <s v="40"/>
        <s v="80"/>
        <s v="45"/>
        <s v="Cáctus"/>
        <s v="30-40"/>
        <s v="Buchenavia reticulata sinónimo"/>
        <s v="Buchenavia tetraphylla sinónimo"/>
        <s v="Bulnesia carrapo sinónimo"/>
        <n v="15.0"/>
        <s v="Caesalpinia coriaria sinónimo"/>
        <s v="Caesalpinia ebano sinónimo"/>
        <s v="Calliandra brevipes sinónimo"/>
        <s v="20-30"/>
        <s v="Callitropsis glabra sinónimo, Pino"/>
        <n v="120.0"/>
        <n v="400.0"/>
        <s v="100"/>
        <s v="50-100"/>
        <s v="300"/>
        <s v="100-300"/>
        <s v="Enredadera"/>
        <s v="En peligro crítico"/>
        <s v="Cactus"/>
        <s v="Reemplazado por Cereus hildmannianus uruguayanus- cactus"/>
        <s v="150"/>
        <s v="2"/>
        <n v="2.0"/>
        <s v="Reemplazado por Miconia sciaphila"/>
        <s v="15-30"/>
        <s v="18"/>
        <s v="90"/>
        <n v="65.0"/>
        <s v="30-90"/>
        <s v="Puede ser arbusto o árbol"/>
        <s v="Vulnerabe globalmente"/>
        <s v="120"/>
        <s v="Helecho"/>
        <s v="Reemplazado por Cyperus alternifolius ssp flabelliformis"/>
        <s v="Palustre"/>
        <s v="Sustituido por Solanum betaceum"/>
        <n v="7.0"/>
        <s v="Casi esta en riesgo globalmente"/>
        <s v="Reemplazado por Diospyros nigra"/>
        <n v="150.0"/>
        <s v="En peligro globalmente"/>
        <s v="Sustituido por Didymocheton macranthus"/>
        <s v="Sinónimo Elaeocarpus grandis"/>
        <s v="200"/>
        <s v="10-40"/>
        <s v="&gt;100"/>
        <s v="12"/>
        <s v="Sinonimo de Ficus andicola"/>
        <s v="&gt;50"/>
        <s v="50-200"/>
        <s v="55"/>
        <s v="30-100"/>
        <s v="4"/>
        <s v="20-50"/>
        <s v="&gt;80"/>
        <s v="35"/>
        <s v="Sinónimo de Malpighia emarginata"/>
        <s v="Puede aplicar para las especies M antioquensis, M novogranatensis"/>
        <s v="También encontrado como Ocotea veraguensis"/>
        <s v="30-60"/>
        <s v="Aplica para nativas como M formosum (Rosenbergiodendron formosum), y otras especies que son introducidas"/>
        <s v="10-30"/>
        <s v="8"/>
        <s v="10-20"/>
        <s v="Sinónimo de Passiflora magnoliifolia"/>
        <s v="75"/>
        <s v="2-8"/>
        <s v="20-60"/>
        <s v="30-70"/>
        <s v="74"/>
        <s v="Sinónimo Lucuma krukovii"/>
        <s v="Sinónimo Lucuma multiflora"/>
        <s v="En sau como Rollinia cf membranacea"/>
        <s v="6"/>
        <s v="5"/>
        <s v="20-100"/>
        <s v="5-20"/>
        <s v="Sinonimo: Terminalia chiriquensis"/>
        <s v="Es el árbol oficial de la ciudad de Cúcuta, en Colombia"/>
        <s v="30-80"/>
        <s v="Sólo se identifica la famil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s" cacheId="0" dataCaption="" compact="0" compactData="0">
  <location ref="A3:B615" firstHeaderRow="0" firstDataRow="1" firstDataCol="0"/>
  <pivotFields>
    <pivotField name="Asignado 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ntrato de Orige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Nombre Científico correg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Nombre comú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t="default"/>
      </items>
    </pivotField>
    <pivotField name="Famil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_# Emparejami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_# de famil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Nombre científico sin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Nombre Científico con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Nombre común sin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t="default"/>
      </items>
    </pivotField>
    <pivotField name="Nombre común con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ig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Hay reportes en Colombia?" compact="0" outline="0" multipleItemSelectionAllowed="1" showAll="0">
      <items>
        <item x="0"/>
        <item x="1"/>
        <item x="2"/>
        <item x="3"/>
        <item t="default"/>
      </items>
    </pivotField>
    <pivotField name="Háb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énero sin #" axis="axisRow" compact="0" outline="0" multipleItemSelectionAllowed="1" showAll="0" sortType="ascending">
      <items>
        <item x="98"/>
        <item x="1"/>
        <item x="580"/>
        <item x="2"/>
        <item x="3"/>
        <item x="4"/>
        <item x="5"/>
        <item x="6"/>
        <item x="7"/>
        <item x="573"/>
        <item x="8"/>
        <item x="9"/>
        <item x="10"/>
        <item x="11"/>
        <item x="12"/>
        <item x="13"/>
        <item x="14"/>
        <item x="15"/>
        <item x="16"/>
        <item x="17"/>
        <item x="579"/>
        <item x="18"/>
        <item x="19"/>
        <item x="20"/>
        <item x="21"/>
        <item x="22"/>
        <item x="23"/>
        <item x="76"/>
        <item x="24"/>
        <item x="25"/>
        <item x="26"/>
        <item x="27"/>
        <item x="28"/>
        <item x="29"/>
        <item x="30"/>
        <item x="31"/>
        <item x="578"/>
        <item x="32"/>
        <item x="33"/>
        <item x="34"/>
        <item x="35"/>
        <item x="36"/>
        <item x="37"/>
        <item x="38"/>
        <item x="40"/>
        <item x="41"/>
        <item x="581"/>
        <item x="42"/>
        <item x="43"/>
        <item x="44"/>
        <item x="45"/>
        <item x="46"/>
        <item x="47"/>
        <item x="48"/>
        <item x="49"/>
        <item x="50"/>
        <item x="51"/>
        <item x="52"/>
        <item x="58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83"/>
        <item x="67"/>
        <item x="363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584"/>
        <item x="88"/>
        <item x="90"/>
        <item x="91"/>
        <item x="93"/>
        <item x="94"/>
        <item x="95"/>
        <item x="96"/>
        <item x="99"/>
        <item x="101"/>
        <item x="102"/>
        <item x="103"/>
        <item x="106"/>
        <item x="107"/>
        <item x="108"/>
        <item x="109"/>
        <item x="110"/>
        <item x="111"/>
        <item x="112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4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585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58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587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576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181"/>
        <item x="263"/>
        <item x="264"/>
        <item x="265"/>
        <item x="266"/>
        <item x="267"/>
        <item x="268"/>
        <item x="269"/>
        <item x="270"/>
        <item x="271"/>
        <item x="272"/>
        <item x="105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0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574"/>
        <item x="298"/>
        <item x="299"/>
        <item x="300"/>
        <item x="301"/>
        <item x="302"/>
        <item x="303"/>
        <item x="304"/>
        <item x="305"/>
        <item x="306"/>
        <item x="307"/>
        <item x="588"/>
        <item x="308"/>
        <item x="309"/>
        <item x="310"/>
        <item x="311"/>
        <item x="312"/>
        <item x="313"/>
        <item x="314"/>
        <item x="97"/>
        <item x="315"/>
        <item x="316"/>
        <item x="317"/>
        <item x="318"/>
        <item x="575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589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104"/>
        <item x="346"/>
        <item x="347"/>
        <item x="348"/>
        <item x="349"/>
        <item x="599"/>
        <item x="577"/>
        <item x="350"/>
        <item x="351"/>
        <item x="352"/>
        <item x="353"/>
        <item x="354"/>
        <item x="355"/>
        <item x="356"/>
        <item x="600"/>
        <item x="433"/>
        <item x="357"/>
        <item x="358"/>
        <item x="359"/>
        <item x="360"/>
        <item x="113"/>
        <item x="361"/>
        <item x="362"/>
        <item x="364"/>
        <item x="365"/>
        <item x="366"/>
        <item x="367"/>
        <item x="369"/>
        <item x="370"/>
        <item x="601"/>
        <item x="590"/>
        <item x="371"/>
        <item x="39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552"/>
        <item x="389"/>
        <item x="591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610"/>
        <item x="413"/>
        <item x="414"/>
        <item x="415"/>
        <item x="416"/>
        <item x="417"/>
        <item x="418"/>
        <item x="604"/>
        <item x="419"/>
        <item x="420"/>
        <item x="421"/>
        <item x="422"/>
        <item x="423"/>
        <item x="424"/>
        <item x="92"/>
        <item x="425"/>
        <item x="426"/>
        <item x="427"/>
        <item x="368"/>
        <item x="428"/>
        <item x="429"/>
        <item x="592"/>
        <item x="430"/>
        <item x="431"/>
        <item x="432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593"/>
        <item x="602"/>
        <item x="603"/>
        <item x="471"/>
        <item x="472"/>
        <item x="594"/>
        <item x="473"/>
        <item x="474"/>
        <item x="475"/>
        <item x="607"/>
        <item x="595"/>
        <item x="476"/>
        <item x="477"/>
        <item x="478"/>
        <item x="479"/>
        <item x="480"/>
        <item x="481"/>
        <item x="482"/>
        <item x="596"/>
        <item x="483"/>
        <item x="484"/>
        <item x="485"/>
        <item x="486"/>
        <item x="129"/>
        <item x="487"/>
        <item x="488"/>
        <item x="489"/>
        <item x="490"/>
        <item x="491"/>
        <item x="492"/>
        <item x="597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100"/>
        <item x="518"/>
        <item x="519"/>
        <item x="520"/>
        <item x="89"/>
        <item x="521"/>
        <item x="522"/>
        <item x="523"/>
        <item x="524"/>
        <item x="525"/>
        <item x="527"/>
        <item x="528"/>
        <item x="529"/>
        <item x="530"/>
        <item x="526"/>
        <item x="531"/>
        <item x="606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605"/>
        <item x="545"/>
        <item x="546"/>
        <item x="547"/>
        <item x="548"/>
        <item x="549"/>
        <item x="550"/>
        <item x="551"/>
        <item x="598"/>
        <item x="553"/>
        <item x="555"/>
        <item x="554"/>
        <item x="556"/>
        <item x="557"/>
        <item x="558"/>
        <item x="559"/>
        <item x="608"/>
        <item x="560"/>
        <item x="561"/>
        <item x="562"/>
        <item x="563"/>
        <item x="564"/>
        <item x="565"/>
        <item x="566"/>
        <item x="567"/>
        <item x="568"/>
        <item x="609"/>
        <item x="569"/>
        <item x="570"/>
        <item x="571"/>
        <item x="572"/>
        <item t="default"/>
      </items>
    </pivotField>
    <pivotField name="Altura en desarrollo pleno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Fuente (altura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iametro en desarrollo pleno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</pivotFields>
  <rowFields>
    <field x="15"/>
  </rowFields>
</pivotTableDefinition>
</file>

<file path=xl/pivotTables/pivotTable2.xml><?xml version="1.0" encoding="utf-8"?>
<pivotTableDefinition xmlns="http://schemas.openxmlformats.org/spreadsheetml/2006/main" name="Tablas 2" cacheId="0" dataCaption="" compact="0" compactData="0">
  <location ref="I3:J135" firstHeaderRow="0" firstDataRow="1" firstDataCol="0"/>
  <pivotFields>
    <pivotField name="Asignado 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ntrato de Orige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Nombre Científico correg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Nombre comú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t="default"/>
      </items>
    </pivotField>
    <pivotField name="Familia" axis="axisRow" compact="0" outline="0" multipleItemSelectionAllowed="1" showAll="0" sortType="ascending">
      <items>
        <item x="25"/>
        <item x="5"/>
        <item x="115"/>
        <item x="91"/>
        <item x="20"/>
        <item x="125"/>
        <item x="22"/>
        <item x="23"/>
        <item x="14"/>
        <item x="87"/>
        <item x="104"/>
        <item x="26"/>
        <item x="27"/>
        <item x="7"/>
        <item x="11"/>
        <item x="17"/>
        <item x="28"/>
        <item x="34"/>
        <item x="16"/>
        <item x="21"/>
        <item x="37"/>
        <item x="70"/>
        <item x="126"/>
        <item x="46"/>
        <item x="47"/>
        <item x="41"/>
        <item x="49"/>
        <item x="119"/>
        <item x="51"/>
        <item x="52"/>
        <item x="55"/>
        <item x="58"/>
        <item x="60"/>
        <item x="63"/>
        <item x="65"/>
        <item x="66"/>
        <item x="42"/>
        <item x="118"/>
        <item x="88"/>
        <item x="71"/>
        <item x="72"/>
        <item x="124"/>
        <item x="48"/>
        <item x="75"/>
        <item x="76"/>
        <item x="54"/>
        <item x="77"/>
        <item x="78"/>
        <item x="74"/>
        <item x="79"/>
        <item x="80"/>
        <item x="59"/>
        <item x="81"/>
        <item x="82"/>
        <item x="3"/>
        <item x="1"/>
        <item x="111"/>
        <item x="30"/>
        <item x="92"/>
        <item x="122"/>
        <item x="0"/>
        <item x="13"/>
        <item x="89"/>
        <item x="10"/>
        <item x="12"/>
        <item x="53"/>
        <item x="8"/>
        <item x="93"/>
        <item x="45"/>
        <item x="2"/>
        <item x="35"/>
        <item x="32"/>
        <item x="29"/>
        <item x="97"/>
        <item x="98"/>
        <item x="96"/>
        <item x="69"/>
        <item x="4"/>
        <item x="40"/>
        <item x="62"/>
        <item x="95"/>
        <item x="84"/>
        <item x="85"/>
        <item x="83"/>
        <item x="31"/>
        <item x="99"/>
        <item x="38"/>
        <item x="100"/>
        <item x="101"/>
        <item x="102"/>
        <item x="103"/>
        <item x="36"/>
        <item x="105"/>
        <item x="106"/>
        <item x="107"/>
        <item x="108"/>
        <item x="109"/>
        <item x="33"/>
        <item x="110"/>
        <item x="129"/>
        <item x="67"/>
        <item x="9"/>
        <item x="86"/>
        <item x="112"/>
        <item x="68"/>
        <item x="73"/>
        <item x="24"/>
        <item x="57"/>
        <item x="94"/>
        <item x="56"/>
        <item x="121"/>
        <item x="15"/>
        <item x="64"/>
        <item x="43"/>
        <item x="116"/>
        <item x="117"/>
        <item x="6"/>
        <item x="130"/>
        <item x="113"/>
        <item x="50"/>
        <item x="127"/>
        <item x="120"/>
        <item x="39"/>
        <item x="18"/>
        <item x="114"/>
        <item x="90"/>
        <item x="123"/>
        <item x="128"/>
        <item x="61"/>
        <item x="19"/>
        <item x="44"/>
        <item t="default"/>
      </items>
    </pivotField>
    <pivotField name="_# Emparejami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_# de famil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Nombre científico sin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Nombre Científico con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Nombre común sin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t="default"/>
      </items>
    </pivotField>
    <pivotField name="Nombre común con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Orig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Hay reportes en Colombia?" compact="0" outline="0" multipleItemSelectionAllowed="1" showAll="0">
      <items>
        <item x="0"/>
        <item x="1"/>
        <item x="2"/>
        <item x="3"/>
        <item t="default"/>
      </items>
    </pivotField>
    <pivotField name="Háb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énero sin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t="default"/>
      </items>
    </pivotField>
    <pivotField name="Altura en desarrollo pleno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Fuente (altura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iametro en desarrollo pleno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</pivotFields>
  <rowFields>
    <field x="5"/>
  </rowFields>
  <dataFields>
    <dataField name="Máx. de _# de familia" fld="7" subtotal="max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biovirtual.unal.edu.co/es/colecciones/search/plants/" TargetMode="External"/><Relationship Id="rId2" Type="http://schemas.openxmlformats.org/officeDocument/2006/relationships/hyperlink" Target="http://www.biovirtual.unal.edu.co/nombrescomunes/es/" TargetMode="External"/><Relationship Id="rId3" Type="http://schemas.openxmlformats.org/officeDocument/2006/relationships/hyperlink" Target="https://wfoplantlist.org/" TargetMode="External"/><Relationship Id="rId4" Type="http://schemas.openxmlformats.org/officeDocument/2006/relationships/hyperlink" Target="https://catalogofloravalleaburra.eia.edu.co/species/scientific-name" TargetMode="External"/><Relationship Id="rId5" Type="http://schemas.openxmlformats.org/officeDocument/2006/relationships/hyperlink" Target="https://biodiversidad.co/data/?taxonKey=2735935" TargetMode="External"/><Relationship Id="rId6" Type="http://schemas.openxmlformats.org/officeDocument/2006/relationships/hyperlink" Target="https://catalogoarbolesurbanos.eia.edu.co/" TargetMode="External"/><Relationship Id="rId7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29.71"/>
    <col customWidth="1" hidden="1" min="2" max="2" width="20.86"/>
    <col customWidth="1" hidden="1" min="3" max="3" width="10.71"/>
    <col customWidth="1" min="4" max="4" width="34.43"/>
    <col customWidth="1" min="5" max="5" width="40.57"/>
    <col customWidth="1" min="6" max="6" width="21.43"/>
    <col customWidth="1" min="7" max="8" width="21.71"/>
    <col customWidth="1" min="9" max="9" width="25.86"/>
    <col customWidth="1" min="10" max="10" width="33.14"/>
    <col customWidth="1" min="11" max="11" width="52.43"/>
    <col customWidth="1" min="12" max="12" width="80.43"/>
    <col customWidth="1" min="13" max="13" width="18.57"/>
    <col customWidth="1" min="14" max="14" width="18.0"/>
    <col customWidth="1" min="15" max="15" width="14.0"/>
    <col customWidth="1" hidden="1" min="16" max="16" width="19.71"/>
    <col customWidth="1" min="17" max="17" width="28.43"/>
    <col customWidth="1" min="18" max="18" width="26.29"/>
    <col customWidth="1" min="19" max="19" width="26.57"/>
    <col customWidth="1" min="20" max="23" width="41.29"/>
    <col customWidth="1" min="24" max="24" width="34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</row>
    <row r="2" ht="14.25" customHeight="1">
      <c r="A2" s="6" t="s">
        <v>24</v>
      </c>
      <c r="B2" s="6" t="s">
        <v>25</v>
      </c>
      <c r="C2" s="6">
        <v>0.0</v>
      </c>
      <c r="D2" s="6" t="s">
        <v>26</v>
      </c>
      <c r="E2" s="7" t="s">
        <v>26</v>
      </c>
      <c r="F2" s="6" t="s">
        <v>26</v>
      </c>
      <c r="G2" s="6">
        <v>0.0</v>
      </c>
      <c r="H2" s="6">
        <v>0.0</v>
      </c>
      <c r="I2" s="6" t="str">
        <f t="shared" ref="I2:I1333" si="1">D2</f>
        <v>Indeterminado</v>
      </c>
      <c r="J2" s="6" t="s">
        <v>27</v>
      </c>
      <c r="K2" s="6" t="s">
        <v>26</v>
      </c>
      <c r="L2" s="6" t="s">
        <v>27</v>
      </c>
      <c r="M2" s="6" t="s">
        <v>26</v>
      </c>
      <c r="N2" s="6" t="s">
        <v>28</v>
      </c>
      <c r="O2" s="6" t="s">
        <v>26</v>
      </c>
      <c r="P2" s="6" t="s">
        <v>26</v>
      </c>
      <c r="Q2" s="8">
        <v>0.0</v>
      </c>
      <c r="R2" s="8" t="s">
        <v>29</v>
      </c>
      <c r="S2" s="8">
        <v>0.0</v>
      </c>
      <c r="T2" s="8" t="s">
        <v>29</v>
      </c>
      <c r="U2" s="8" t="s">
        <v>29</v>
      </c>
      <c r="V2" s="8" t="s">
        <v>29</v>
      </c>
      <c r="W2" s="8"/>
      <c r="X2" s="9"/>
    </row>
    <row r="3" ht="14.25" customHeight="1">
      <c r="A3" s="10" t="s">
        <v>30</v>
      </c>
      <c r="B3" s="10" t="s">
        <v>31</v>
      </c>
      <c r="C3" s="10">
        <v>1.0</v>
      </c>
      <c r="D3" s="11" t="s">
        <v>32</v>
      </c>
      <c r="E3" s="11" t="s">
        <v>33</v>
      </c>
      <c r="F3" s="11" t="s">
        <v>34</v>
      </c>
      <c r="G3" s="10">
        <v>1.0</v>
      </c>
      <c r="H3" s="10">
        <f>VLOOKUP(F3,'Generos y Familia'!$A$1:$C$623,2,FALSE)</f>
        <v>27</v>
      </c>
      <c r="I3" s="12" t="str">
        <f t="shared" si="1"/>
        <v>Abarema jupunba</v>
      </c>
      <c r="J3" s="10" t="str">
        <f t="shared" ref="J3:J1334" si="2">G3&amp;" "&amp;D3</f>
        <v>1 Abarema jupunba</v>
      </c>
      <c r="K3" s="10" t="str">
        <f t="shared" ref="K3:K1334" si="3">E3</f>
        <v>Frijolillo; Rayo; Guacamayo Blanco; Carbonero; Arenillo de Monte Chocho</v>
      </c>
      <c r="L3" s="10" t="str">
        <f t="shared" ref="L3:L1334" si="4">G3&amp;" "&amp;E3</f>
        <v>1 Frijolillo; Rayo; Guacamayo Blanco; Carbonero; Arenillo de Monte Chocho</v>
      </c>
      <c r="M3" s="10" t="s">
        <v>35</v>
      </c>
      <c r="N3" s="10" t="s">
        <v>36</v>
      </c>
      <c r="O3" s="10" t="s">
        <v>37</v>
      </c>
      <c r="P3" s="10" t="s">
        <v>38</v>
      </c>
      <c r="Q3" s="13">
        <v>20.0</v>
      </c>
      <c r="R3" s="13" t="s">
        <v>39</v>
      </c>
      <c r="S3" s="13">
        <v>60.0</v>
      </c>
      <c r="T3" s="13" t="s">
        <v>39</v>
      </c>
      <c r="U3" s="13" t="s">
        <v>40</v>
      </c>
      <c r="V3" s="13">
        <v>0.55</v>
      </c>
      <c r="W3" s="13"/>
      <c r="X3" s="14" t="s">
        <v>41</v>
      </c>
    </row>
    <row r="4" ht="14.25" customHeight="1">
      <c r="A4" s="10" t="s">
        <v>30</v>
      </c>
      <c r="B4" s="10" t="s">
        <v>31</v>
      </c>
      <c r="C4" s="10">
        <v>2.0</v>
      </c>
      <c r="D4" s="11" t="s">
        <v>42</v>
      </c>
      <c r="E4" s="11" t="s">
        <v>38</v>
      </c>
      <c r="F4" s="11" t="s">
        <v>34</v>
      </c>
      <c r="G4" s="10">
        <v>2.0</v>
      </c>
      <c r="H4" s="10">
        <f>VLOOKUP(F4,'Generos y Familia'!$A$1:$C$623,2,FALSE)</f>
        <v>27</v>
      </c>
      <c r="I4" s="12" t="str">
        <f t="shared" si="1"/>
        <v>Abarema sp</v>
      </c>
      <c r="J4" s="10" t="str">
        <f t="shared" si="2"/>
        <v>2 Abarema sp</v>
      </c>
      <c r="K4" s="10" t="str">
        <f t="shared" si="3"/>
        <v>Abarema</v>
      </c>
      <c r="L4" s="10" t="str">
        <f t="shared" si="4"/>
        <v>2 Abarema</v>
      </c>
      <c r="M4" s="10" t="s">
        <v>35</v>
      </c>
      <c r="N4" s="10" t="s">
        <v>36</v>
      </c>
      <c r="O4" s="10" t="s">
        <v>37</v>
      </c>
      <c r="P4" s="10" t="s">
        <v>38</v>
      </c>
      <c r="Q4" s="13">
        <v>20.0</v>
      </c>
      <c r="R4" s="13"/>
      <c r="S4" s="13">
        <v>60.0</v>
      </c>
      <c r="T4" s="15"/>
      <c r="U4" s="13" t="s">
        <v>40</v>
      </c>
      <c r="V4" s="13"/>
      <c r="W4" s="16"/>
      <c r="X4" s="13"/>
    </row>
    <row r="5" ht="14.25" customHeight="1">
      <c r="A5" s="10" t="s">
        <v>30</v>
      </c>
      <c r="B5" s="10" t="s">
        <v>31</v>
      </c>
      <c r="C5" s="10">
        <v>3.0</v>
      </c>
      <c r="D5" s="11" t="s">
        <v>43</v>
      </c>
      <c r="E5" s="11" t="s">
        <v>44</v>
      </c>
      <c r="F5" s="11" t="s">
        <v>45</v>
      </c>
      <c r="G5" s="10">
        <v>3.0</v>
      </c>
      <c r="H5" s="10">
        <f>VLOOKUP(F5,'Generos y Familia'!$A$1:$C$623,2,FALSE)</f>
        <v>40</v>
      </c>
      <c r="I5" s="12" t="str">
        <f t="shared" si="1"/>
        <v>Abelmoschus moschatus</v>
      </c>
      <c r="J5" s="10" t="str">
        <f t="shared" si="2"/>
        <v>3 Abelmoschus moschatus</v>
      </c>
      <c r="K5" s="10" t="str">
        <f t="shared" si="3"/>
        <v>Hibisco</v>
      </c>
      <c r="L5" s="10" t="str">
        <f t="shared" si="4"/>
        <v>3 Hibisco</v>
      </c>
      <c r="M5" s="10" t="s">
        <v>46</v>
      </c>
      <c r="N5" s="10" t="s">
        <v>36</v>
      </c>
      <c r="O5" s="10" t="s">
        <v>47</v>
      </c>
      <c r="P5" s="10" t="s">
        <v>48</v>
      </c>
      <c r="Q5" s="13"/>
      <c r="R5" s="13"/>
      <c r="S5" s="13"/>
      <c r="T5" s="13"/>
      <c r="U5" s="13"/>
      <c r="V5" s="13"/>
      <c r="W5" s="16"/>
      <c r="X5" s="13"/>
    </row>
    <row r="6" ht="14.25" customHeight="1">
      <c r="A6" s="10" t="s">
        <v>30</v>
      </c>
      <c r="B6" s="10" t="s">
        <v>31</v>
      </c>
      <c r="C6" s="10">
        <v>4.0</v>
      </c>
      <c r="D6" s="11" t="s">
        <v>49</v>
      </c>
      <c r="E6" s="11" t="s">
        <v>50</v>
      </c>
      <c r="F6" s="11" t="s">
        <v>45</v>
      </c>
      <c r="G6" s="10">
        <v>4.0</v>
      </c>
      <c r="H6" s="10">
        <f>VLOOKUP(F6,'Generos y Familia'!$A$1:$C$623,2,FALSE)</f>
        <v>40</v>
      </c>
      <c r="I6" s="12" t="str">
        <f t="shared" si="1"/>
        <v>Abutilon insigne</v>
      </c>
      <c r="J6" s="10" t="str">
        <f t="shared" si="2"/>
        <v>4 Abutilon insigne</v>
      </c>
      <c r="K6" s="10" t="str">
        <f t="shared" si="3"/>
        <v>Abutilon</v>
      </c>
      <c r="L6" s="10" t="str">
        <f t="shared" si="4"/>
        <v>4 Abutilon</v>
      </c>
      <c r="M6" s="10" t="s">
        <v>35</v>
      </c>
      <c r="N6" s="10" t="s">
        <v>36</v>
      </c>
      <c r="O6" s="10" t="s">
        <v>47</v>
      </c>
      <c r="P6" s="10" t="s">
        <v>50</v>
      </c>
      <c r="Q6" s="13">
        <v>3.0</v>
      </c>
      <c r="R6" s="13" t="s">
        <v>39</v>
      </c>
      <c r="S6" s="13"/>
      <c r="T6" s="13"/>
      <c r="U6" s="13" t="s">
        <v>40</v>
      </c>
      <c r="V6" s="13"/>
      <c r="W6" s="13"/>
      <c r="X6" s="13"/>
    </row>
    <row r="7" ht="14.25" customHeight="1">
      <c r="A7" s="10" t="s">
        <v>30</v>
      </c>
      <c r="B7" s="10" t="s">
        <v>31</v>
      </c>
      <c r="C7" s="10">
        <v>5.0</v>
      </c>
      <c r="D7" s="11" t="s">
        <v>51</v>
      </c>
      <c r="E7" s="11" t="s">
        <v>52</v>
      </c>
      <c r="F7" s="11" t="s">
        <v>45</v>
      </c>
      <c r="G7" s="10">
        <v>5.0</v>
      </c>
      <c r="H7" s="10">
        <f>VLOOKUP(F7,'Generos y Familia'!$A$1:$C$623,2,FALSE)</f>
        <v>40</v>
      </c>
      <c r="I7" s="12" t="str">
        <f t="shared" si="1"/>
        <v>Abutilon pictum</v>
      </c>
      <c r="J7" s="10" t="str">
        <f t="shared" si="2"/>
        <v>5 Abutilon pictum</v>
      </c>
      <c r="K7" s="10" t="str">
        <f t="shared" si="3"/>
        <v>Faroolito Japones</v>
      </c>
      <c r="L7" s="10" t="str">
        <f t="shared" si="4"/>
        <v>5 Faroolito Japones</v>
      </c>
      <c r="M7" s="10" t="s">
        <v>46</v>
      </c>
      <c r="N7" s="10" t="s">
        <v>36</v>
      </c>
      <c r="O7" s="10" t="s">
        <v>47</v>
      </c>
      <c r="P7" s="10" t="s">
        <v>50</v>
      </c>
      <c r="Q7" s="17">
        <v>3.0</v>
      </c>
      <c r="R7" s="14" t="s">
        <v>53</v>
      </c>
      <c r="S7" s="17" t="s">
        <v>54</v>
      </c>
      <c r="T7" s="14"/>
      <c r="U7" s="14" t="s">
        <v>55</v>
      </c>
      <c r="V7" s="14"/>
      <c r="W7" s="17"/>
      <c r="X7" s="14" t="s">
        <v>41</v>
      </c>
    </row>
    <row r="8" ht="14.25" customHeight="1">
      <c r="A8" s="10" t="s">
        <v>30</v>
      </c>
      <c r="B8" s="10" t="s">
        <v>31</v>
      </c>
      <c r="C8" s="10">
        <v>6.0</v>
      </c>
      <c r="D8" s="11" t="s">
        <v>56</v>
      </c>
      <c r="E8" s="11" t="s">
        <v>50</v>
      </c>
      <c r="F8" s="11" t="s">
        <v>45</v>
      </c>
      <c r="G8" s="10">
        <v>6.0</v>
      </c>
      <c r="H8" s="10">
        <f>VLOOKUP(F8,'Generos y Familia'!$A$1:$C$623,2,FALSE)</f>
        <v>40</v>
      </c>
      <c r="I8" s="12" t="str">
        <f t="shared" si="1"/>
        <v>Abutilon sp</v>
      </c>
      <c r="J8" s="10" t="str">
        <f t="shared" si="2"/>
        <v>6 Abutilon sp</v>
      </c>
      <c r="K8" s="10" t="str">
        <f t="shared" si="3"/>
        <v>Abutilon</v>
      </c>
      <c r="L8" s="10" t="str">
        <f t="shared" si="4"/>
        <v>6 Abutilon</v>
      </c>
      <c r="M8" s="10" t="s">
        <v>35</v>
      </c>
      <c r="N8" s="10" t="s">
        <v>36</v>
      </c>
      <c r="O8" s="10" t="s">
        <v>47</v>
      </c>
      <c r="P8" s="10" t="s">
        <v>50</v>
      </c>
      <c r="Q8" s="13">
        <v>3.0</v>
      </c>
      <c r="R8" s="13" t="s">
        <v>39</v>
      </c>
      <c r="S8" s="13"/>
      <c r="T8" s="13"/>
      <c r="U8" s="13" t="s">
        <v>40</v>
      </c>
      <c r="V8" s="13"/>
      <c r="W8" s="16"/>
      <c r="X8" s="13" t="s">
        <v>41</v>
      </c>
    </row>
    <row r="9" ht="14.25" customHeight="1">
      <c r="A9" s="10" t="s">
        <v>30</v>
      </c>
      <c r="B9" s="10" t="s">
        <v>31</v>
      </c>
      <c r="C9" s="10">
        <v>7.0</v>
      </c>
      <c r="D9" s="11" t="s">
        <v>57</v>
      </c>
      <c r="E9" s="11" t="s">
        <v>58</v>
      </c>
      <c r="F9" s="11" t="s">
        <v>34</v>
      </c>
      <c r="G9" s="10">
        <v>7.0</v>
      </c>
      <c r="H9" s="10">
        <f>VLOOKUP(F9,'Generos y Familia'!$A$1:$C$623,2,FALSE)</f>
        <v>27</v>
      </c>
      <c r="I9" s="12" t="str">
        <f t="shared" si="1"/>
        <v>Acacia angustissima</v>
      </c>
      <c r="J9" s="10" t="str">
        <f t="shared" si="2"/>
        <v>7 Acacia angustissima</v>
      </c>
      <c r="K9" s="10" t="str">
        <f t="shared" si="3"/>
        <v>Dormilón</v>
      </c>
      <c r="L9" s="10" t="str">
        <f t="shared" si="4"/>
        <v>7 Dormilón</v>
      </c>
      <c r="M9" s="10" t="s">
        <v>35</v>
      </c>
      <c r="N9" s="10" t="s">
        <v>36</v>
      </c>
      <c r="O9" s="10" t="s">
        <v>47</v>
      </c>
      <c r="P9" s="10" t="s">
        <v>59</v>
      </c>
      <c r="Q9" s="17">
        <v>6.0</v>
      </c>
      <c r="R9" s="14" t="s">
        <v>53</v>
      </c>
      <c r="S9" s="17" t="s">
        <v>54</v>
      </c>
      <c r="T9" s="14"/>
      <c r="U9" s="14" t="s">
        <v>55</v>
      </c>
      <c r="V9" s="14"/>
      <c r="W9" s="18"/>
      <c r="X9" s="14" t="s">
        <v>41</v>
      </c>
    </row>
    <row r="10" ht="14.25" customHeight="1">
      <c r="A10" s="10" t="s">
        <v>30</v>
      </c>
      <c r="B10" s="10" t="s">
        <v>31</v>
      </c>
      <c r="C10" s="10">
        <v>8.0</v>
      </c>
      <c r="D10" s="11" t="s">
        <v>60</v>
      </c>
      <c r="E10" s="11" t="s">
        <v>61</v>
      </c>
      <c r="F10" s="11" t="s">
        <v>34</v>
      </c>
      <c r="G10" s="10">
        <v>8.0</v>
      </c>
      <c r="H10" s="10">
        <f>VLOOKUP(F10,'Generos y Familia'!$A$1:$C$623,2,FALSE)</f>
        <v>27</v>
      </c>
      <c r="I10" s="12" t="str">
        <f t="shared" si="1"/>
        <v>Acacia baileyana</v>
      </c>
      <c r="J10" s="10" t="str">
        <f t="shared" si="2"/>
        <v>8 Acacia baileyana</v>
      </c>
      <c r="K10" s="10" t="str">
        <f t="shared" si="3"/>
        <v>Acacia (Baileyana)</v>
      </c>
      <c r="L10" s="10" t="str">
        <f t="shared" si="4"/>
        <v>8 Acacia (Baileyana)</v>
      </c>
      <c r="M10" s="10" t="s">
        <v>46</v>
      </c>
      <c r="N10" s="10" t="s">
        <v>36</v>
      </c>
      <c r="O10" s="10" t="s">
        <v>37</v>
      </c>
      <c r="P10" s="10" t="s">
        <v>59</v>
      </c>
      <c r="Q10" s="17">
        <v>5.0</v>
      </c>
      <c r="R10" s="14" t="s">
        <v>53</v>
      </c>
      <c r="S10" s="17" t="s">
        <v>62</v>
      </c>
      <c r="T10" s="14"/>
      <c r="U10" s="14" t="s">
        <v>55</v>
      </c>
      <c r="V10" s="14"/>
      <c r="W10" s="18"/>
      <c r="X10" s="14" t="s">
        <v>41</v>
      </c>
    </row>
    <row r="11" ht="14.25" customHeight="1">
      <c r="A11" s="10" t="s">
        <v>30</v>
      </c>
      <c r="B11" s="10" t="s">
        <v>63</v>
      </c>
      <c r="C11" s="10">
        <v>9.0</v>
      </c>
      <c r="D11" s="11" t="s">
        <v>64</v>
      </c>
      <c r="E11" s="11" t="s">
        <v>65</v>
      </c>
      <c r="F11" s="11" t="s">
        <v>34</v>
      </c>
      <c r="G11" s="10">
        <v>9.0</v>
      </c>
      <c r="H11" s="10">
        <f>VLOOKUP(F11,'Generos y Familia'!$A$1:$C$623,2,FALSE)</f>
        <v>27</v>
      </c>
      <c r="I11" s="12" t="str">
        <f t="shared" si="1"/>
        <v>Acacia caven</v>
      </c>
      <c r="J11" s="10" t="str">
        <f t="shared" si="2"/>
        <v>9 Acacia caven</v>
      </c>
      <c r="K11" s="10" t="str">
        <f t="shared" si="3"/>
        <v>Aromo</v>
      </c>
      <c r="L11" s="10" t="str">
        <f t="shared" si="4"/>
        <v>9 Aromo</v>
      </c>
      <c r="M11" s="10" t="s">
        <v>35</v>
      </c>
      <c r="N11" s="10" t="s">
        <v>28</v>
      </c>
      <c r="O11" s="10" t="s">
        <v>47</v>
      </c>
      <c r="P11" s="10" t="s">
        <v>59</v>
      </c>
      <c r="Q11" s="17">
        <v>6.0</v>
      </c>
      <c r="R11" s="14" t="s">
        <v>66</v>
      </c>
      <c r="S11" s="17">
        <v>40.0</v>
      </c>
      <c r="T11" s="14" t="s">
        <v>66</v>
      </c>
      <c r="U11" s="14" t="s">
        <v>55</v>
      </c>
      <c r="V11" s="14">
        <v>0.83</v>
      </c>
      <c r="W11" s="17" t="s">
        <v>67</v>
      </c>
      <c r="X11" s="14"/>
    </row>
    <row r="12" ht="14.25" customHeight="1">
      <c r="A12" s="10" t="s">
        <v>30</v>
      </c>
      <c r="B12" s="10" t="s">
        <v>31</v>
      </c>
      <c r="C12" s="10">
        <v>10.0</v>
      </c>
      <c r="D12" s="11" t="s">
        <v>68</v>
      </c>
      <c r="E12" s="11" t="s">
        <v>69</v>
      </c>
      <c r="F12" s="11" t="s">
        <v>34</v>
      </c>
      <c r="G12" s="10">
        <v>10.0</v>
      </c>
      <c r="H12" s="10">
        <f>VLOOKUP(F12,'Generos y Familia'!$A$1:$C$623,2,FALSE)</f>
        <v>27</v>
      </c>
      <c r="I12" s="12" t="str">
        <f t="shared" si="1"/>
        <v>Acacia decurrens</v>
      </c>
      <c r="J12" s="10" t="str">
        <f t="shared" si="2"/>
        <v>10 Acacia decurrens</v>
      </c>
      <c r="K12" s="10" t="str">
        <f t="shared" si="3"/>
        <v>Acacia Roja (Decurrens)</v>
      </c>
      <c r="L12" s="10" t="str">
        <f t="shared" si="4"/>
        <v>10 Acacia Roja (Decurrens)</v>
      </c>
      <c r="M12" s="10" t="s">
        <v>46</v>
      </c>
      <c r="N12" s="10" t="s">
        <v>36</v>
      </c>
      <c r="O12" s="10" t="s">
        <v>37</v>
      </c>
      <c r="P12" s="10" t="s">
        <v>59</v>
      </c>
      <c r="Q12" s="17">
        <v>15.0</v>
      </c>
      <c r="R12" s="14" t="s">
        <v>39</v>
      </c>
      <c r="S12" s="17" t="s">
        <v>70</v>
      </c>
      <c r="T12" s="14" t="s">
        <v>39</v>
      </c>
      <c r="U12" s="14" t="s">
        <v>55</v>
      </c>
      <c r="V12" s="14"/>
      <c r="W12" s="17"/>
      <c r="X12" s="14" t="s">
        <v>41</v>
      </c>
    </row>
    <row r="13" ht="14.25" customHeight="1">
      <c r="A13" s="10" t="s">
        <v>30</v>
      </c>
      <c r="B13" s="10" t="s">
        <v>63</v>
      </c>
      <c r="C13" s="10">
        <v>11.0</v>
      </c>
      <c r="D13" s="11" t="s">
        <v>71</v>
      </c>
      <c r="E13" s="11" t="s">
        <v>72</v>
      </c>
      <c r="F13" s="11" t="s">
        <v>34</v>
      </c>
      <c r="G13" s="10">
        <v>11.0</v>
      </c>
      <c r="H13" s="10">
        <f>VLOOKUP(F13,'Generos y Familia'!$A$1:$C$623,2,FALSE)</f>
        <v>27</v>
      </c>
      <c r="I13" s="12" t="str">
        <f t="shared" si="1"/>
        <v>Acacia farnesiana</v>
      </c>
      <c r="J13" s="10" t="str">
        <f t="shared" si="2"/>
        <v>11 Acacia farnesiana</v>
      </c>
      <c r="K13" s="10" t="str">
        <f t="shared" si="3"/>
        <v>Acacia de Desierto; Acacia Farnesiana</v>
      </c>
      <c r="L13" s="10" t="str">
        <f t="shared" si="4"/>
        <v>11 Acacia de Desierto; Acacia Farnesiana</v>
      </c>
      <c r="M13" s="10" t="s">
        <v>35</v>
      </c>
      <c r="N13" s="10" t="s">
        <v>36</v>
      </c>
      <c r="O13" s="10" t="s">
        <v>37</v>
      </c>
      <c r="P13" s="10" t="s">
        <v>59</v>
      </c>
      <c r="Q13" s="13">
        <v>2.0</v>
      </c>
      <c r="R13" s="13" t="s">
        <v>39</v>
      </c>
      <c r="S13" s="13"/>
      <c r="T13" s="13"/>
      <c r="U13" s="13" t="s">
        <v>73</v>
      </c>
      <c r="V13" s="13"/>
      <c r="W13" s="16"/>
      <c r="X13" s="13"/>
    </row>
    <row r="14" ht="14.25" customHeight="1">
      <c r="A14" s="10" t="s">
        <v>30</v>
      </c>
      <c r="B14" s="10" t="s">
        <v>31</v>
      </c>
      <c r="C14" s="10">
        <v>12.0</v>
      </c>
      <c r="D14" s="11" t="s">
        <v>74</v>
      </c>
      <c r="E14" s="11" t="s">
        <v>75</v>
      </c>
      <c r="F14" s="11" t="s">
        <v>34</v>
      </c>
      <c r="G14" s="10">
        <v>12.0</v>
      </c>
      <c r="H14" s="10">
        <f>VLOOKUP(F14,'Generos y Familia'!$A$1:$C$623,2,FALSE)</f>
        <v>27</v>
      </c>
      <c r="I14" s="12" t="str">
        <f t="shared" si="1"/>
        <v>Acacia mangium</v>
      </c>
      <c r="J14" s="10" t="str">
        <f t="shared" si="2"/>
        <v>12 Acacia mangium</v>
      </c>
      <c r="K14" s="10" t="str">
        <f t="shared" si="3"/>
        <v>Acacia Mangium</v>
      </c>
      <c r="L14" s="10" t="str">
        <f t="shared" si="4"/>
        <v>12 Acacia Mangium</v>
      </c>
      <c r="M14" s="10" t="s">
        <v>46</v>
      </c>
      <c r="N14" s="10" t="s">
        <v>36</v>
      </c>
      <c r="O14" s="10" t="s">
        <v>37</v>
      </c>
      <c r="P14" s="10" t="s">
        <v>59</v>
      </c>
      <c r="Q14" s="17">
        <v>30.0</v>
      </c>
      <c r="R14" s="14" t="s">
        <v>53</v>
      </c>
      <c r="S14" s="17">
        <v>60.0</v>
      </c>
      <c r="T14" s="14" t="s">
        <v>39</v>
      </c>
      <c r="U14" s="14" t="s">
        <v>55</v>
      </c>
      <c r="V14" s="14">
        <v>0.65</v>
      </c>
      <c r="W14" s="17"/>
      <c r="X14" s="14"/>
    </row>
    <row r="15" ht="14.25" customHeight="1">
      <c r="A15" s="10" t="s">
        <v>30</v>
      </c>
      <c r="B15" s="10" t="s">
        <v>31</v>
      </c>
      <c r="C15" s="10">
        <v>13.0</v>
      </c>
      <c r="D15" s="11" t="s">
        <v>76</v>
      </c>
      <c r="E15" s="11" t="s">
        <v>77</v>
      </c>
      <c r="F15" s="11" t="s">
        <v>34</v>
      </c>
      <c r="G15" s="10">
        <v>13.0</v>
      </c>
      <c r="H15" s="10">
        <f>VLOOKUP(F15,'Generos y Familia'!$A$1:$C$623,2,FALSE)</f>
        <v>27</v>
      </c>
      <c r="I15" s="12" t="str">
        <f t="shared" si="1"/>
        <v>Acacia melanoxylon</v>
      </c>
      <c r="J15" s="10" t="str">
        <f t="shared" si="2"/>
        <v>13 Acacia melanoxylon</v>
      </c>
      <c r="K15" s="10" t="str">
        <f t="shared" si="3"/>
        <v>Acacia Japonesa; Acacia Negra</v>
      </c>
      <c r="L15" s="10" t="str">
        <f t="shared" si="4"/>
        <v>13 Acacia Japonesa; Acacia Negra</v>
      </c>
      <c r="M15" s="10" t="s">
        <v>46</v>
      </c>
      <c r="N15" s="10" t="s">
        <v>36</v>
      </c>
      <c r="O15" s="10" t="s">
        <v>37</v>
      </c>
      <c r="P15" s="10" t="s">
        <v>59</v>
      </c>
      <c r="Q15" s="17">
        <v>20.0</v>
      </c>
      <c r="R15" s="14" t="s">
        <v>39</v>
      </c>
      <c r="S15" s="17">
        <v>50.0</v>
      </c>
      <c r="T15" s="14" t="s">
        <v>39</v>
      </c>
      <c r="U15" s="14" t="s">
        <v>55</v>
      </c>
      <c r="V15" s="14">
        <v>0.54</v>
      </c>
      <c r="W15" s="18" t="s">
        <v>78</v>
      </c>
      <c r="X15" s="14"/>
    </row>
    <row r="16" ht="14.25" customHeight="1">
      <c r="A16" s="10" t="s">
        <v>30</v>
      </c>
      <c r="B16" s="10" t="s">
        <v>31</v>
      </c>
      <c r="C16" s="10">
        <v>14.0</v>
      </c>
      <c r="D16" s="11" t="s">
        <v>79</v>
      </c>
      <c r="E16" s="11" t="s">
        <v>59</v>
      </c>
      <c r="F16" s="11" t="s">
        <v>34</v>
      </c>
      <c r="G16" s="10">
        <v>14.0</v>
      </c>
      <c r="H16" s="10">
        <f>VLOOKUP(F16,'Generos y Familia'!$A$1:$C$623,2,FALSE)</f>
        <v>27</v>
      </c>
      <c r="I16" s="12" t="str">
        <f t="shared" si="1"/>
        <v>Acacia muricata</v>
      </c>
      <c r="J16" s="10" t="str">
        <f t="shared" si="2"/>
        <v>14 Acacia muricata</v>
      </c>
      <c r="K16" s="10" t="str">
        <f t="shared" si="3"/>
        <v>Acacia</v>
      </c>
      <c r="L16" s="10" t="str">
        <f t="shared" si="4"/>
        <v>14 Acacia</v>
      </c>
      <c r="M16" s="10" t="s">
        <v>46</v>
      </c>
      <c r="N16" s="10" t="s">
        <v>28</v>
      </c>
      <c r="O16" s="10" t="s">
        <v>37</v>
      </c>
      <c r="P16" s="10" t="s">
        <v>59</v>
      </c>
      <c r="Q16" s="13"/>
      <c r="R16" s="13"/>
      <c r="S16" s="13"/>
      <c r="T16" s="13"/>
      <c r="U16" s="13"/>
      <c r="V16" s="13"/>
      <c r="W16" s="16"/>
      <c r="X16" s="13"/>
    </row>
    <row r="17" ht="14.25" customHeight="1">
      <c r="A17" s="10" t="s">
        <v>30</v>
      </c>
      <c r="B17" s="10" t="s">
        <v>31</v>
      </c>
      <c r="C17" s="10">
        <v>15.0</v>
      </c>
      <c r="D17" s="11" t="s">
        <v>80</v>
      </c>
      <c r="E17" s="11" t="s">
        <v>81</v>
      </c>
      <c r="F17" s="11" t="s">
        <v>82</v>
      </c>
      <c r="G17" s="10">
        <v>15.0</v>
      </c>
      <c r="H17" s="10">
        <f>VLOOKUP(F17,'Generos y Familia'!$A$1:$C$623,2,FALSE)</f>
        <v>26</v>
      </c>
      <c r="I17" s="12" t="str">
        <f t="shared" si="1"/>
        <v>Acalypha amentacea</v>
      </c>
      <c r="J17" s="10" t="str">
        <f t="shared" si="2"/>
        <v>15 Acalypha amentacea</v>
      </c>
      <c r="K17" s="10" t="str">
        <f t="shared" si="3"/>
        <v>Acalifa Repollo; Carlota</v>
      </c>
      <c r="L17" s="10" t="str">
        <f t="shared" si="4"/>
        <v>15 Acalifa Repollo; Carlota</v>
      </c>
      <c r="M17" s="10" t="s">
        <v>46</v>
      </c>
      <c r="N17" s="10" t="s">
        <v>36</v>
      </c>
      <c r="O17" s="10" t="s">
        <v>47</v>
      </c>
      <c r="P17" s="10" t="s">
        <v>83</v>
      </c>
      <c r="Q17" s="13">
        <v>3.0</v>
      </c>
      <c r="R17" s="13" t="s">
        <v>53</v>
      </c>
      <c r="S17" s="13"/>
      <c r="T17" s="13"/>
      <c r="U17" s="13"/>
      <c r="V17" s="13"/>
      <c r="W17" s="16"/>
      <c r="X17" s="13"/>
    </row>
    <row r="18" ht="14.25" customHeight="1">
      <c r="A18" s="10" t="s">
        <v>30</v>
      </c>
      <c r="B18" s="10" t="s">
        <v>31</v>
      </c>
      <c r="C18" s="10">
        <v>16.0</v>
      </c>
      <c r="D18" s="11" t="s">
        <v>84</v>
      </c>
      <c r="E18" s="11" t="s">
        <v>85</v>
      </c>
      <c r="F18" s="11" t="s">
        <v>82</v>
      </c>
      <c r="G18" s="10">
        <v>16.0</v>
      </c>
      <c r="H18" s="10">
        <f>VLOOKUP(F18,'Generos y Familia'!$A$1:$C$623,2,FALSE)</f>
        <v>26</v>
      </c>
      <c r="I18" s="12" t="str">
        <f t="shared" si="1"/>
        <v>Acalypha diversifolia</v>
      </c>
      <c r="J18" s="10" t="str">
        <f t="shared" si="2"/>
        <v>16 Acalypha diversifolia</v>
      </c>
      <c r="K18" s="10" t="str">
        <f t="shared" si="3"/>
        <v>Carlota</v>
      </c>
      <c r="L18" s="10" t="str">
        <f t="shared" si="4"/>
        <v>16 Carlota</v>
      </c>
      <c r="M18" s="10" t="s">
        <v>35</v>
      </c>
      <c r="N18" s="10" t="s">
        <v>36</v>
      </c>
      <c r="O18" s="10" t="s">
        <v>47</v>
      </c>
      <c r="P18" s="10" t="s">
        <v>83</v>
      </c>
      <c r="Q18" s="13"/>
      <c r="R18" s="13"/>
      <c r="S18" s="13"/>
      <c r="T18" s="13"/>
      <c r="U18" s="13"/>
      <c r="V18" s="13"/>
      <c r="W18" s="13"/>
      <c r="X18" s="13"/>
    </row>
    <row r="19" ht="14.25" customHeight="1">
      <c r="A19" s="10" t="s">
        <v>30</v>
      </c>
      <c r="B19" s="10" t="s">
        <v>31</v>
      </c>
      <c r="C19" s="10">
        <v>17.0</v>
      </c>
      <c r="D19" s="11" t="s">
        <v>86</v>
      </c>
      <c r="E19" s="11" t="s">
        <v>87</v>
      </c>
      <c r="F19" s="11" t="s">
        <v>82</v>
      </c>
      <c r="G19" s="10">
        <v>17.0</v>
      </c>
      <c r="H19" s="10">
        <f>VLOOKUP(F19,'Generos y Familia'!$A$1:$C$623,2,FALSE)</f>
        <v>26</v>
      </c>
      <c r="I19" s="12" t="str">
        <f t="shared" si="1"/>
        <v>Acalypha hispida</v>
      </c>
      <c r="J19" s="10" t="str">
        <f t="shared" si="2"/>
        <v>17 Acalypha hispida</v>
      </c>
      <c r="K19" s="10" t="str">
        <f t="shared" si="3"/>
        <v>Cola de Zorro</v>
      </c>
      <c r="L19" s="10" t="str">
        <f t="shared" si="4"/>
        <v>17 Cola de Zorro</v>
      </c>
      <c r="M19" s="10" t="s">
        <v>46</v>
      </c>
      <c r="N19" s="10" t="s">
        <v>36</v>
      </c>
      <c r="O19" s="10" t="s">
        <v>47</v>
      </c>
      <c r="P19" s="10" t="s">
        <v>83</v>
      </c>
      <c r="Q19" s="13">
        <v>4.0</v>
      </c>
      <c r="R19" s="13" t="s">
        <v>53</v>
      </c>
      <c r="S19" s="13"/>
      <c r="T19" s="13"/>
      <c r="U19" s="13" t="s">
        <v>55</v>
      </c>
      <c r="V19" s="13"/>
      <c r="W19" s="13"/>
      <c r="X19" s="13"/>
    </row>
    <row r="20" ht="14.25" customHeight="1">
      <c r="A20" s="10" t="s">
        <v>30</v>
      </c>
      <c r="B20" s="10" t="s">
        <v>31</v>
      </c>
      <c r="C20" s="10">
        <v>18.0</v>
      </c>
      <c r="D20" s="11" t="s">
        <v>88</v>
      </c>
      <c r="E20" s="11" t="s">
        <v>89</v>
      </c>
      <c r="F20" s="11" t="s">
        <v>82</v>
      </c>
      <c r="G20" s="10">
        <v>18.0</v>
      </c>
      <c r="H20" s="10">
        <f>VLOOKUP(F20,'Generos y Familia'!$A$1:$C$623,2,FALSE)</f>
        <v>26</v>
      </c>
      <c r="I20" s="12" t="str">
        <f t="shared" si="1"/>
        <v>Acalypha macrostachya</v>
      </c>
      <c r="J20" s="10" t="str">
        <f t="shared" si="2"/>
        <v>18 Acalypha macrostachya</v>
      </c>
      <c r="K20" s="10" t="str">
        <f t="shared" si="3"/>
        <v>Ortiga</v>
      </c>
      <c r="L20" s="10" t="str">
        <f t="shared" si="4"/>
        <v>18 Ortiga</v>
      </c>
      <c r="M20" s="10" t="s">
        <v>35</v>
      </c>
      <c r="N20" s="10" t="s">
        <v>36</v>
      </c>
      <c r="O20" s="10" t="s">
        <v>47</v>
      </c>
      <c r="P20" s="10" t="s">
        <v>83</v>
      </c>
      <c r="Q20" s="13">
        <v>6.0</v>
      </c>
      <c r="R20" s="13" t="s">
        <v>53</v>
      </c>
      <c r="S20" s="13"/>
      <c r="T20" s="13"/>
      <c r="U20" s="13" t="s">
        <v>55</v>
      </c>
      <c r="V20" s="13"/>
      <c r="W20" s="16"/>
      <c r="X20" s="13"/>
    </row>
    <row r="21" ht="14.25" customHeight="1">
      <c r="A21" s="10" t="s">
        <v>30</v>
      </c>
      <c r="B21" s="10" t="s">
        <v>31</v>
      </c>
      <c r="C21" s="10">
        <v>19.0</v>
      </c>
      <c r="D21" s="11" t="s">
        <v>90</v>
      </c>
      <c r="E21" s="11" t="s">
        <v>91</v>
      </c>
      <c r="F21" s="11" t="s">
        <v>82</v>
      </c>
      <c r="G21" s="10">
        <v>19.0</v>
      </c>
      <c r="H21" s="10">
        <f>VLOOKUP(F21,'Generos y Familia'!$A$1:$C$623,2,FALSE)</f>
        <v>26</v>
      </c>
      <c r="I21" s="12" t="str">
        <f t="shared" si="1"/>
        <v>Acalypha villosa</v>
      </c>
      <c r="J21" s="10" t="str">
        <f t="shared" si="2"/>
        <v>19 Acalypha villosa</v>
      </c>
      <c r="K21" s="10" t="str">
        <f t="shared" si="3"/>
        <v>Vara de Alcalde; Salvia de Monte</v>
      </c>
      <c r="L21" s="10" t="str">
        <f t="shared" si="4"/>
        <v>19 Vara de Alcalde; Salvia de Monte</v>
      </c>
      <c r="M21" s="10" t="s">
        <v>46</v>
      </c>
      <c r="N21" s="10" t="s">
        <v>36</v>
      </c>
      <c r="O21" s="10" t="s">
        <v>47</v>
      </c>
      <c r="P21" s="10" t="s">
        <v>83</v>
      </c>
      <c r="Q21" s="13"/>
      <c r="R21" s="13"/>
      <c r="S21" s="13"/>
      <c r="T21" s="13"/>
      <c r="U21" s="13"/>
      <c r="V21" s="13"/>
      <c r="W21" s="16"/>
      <c r="X21" s="13"/>
    </row>
    <row r="22" ht="14.25" customHeight="1">
      <c r="A22" s="10" t="s">
        <v>30</v>
      </c>
      <c r="B22" s="10" t="s">
        <v>31</v>
      </c>
      <c r="C22" s="10">
        <v>20.0</v>
      </c>
      <c r="D22" s="11" t="s">
        <v>92</v>
      </c>
      <c r="E22" s="11" t="s">
        <v>85</v>
      </c>
      <c r="F22" s="11" t="s">
        <v>82</v>
      </c>
      <c r="G22" s="10">
        <v>20.0</v>
      </c>
      <c r="H22" s="10">
        <f>VLOOKUP(F22,'Generos y Familia'!$A$1:$C$623,2,FALSE)</f>
        <v>26</v>
      </c>
      <c r="I22" s="12" t="str">
        <f t="shared" si="1"/>
        <v>Acalypha wilkesiana</v>
      </c>
      <c r="J22" s="10" t="str">
        <f t="shared" si="2"/>
        <v>20 Acalypha wilkesiana</v>
      </c>
      <c r="K22" s="10" t="str">
        <f t="shared" si="3"/>
        <v>Carlota</v>
      </c>
      <c r="L22" s="10" t="str">
        <f t="shared" si="4"/>
        <v>20 Carlota</v>
      </c>
      <c r="M22" s="10" t="s">
        <v>46</v>
      </c>
      <c r="N22" s="10" t="s">
        <v>36</v>
      </c>
      <c r="O22" s="10" t="s">
        <v>47</v>
      </c>
      <c r="P22" s="10" t="s">
        <v>83</v>
      </c>
      <c r="Q22" s="13">
        <v>3.0</v>
      </c>
      <c r="R22" s="13" t="s">
        <v>53</v>
      </c>
      <c r="S22" s="13"/>
      <c r="T22" s="13"/>
      <c r="U22" s="13" t="s">
        <v>55</v>
      </c>
      <c r="V22" s="13"/>
      <c r="W22" s="13"/>
      <c r="X22" s="13"/>
    </row>
    <row r="23" ht="14.25" customHeight="1">
      <c r="A23" s="10" t="s">
        <v>30</v>
      </c>
      <c r="B23" s="10" t="s">
        <v>31</v>
      </c>
      <c r="C23" s="10">
        <v>21.0</v>
      </c>
      <c r="D23" s="11" t="s">
        <v>93</v>
      </c>
      <c r="E23" s="11" t="s">
        <v>94</v>
      </c>
      <c r="F23" s="11" t="s">
        <v>95</v>
      </c>
      <c r="G23" s="10">
        <v>21.0</v>
      </c>
      <c r="H23" s="10">
        <f>VLOOKUP(F23,'Generos y Familia'!$A$1:$C$623,2,FALSE)</f>
        <v>49</v>
      </c>
      <c r="I23" s="12" t="str">
        <f t="shared" si="1"/>
        <v>Acca sellowiana</v>
      </c>
      <c r="J23" s="10" t="str">
        <f t="shared" si="2"/>
        <v>21 Acca sellowiana</v>
      </c>
      <c r="K23" s="10" t="str">
        <f t="shared" si="3"/>
        <v>Guayaba Feijoa</v>
      </c>
      <c r="L23" s="10" t="str">
        <f t="shared" si="4"/>
        <v>21 Guayaba Feijoa</v>
      </c>
      <c r="M23" s="10" t="s">
        <v>35</v>
      </c>
      <c r="N23" s="10" t="s">
        <v>36</v>
      </c>
      <c r="O23" s="10" t="s">
        <v>47</v>
      </c>
      <c r="P23" s="10" t="s">
        <v>96</v>
      </c>
      <c r="Q23" s="17">
        <v>5.0</v>
      </c>
      <c r="R23" s="14" t="s">
        <v>39</v>
      </c>
      <c r="S23" s="17">
        <v>20.0</v>
      </c>
      <c r="T23" s="14" t="s">
        <v>39</v>
      </c>
      <c r="U23" s="14" t="s">
        <v>73</v>
      </c>
      <c r="V23" s="14"/>
      <c r="W23" s="17"/>
      <c r="X23" s="14"/>
    </row>
    <row r="24" ht="14.25" customHeight="1">
      <c r="A24" s="10" t="s">
        <v>30</v>
      </c>
      <c r="B24" s="10" t="s">
        <v>63</v>
      </c>
      <c r="C24" s="10">
        <v>22.0</v>
      </c>
      <c r="D24" s="11" t="s">
        <v>97</v>
      </c>
      <c r="E24" s="11" t="s">
        <v>98</v>
      </c>
      <c r="F24" s="11" t="s">
        <v>99</v>
      </c>
      <c r="G24" s="10">
        <v>22.0</v>
      </c>
      <c r="H24" s="10">
        <f>VLOOKUP(F24,'Generos y Familia'!$A$1:$C$623,2,FALSE)</f>
        <v>2</v>
      </c>
      <c r="I24" s="12" t="str">
        <f t="shared" si="1"/>
        <v>Achatocarpus nigricans</v>
      </c>
      <c r="J24" s="10" t="str">
        <f t="shared" si="2"/>
        <v>22 Achatocarpus nigricans</v>
      </c>
      <c r="K24" s="10" t="str">
        <f t="shared" si="3"/>
        <v>Totocal O Limon Macho</v>
      </c>
      <c r="L24" s="10" t="str">
        <f t="shared" si="4"/>
        <v>22 Totocal O Limon Macho</v>
      </c>
      <c r="M24" s="10" t="s">
        <v>35</v>
      </c>
      <c r="N24" s="10" t="s">
        <v>36</v>
      </c>
      <c r="O24" s="10" t="s">
        <v>37</v>
      </c>
      <c r="P24" s="10" t="s">
        <v>100</v>
      </c>
      <c r="Q24" s="13">
        <v>12.0</v>
      </c>
      <c r="R24" s="13" t="s">
        <v>53</v>
      </c>
      <c r="S24" s="13"/>
      <c r="T24" s="13"/>
      <c r="U24" s="13" t="s">
        <v>55</v>
      </c>
      <c r="V24" s="13"/>
      <c r="W24" s="13"/>
      <c r="X24" s="13"/>
    </row>
    <row r="25" ht="14.25" customHeight="1">
      <c r="A25" s="10" t="s">
        <v>30</v>
      </c>
      <c r="B25" s="10" t="s">
        <v>31</v>
      </c>
      <c r="C25" s="10">
        <v>23.0</v>
      </c>
      <c r="D25" s="11" t="s">
        <v>101</v>
      </c>
      <c r="E25" s="11" t="s">
        <v>102</v>
      </c>
      <c r="F25" s="11" t="s">
        <v>103</v>
      </c>
      <c r="G25" s="10">
        <v>23.0</v>
      </c>
      <c r="H25" s="10">
        <f>VLOOKUP(F25,'Generos y Familia'!$A$1:$C$623,2,FALSE)</f>
        <v>89</v>
      </c>
      <c r="I25" s="12" t="str">
        <f t="shared" si="1"/>
        <v>Iochroma arborescens</v>
      </c>
      <c r="J25" s="10" t="str">
        <f t="shared" si="2"/>
        <v>23 Iochroma arborescens</v>
      </c>
      <c r="K25" s="10" t="str">
        <f t="shared" si="3"/>
        <v>Güitite; Tabalgue; Tomatoquina</v>
      </c>
      <c r="L25" s="10" t="str">
        <f t="shared" si="4"/>
        <v>23 Güitite; Tabalgue; Tomatoquina</v>
      </c>
      <c r="M25" s="10" t="s">
        <v>35</v>
      </c>
      <c r="N25" s="10" t="s">
        <v>36</v>
      </c>
      <c r="O25" s="10" t="s">
        <v>37</v>
      </c>
      <c r="P25" s="10" t="s">
        <v>104</v>
      </c>
      <c r="Q25" s="17">
        <v>8.0</v>
      </c>
      <c r="R25" s="14" t="s">
        <v>105</v>
      </c>
      <c r="S25" s="17" t="s">
        <v>106</v>
      </c>
      <c r="T25" s="14"/>
      <c r="U25" s="14" t="s">
        <v>55</v>
      </c>
      <c r="V25" s="14"/>
      <c r="W25" s="17" t="s">
        <v>107</v>
      </c>
      <c r="X25" s="14" t="s">
        <v>41</v>
      </c>
    </row>
    <row r="26" ht="14.25" customHeight="1">
      <c r="A26" s="10" t="s">
        <v>30</v>
      </c>
      <c r="B26" s="10" t="s">
        <v>63</v>
      </c>
      <c r="C26" s="10">
        <v>24.0</v>
      </c>
      <c r="D26" s="11" t="s">
        <v>108</v>
      </c>
      <c r="E26" s="11" t="s">
        <v>109</v>
      </c>
      <c r="F26" s="11" t="s">
        <v>34</v>
      </c>
      <c r="G26" s="10">
        <v>24.0</v>
      </c>
      <c r="H26" s="10">
        <f>VLOOKUP(F26,'Generos y Familia'!$A$1:$C$623,2,FALSE)</f>
        <v>27</v>
      </c>
      <c r="I26" s="12" t="str">
        <f t="shared" si="1"/>
        <v>Acosmium dasycarpum</v>
      </c>
      <c r="J26" s="10" t="str">
        <f t="shared" si="2"/>
        <v>24 Acosmium dasycarpum</v>
      </c>
      <c r="K26" s="10" t="str">
        <f t="shared" si="3"/>
        <v>Tasaa</v>
      </c>
      <c r="L26" s="10" t="str">
        <f t="shared" si="4"/>
        <v>24 Tasaa</v>
      </c>
      <c r="M26" s="10" t="s">
        <v>35</v>
      </c>
      <c r="N26" s="10" t="s">
        <v>36</v>
      </c>
      <c r="O26" s="10" t="s">
        <v>47</v>
      </c>
      <c r="P26" s="10" t="s">
        <v>110</v>
      </c>
      <c r="Q26" s="13"/>
      <c r="R26" s="13"/>
      <c r="S26" s="13"/>
      <c r="T26" s="13"/>
      <c r="U26" s="13"/>
      <c r="V26" s="13"/>
      <c r="W26" s="13"/>
      <c r="X26" s="13"/>
    </row>
    <row r="27" ht="14.25" customHeight="1">
      <c r="A27" s="10" t="s">
        <v>30</v>
      </c>
      <c r="B27" s="10" t="s">
        <v>31</v>
      </c>
      <c r="C27" s="10">
        <v>25.0</v>
      </c>
      <c r="D27" s="11" t="s">
        <v>111</v>
      </c>
      <c r="E27" s="11" t="s">
        <v>112</v>
      </c>
      <c r="F27" s="11" t="s">
        <v>34</v>
      </c>
      <c r="G27" s="10">
        <v>25.0</v>
      </c>
      <c r="H27" s="10">
        <f>VLOOKUP(F27,'Generos y Familia'!$A$1:$C$623,2,FALSE)</f>
        <v>27</v>
      </c>
      <c r="I27" s="12" t="str">
        <f t="shared" si="1"/>
        <v>Acrocarpus fraxinifolius</v>
      </c>
      <c r="J27" s="10" t="str">
        <f t="shared" si="2"/>
        <v>25 Acrocarpus fraxinifolius</v>
      </c>
      <c r="K27" s="10" t="str">
        <f t="shared" si="3"/>
        <v>Cedro Rosado de la India</v>
      </c>
      <c r="L27" s="10" t="str">
        <f t="shared" si="4"/>
        <v>25 Cedro Rosado de la India</v>
      </c>
      <c r="M27" s="10" t="s">
        <v>46</v>
      </c>
      <c r="N27" s="10" t="s">
        <v>28</v>
      </c>
      <c r="O27" s="10" t="s">
        <v>37</v>
      </c>
      <c r="P27" s="10" t="s">
        <v>113</v>
      </c>
      <c r="Q27" s="13">
        <v>25.0</v>
      </c>
      <c r="R27" s="13" t="s">
        <v>53</v>
      </c>
      <c r="S27" s="13"/>
      <c r="T27" s="13"/>
      <c r="U27" s="13" t="s">
        <v>55</v>
      </c>
      <c r="V27" s="13"/>
      <c r="W27" s="16"/>
      <c r="X27" s="13"/>
    </row>
    <row r="28" ht="14.25" customHeight="1">
      <c r="A28" s="10" t="s">
        <v>30</v>
      </c>
      <c r="B28" s="10" t="s">
        <v>31</v>
      </c>
      <c r="C28" s="10">
        <v>26.0</v>
      </c>
      <c r="D28" s="11" t="s">
        <v>114</v>
      </c>
      <c r="E28" s="11" t="s">
        <v>115</v>
      </c>
      <c r="F28" s="11" t="s">
        <v>116</v>
      </c>
      <c r="G28" s="10">
        <v>26.0</v>
      </c>
      <c r="H28" s="10">
        <f>VLOOKUP(F28,'Generos y Familia'!$A$1:$C$623,2,FALSE)</f>
        <v>14</v>
      </c>
      <c r="I28" s="12" t="str">
        <f t="shared" si="1"/>
        <v>Acrocomia aculeata</v>
      </c>
      <c r="J28" s="10" t="str">
        <f t="shared" si="2"/>
        <v>26 Acrocomia aculeata</v>
      </c>
      <c r="K28" s="10" t="str">
        <f t="shared" si="3"/>
        <v>Palma Chonta; Corozo Baboso</v>
      </c>
      <c r="L28" s="10" t="str">
        <f t="shared" si="4"/>
        <v>26 Palma Chonta; Corozo Baboso</v>
      </c>
      <c r="M28" s="10" t="s">
        <v>35</v>
      </c>
      <c r="N28" s="10" t="s">
        <v>36</v>
      </c>
      <c r="O28" s="10" t="s">
        <v>117</v>
      </c>
      <c r="P28" s="10" t="s">
        <v>118</v>
      </c>
      <c r="Q28" s="17">
        <v>15.0</v>
      </c>
      <c r="R28" s="19" t="s">
        <v>39</v>
      </c>
      <c r="S28" s="17">
        <v>30.0</v>
      </c>
      <c r="T28" s="14" t="s">
        <v>39</v>
      </c>
      <c r="U28" s="14" t="s">
        <v>40</v>
      </c>
      <c r="V28" s="14"/>
      <c r="W28" s="17" t="s">
        <v>119</v>
      </c>
      <c r="X28" s="14"/>
    </row>
    <row r="29" ht="14.25" customHeight="1">
      <c r="A29" s="10" t="s">
        <v>30</v>
      </c>
      <c r="B29" s="10" t="s">
        <v>31</v>
      </c>
      <c r="C29" s="10">
        <v>27.0</v>
      </c>
      <c r="D29" s="11" t="s">
        <v>120</v>
      </c>
      <c r="E29" s="11" t="s">
        <v>121</v>
      </c>
      <c r="F29" s="11" t="s">
        <v>34</v>
      </c>
      <c r="G29" s="10">
        <v>27.0</v>
      </c>
      <c r="H29" s="10">
        <f>VLOOKUP(F29,'Generos y Familia'!$A$1:$C$623,2,FALSE)</f>
        <v>27</v>
      </c>
      <c r="I29" s="12" t="str">
        <f t="shared" si="1"/>
        <v>Adenanthera pavonina</v>
      </c>
      <c r="J29" s="10" t="str">
        <f t="shared" si="2"/>
        <v>27 Adenanthera pavonina</v>
      </c>
      <c r="K29" s="10" t="str">
        <f t="shared" si="3"/>
        <v>Coralito; Chocho</v>
      </c>
      <c r="L29" s="10" t="str">
        <f t="shared" si="4"/>
        <v>27 Coralito; Chocho</v>
      </c>
      <c r="M29" s="10" t="s">
        <v>46</v>
      </c>
      <c r="N29" s="10" t="s">
        <v>36</v>
      </c>
      <c r="O29" s="10" t="s">
        <v>37</v>
      </c>
      <c r="P29" s="10" t="s">
        <v>122</v>
      </c>
      <c r="Q29" s="13">
        <v>15.0</v>
      </c>
      <c r="R29" s="13" t="s">
        <v>39</v>
      </c>
      <c r="S29" s="13">
        <v>45.0</v>
      </c>
      <c r="T29" s="13" t="s">
        <v>39</v>
      </c>
      <c r="U29" s="13" t="s">
        <v>55</v>
      </c>
      <c r="V29" s="13">
        <v>0.68</v>
      </c>
      <c r="W29" s="16"/>
      <c r="X29" s="13"/>
    </row>
    <row r="30" ht="14.25" customHeight="1">
      <c r="A30" s="10" t="s">
        <v>30</v>
      </c>
      <c r="B30" s="10" t="s">
        <v>31</v>
      </c>
      <c r="C30" s="10">
        <v>28.0</v>
      </c>
      <c r="D30" s="11" t="s">
        <v>123</v>
      </c>
      <c r="E30" s="11" t="s">
        <v>124</v>
      </c>
      <c r="F30" s="11" t="s">
        <v>125</v>
      </c>
      <c r="G30" s="10">
        <v>28.0</v>
      </c>
      <c r="H30" s="10">
        <f>VLOOKUP(F30,'Generos y Familia'!$A$1:$C$623,2,FALSE)</f>
        <v>37</v>
      </c>
      <c r="I30" s="12" t="str">
        <f t="shared" si="1"/>
        <v>Adenaria floribunda</v>
      </c>
      <c r="J30" s="10" t="str">
        <f t="shared" si="2"/>
        <v>28 Adenaria floribunda</v>
      </c>
      <c r="K30" s="10" t="str">
        <f t="shared" si="3"/>
        <v>Chaparro</v>
      </c>
      <c r="L30" s="10" t="str">
        <f t="shared" si="4"/>
        <v>28 Chaparro</v>
      </c>
      <c r="M30" s="10" t="s">
        <v>35</v>
      </c>
      <c r="N30" s="10" t="s">
        <v>36</v>
      </c>
      <c r="O30" s="10" t="s">
        <v>47</v>
      </c>
      <c r="P30" s="10" t="s">
        <v>126</v>
      </c>
      <c r="Q30" s="13">
        <v>7.0</v>
      </c>
      <c r="R30" s="13" t="s">
        <v>39</v>
      </c>
      <c r="S30" s="13">
        <v>10.0</v>
      </c>
      <c r="T30" s="13" t="s">
        <v>39</v>
      </c>
      <c r="U30" s="13" t="s">
        <v>55</v>
      </c>
      <c r="V30" s="13"/>
      <c r="W30" s="13"/>
      <c r="X30" s="13"/>
    </row>
    <row r="31" ht="14.25" customHeight="1">
      <c r="A31" s="10" t="s">
        <v>30</v>
      </c>
      <c r="B31" s="10" t="s">
        <v>31</v>
      </c>
      <c r="C31" s="10">
        <v>29.0</v>
      </c>
      <c r="D31" s="11" t="s">
        <v>127</v>
      </c>
      <c r="E31" s="11" t="s">
        <v>128</v>
      </c>
      <c r="F31" s="11" t="s">
        <v>116</v>
      </c>
      <c r="G31" s="10">
        <v>29.0</v>
      </c>
      <c r="H31" s="10">
        <f>VLOOKUP(F31,'Generos y Familia'!$A$1:$C$623,2,FALSE)</f>
        <v>14</v>
      </c>
      <c r="I31" s="12" t="str">
        <f t="shared" si="1"/>
        <v>Adonidia merrillii</v>
      </c>
      <c r="J31" s="10" t="str">
        <f t="shared" si="2"/>
        <v>29 Adonidia merrillii</v>
      </c>
      <c r="K31" s="10" t="str">
        <f t="shared" si="3"/>
        <v>Palma de Manila; Palma de Navidad</v>
      </c>
      <c r="L31" s="10" t="str">
        <f t="shared" si="4"/>
        <v>29 Palma de Manila; Palma de Navidad</v>
      </c>
      <c r="M31" s="10" t="s">
        <v>46</v>
      </c>
      <c r="N31" s="10" t="s">
        <v>36</v>
      </c>
      <c r="O31" s="10" t="s">
        <v>117</v>
      </c>
      <c r="P31" s="10" t="s">
        <v>129</v>
      </c>
      <c r="Q31" s="17">
        <v>12.0</v>
      </c>
      <c r="R31" s="14" t="s">
        <v>39</v>
      </c>
      <c r="S31" s="17">
        <v>20.0</v>
      </c>
      <c r="T31" s="14" t="s">
        <v>39</v>
      </c>
      <c r="U31" s="14" t="s">
        <v>40</v>
      </c>
      <c r="V31" s="14"/>
      <c r="W31" s="17" t="s">
        <v>54</v>
      </c>
      <c r="X31" s="14"/>
    </row>
    <row r="32" ht="14.25" customHeight="1">
      <c r="A32" s="10" t="s">
        <v>30</v>
      </c>
      <c r="B32" s="10" t="s">
        <v>31</v>
      </c>
      <c r="C32" s="10">
        <v>30.0</v>
      </c>
      <c r="D32" s="11" t="s">
        <v>130</v>
      </c>
      <c r="E32" s="11" t="s">
        <v>131</v>
      </c>
      <c r="F32" s="11" t="s">
        <v>132</v>
      </c>
      <c r="G32" s="10">
        <v>30.0</v>
      </c>
      <c r="H32" s="10">
        <f>VLOOKUP(F32,'Generos y Familia'!$A$1:$C$623,2,FALSE)</f>
        <v>74</v>
      </c>
      <c r="I32" s="12" t="str">
        <f t="shared" si="1"/>
        <v>Aegiceras corniculatum</v>
      </c>
      <c r="J32" s="10" t="str">
        <f t="shared" si="2"/>
        <v>30 Aegiceras corniculatum</v>
      </c>
      <c r="K32" s="10" t="str">
        <f t="shared" si="3"/>
        <v>Aegiceras Corniculatum</v>
      </c>
      <c r="L32" s="10" t="str">
        <f t="shared" si="4"/>
        <v>30 Aegiceras Corniculatum</v>
      </c>
      <c r="M32" s="10" t="s">
        <v>46</v>
      </c>
      <c r="N32" s="10" t="s">
        <v>28</v>
      </c>
      <c r="O32" s="10" t="s">
        <v>47</v>
      </c>
      <c r="P32" s="10" t="s">
        <v>133</v>
      </c>
      <c r="Q32" s="13"/>
      <c r="R32" s="13"/>
      <c r="S32" s="13"/>
      <c r="T32" s="13"/>
      <c r="U32" s="13"/>
      <c r="V32" s="13"/>
      <c r="W32" s="13"/>
      <c r="X32" s="13"/>
    </row>
    <row r="33" ht="14.25" customHeight="1">
      <c r="A33" s="10" t="s">
        <v>30</v>
      </c>
      <c r="B33" s="10" t="s">
        <v>31</v>
      </c>
      <c r="C33" s="10">
        <v>31.0</v>
      </c>
      <c r="D33" s="11" t="s">
        <v>134</v>
      </c>
      <c r="E33" s="11" t="s">
        <v>135</v>
      </c>
      <c r="F33" s="11" t="s">
        <v>136</v>
      </c>
      <c r="G33" s="10">
        <v>31.0</v>
      </c>
      <c r="H33" s="10">
        <f>VLOOKUP(F33,'Generos y Familia'!$A$1:$C$623,2,FALSE)</f>
        <v>34</v>
      </c>
      <c r="I33" s="12" t="str">
        <f t="shared" si="1"/>
        <v>Aegiphila integrifolia</v>
      </c>
      <c r="J33" s="10" t="str">
        <f t="shared" si="2"/>
        <v>31 Aegiphila integrifolia</v>
      </c>
      <c r="K33" s="10" t="str">
        <f t="shared" si="3"/>
        <v>Pavo; Juan Blanco</v>
      </c>
      <c r="L33" s="10" t="str">
        <f t="shared" si="4"/>
        <v>31 Pavo; Juan Blanco</v>
      </c>
      <c r="M33" s="10" t="s">
        <v>35</v>
      </c>
      <c r="N33" s="10" t="s">
        <v>36</v>
      </c>
      <c r="O33" s="10" t="s">
        <v>37</v>
      </c>
      <c r="P33" s="10" t="s">
        <v>137</v>
      </c>
      <c r="Q33" s="13"/>
      <c r="R33" s="13"/>
      <c r="S33" s="13"/>
      <c r="T33" s="13"/>
      <c r="U33" s="13"/>
      <c r="V33" s="13"/>
      <c r="W33" s="13"/>
      <c r="X33" s="13"/>
    </row>
    <row r="34" ht="14.25" customHeight="1">
      <c r="A34" s="10" t="s">
        <v>30</v>
      </c>
      <c r="B34" s="10" t="s">
        <v>31</v>
      </c>
      <c r="C34" s="10">
        <v>32.0</v>
      </c>
      <c r="D34" s="11" t="s">
        <v>138</v>
      </c>
      <c r="E34" s="11" t="s">
        <v>139</v>
      </c>
      <c r="F34" s="11" t="s">
        <v>136</v>
      </c>
      <c r="G34" s="10">
        <v>32.0</v>
      </c>
      <c r="H34" s="10">
        <f>VLOOKUP(F34,'Generos y Familia'!$A$1:$C$623,2,FALSE)</f>
        <v>34</v>
      </c>
      <c r="I34" s="12" t="str">
        <f t="shared" si="1"/>
        <v>Aegiphila mollis</v>
      </c>
      <c r="J34" s="10" t="str">
        <f t="shared" si="2"/>
        <v>32 Aegiphila mollis</v>
      </c>
      <c r="K34" s="10" t="str">
        <f t="shared" si="3"/>
        <v>Contraculebra de Venezuela</v>
      </c>
      <c r="L34" s="10" t="str">
        <f t="shared" si="4"/>
        <v>32 Contraculebra de Venezuela</v>
      </c>
      <c r="M34" s="10" t="s">
        <v>46</v>
      </c>
      <c r="N34" s="10" t="s">
        <v>36</v>
      </c>
      <c r="O34" s="10" t="s">
        <v>47</v>
      </c>
      <c r="P34" s="10" t="s">
        <v>137</v>
      </c>
      <c r="Q34" s="13"/>
      <c r="R34" s="13"/>
      <c r="S34" s="13"/>
      <c r="T34" s="13"/>
      <c r="U34" s="13"/>
      <c r="V34" s="13"/>
      <c r="W34" s="13"/>
      <c r="X34" s="13"/>
    </row>
    <row r="35" ht="14.25" customHeight="1">
      <c r="A35" s="10" t="s">
        <v>30</v>
      </c>
      <c r="B35" s="10" t="s">
        <v>31</v>
      </c>
      <c r="C35" s="10">
        <v>33.0</v>
      </c>
      <c r="D35" s="11" t="s">
        <v>140</v>
      </c>
      <c r="E35" s="11" t="s">
        <v>141</v>
      </c>
      <c r="F35" s="11" t="s">
        <v>136</v>
      </c>
      <c r="G35" s="10">
        <v>33.0</v>
      </c>
      <c r="H35" s="10">
        <f>VLOOKUP(F35,'Generos y Familia'!$A$1:$C$623,2,FALSE)</f>
        <v>34</v>
      </c>
      <c r="I35" s="12" t="str">
        <f t="shared" si="1"/>
        <v>Aegiphila panamensis</v>
      </c>
      <c r="J35" s="10" t="str">
        <f t="shared" si="2"/>
        <v>33 Aegiphila panamensis</v>
      </c>
      <c r="K35" s="10" t="str">
        <f t="shared" si="3"/>
        <v>Loro</v>
      </c>
      <c r="L35" s="10" t="str">
        <f t="shared" si="4"/>
        <v>33 Loro</v>
      </c>
      <c r="M35" s="10" t="s">
        <v>35</v>
      </c>
      <c r="N35" s="10" t="s">
        <v>36</v>
      </c>
      <c r="O35" s="10" t="s">
        <v>37</v>
      </c>
      <c r="P35" s="10" t="s">
        <v>137</v>
      </c>
      <c r="Q35" s="13"/>
      <c r="R35" s="13"/>
      <c r="S35" s="13"/>
      <c r="T35" s="13"/>
      <c r="U35" s="13"/>
      <c r="V35" s="13"/>
      <c r="W35" s="13"/>
      <c r="X35" s="13"/>
    </row>
    <row r="36" ht="14.25" customHeight="1">
      <c r="A36" s="10" t="s">
        <v>30</v>
      </c>
      <c r="B36" s="10" t="s">
        <v>31</v>
      </c>
      <c r="C36" s="10">
        <v>34.0</v>
      </c>
      <c r="D36" s="11" t="s">
        <v>142</v>
      </c>
      <c r="E36" s="11" t="s">
        <v>143</v>
      </c>
      <c r="F36" s="11" t="s">
        <v>136</v>
      </c>
      <c r="G36" s="10">
        <v>34.0</v>
      </c>
      <c r="H36" s="10">
        <f>VLOOKUP(F36,'Generos y Familia'!$A$1:$C$623,2,FALSE)</f>
        <v>34</v>
      </c>
      <c r="I36" s="12" t="str">
        <f t="shared" si="1"/>
        <v>Aegiphila sp</v>
      </c>
      <c r="J36" s="10" t="str">
        <f t="shared" si="2"/>
        <v>34 Aegiphila sp</v>
      </c>
      <c r="K36" s="10" t="str">
        <f t="shared" si="3"/>
        <v>Tabaquillo; Palo Blanco; Mantequillo; Sapo de Vieja</v>
      </c>
      <c r="L36" s="10" t="str">
        <f t="shared" si="4"/>
        <v>34 Tabaquillo; Palo Blanco; Mantequillo; Sapo de Vieja</v>
      </c>
      <c r="M36" s="10" t="s">
        <v>35</v>
      </c>
      <c r="N36" s="10" t="s">
        <v>36</v>
      </c>
      <c r="O36" s="10" t="s">
        <v>37</v>
      </c>
      <c r="P36" s="10" t="s">
        <v>137</v>
      </c>
      <c r="Q36" s="17" t="s">
        <v>144</v>
      </c>
      <c r="R36" s="14" t="s">
        <v>53</v>
      </c>
      <c r="S36" s="17" t="s">
        <v>54</v>
      </c>
      <c r="T36" s="14"/>
      <c r="U36" s="14" t="s">
        <v>55</v>
      </c>
      <c r="V36" s="14"/>
      <c r="W36" s="17" t="s">
        <v>145</v>
      </c>
      <c r="X36" s="14" t="s">
        <v>41</v>
      </c>
    </row>
    <row r="37" ht="14.25" customHeight="1">
      <c r="A37" s="10" t="s">
        <v>30</v>
      </c>
      <c r="B37" s="10" t="s">
        <v>31</v>
      </c>
      <c r="C37" s="10">
        <v>35.0</v>
      </c>
      <c r="D37" s="11" t="s">
        <v>146</v>
      </c>
      <c r="E37" s="11" t="s">
        <v>147</v>
      </c>
      <c r="F37" s="11" t="s">
        <v>148</v>
      </c>
      <c r="G37" s="10">
        <v>35.0</v>
      </c>
      <c r="H37" s="10">
        <f>VLOOKUP(F37,'Generos y Familia'!$A$1:$C$623,2,FALSE)</f>
        <v>15</v>
      </c>
      <c r="I37" s="12" t="str">
        <f t="shared" si="1"/>
        <v>Agave americana</v>
      </c>
      <c r="J37" s="10" t="str">
        <f t="shared" si="2"/>
        <v>35 Agave americana</v>
      </c>
      <c r="K37" s="10" t="str">
        <f t="shared" si="3"/>
        <v>Motua; Chaguar; Maguey</v>
      </c>
      <c r="L37" s="10" t="str">
        <f t="shared" si="4"/>
        <v>35 Motua; Chaguar; Maguey</v>
      </c>
      <c r="M37" s="10" t="s">
        <v>46</v>
      </c>
      <c r="N37" s="10" t="s">
        <v>36</v>
      </c>
      <c r="O37" s="10" t="s">
        <v>149</v>
      </c>
      <c r="P37" s="10" t="s">
        <v>150</v>
      </c>
      <c r="Q37" s="13"/>
      <c r="R37" s="13"/>
      <c r="S37" s="13"/>
      <c r="T37" s="13"/>
      <c r="U37" s="13"/>
      <c r="V37" s="13"/>
      <c r="W37" s="13"/>
      <c r="X37" s="13"/>
    </row>
    <row r="38" ht="14.25" customHeight="1">
      <c r="A38" s="10" t="s">
        <v>30</v>
      </c>
      <c r="B38" s="10" t="s">
        <v>31</v>
      </c>
      <c r="C38" s="10">
        <v>36.0</v>
      </c>
      <c r="D38" s="11" t="s">
        <v>151</v>
      </c>
      <c r="E38" s="11" t="s">
        <v>152</v>
      </c>
      <c r="F38" s="11" t="s">
        <v>148</v>
      </c>
      <c r="G38" s="10">
        <v>36.0</v>
      </c>
      <c r="H38" s="10">
        <f>VLOOKUP(F38,'Generos y Familia'!$A$1:$C$623,2,FALSE)</f>
        <v>15</v>
      </c>
      <c r="I38" s="12" t="str">
        <f t="shared" si="1"/>
        <v>Agave attenuata</v>
      </c>
      <c r="J38" s="10" t="str">
        <f t="shared" si="2"/>
        <v>36 Agave attenuata</v>
      </c>
      <c r="K38" s="10" t="str">
        <f t="shared" si="3"/>
        <v>Maguey del Dragón</v>
      </c>
      <c r="L38" s="10" t="str">
        <f t="shared" si="4"/>
        <v>36 Maguey del Dragón</v>
      </c>
      <c r="M38" s="10" t="s">
        <v>46</v>
      </c>
      <c r="N38" s="10" t="s">
        <v>36</v>
      </c>
      <c r="O38" s="10" t="s">
        <v>149</v>
      </c>
      <c r="P38" s="10" t="s">
        <v>150</v>
      </c>
      <c r="Q38" s="17" t="s">
        <v>153</v>
      </c>
      <c r="R38" s="14"/>
      <c r="S38" s="17" t="s">
        <v>54</v>
      </c>
      <c r="T38" s="14"/>
      <c r="U38" s="14" t="s">
        <v>73</v>
      </c>
      <c r="V38" s="14"/>
      <c r="W38" s="18"/>
      <c r="X38" s="14" t="s">
        <v>41</v>
      </c>
    </row>
    <row r="39" ht="14.25" customHeight="1">
      <c r="A39" s="10" t="s">
        <v>30</v>
      </c>
      <c r="B39" s="10" t="s">
        <v>31</v>
      </c>
      <c r="C39" s="10">
        <v>37.0</v>
      </c>
      <c r="D39" s="11" t="s">
        <v>154</v>
      </c>
      <c r="E39" s="11" t="s">
        <v>155</v>
      </c>
      <c r="F39" s="11" t="s">
        <v>148</v>
      </c>
      <c r="G39" s="10">
        <v>37.0</v>
      </c>
      <c r="H39" s="10">
        <f>VLOOKUP(F39,'Generos y Familia'!$A$1:$C$623,2,FALSE)</f>
        <v>15</v>
      </c>
      <c r="I39" s="12" t="str">
        <f t="shared" si="1"/>
        <v>Agave sp</v>
      </c>
      <c r="J39" s="10" t="str">
        <f t="shared" si="2"/>
        <v>37 Agave sp</v>
      </c>
      <c r="K39" s="10" t="str">
        <f t="shared" si="3"/>
        <v>Pita; Pitera; Magüey</v>
      </c>
      <c r="L39" s="10" t="str">
        <f t="shared" si="4"/>
        <v>37 Pita; Pitera; Magüey</v>
      </c>
      <c r="M39" s="10" t="s">
        <v>46</v>
      </c>
      <c r="N39" s="10" t="s">
        <v>36</v>
      </c>
      <c r="O39" s="10" t="s">
        <v>149</v>
      </c>
      <c r="P39" s="10" t="s">
        <v>150</v>
      </c>
      <c r="Q39" s="13"/>
      <c r="R39" s="13"/>
      <c r="S39" s="13"/>
      <c r="T39" s="13"/>
      <c r="U39" s="13"/>
      <c r="V39" s="13"/>
      <c r="W39" s="13"/>
      <c r="X39" s="13"/>
    </row>
    <row r="40" ht="14.25" customHeight="1">
      <c r="A40" s="10" t="s">
        <v>30</v>
      </c>
      <c r="B40" s="10" t="s">
        <v>31</v>
      </c>
      <c r="C40" s="10">
        <v>38.0</v>
      </c>
      <c r="D40" s="11" t="s">
        <v>156</v>
      </c>
      <c r="E40" s="11" t="s">
        <v>157</v>
      </c>
      <c r="F40" s="11" t="s">
        <v>158</v>
      </c>
      <c r="G40" s="10">
        <v>38.0</v>
      </c>
      <c r="H40" s="10">
        <f>VLOOKUP(F40,'Generos y Familia'!$A$1:$C$623,2,FALSE)</f>
        <v>35</v>
      </c>
      <c r="I40" s="12" t="str">
        <f t="shared" si="1"/>
        <v>Aiouea sp</v>
      </c>
      <c r="J40" s="10" t="str">
        <f t="shared" si="2"/>
        <v>38 Aiouea sp</v>
      </c>
      <c r="K40" s="10" t="str">
        <f t="shared" si="3"/>
        <v>Laurel Feve</v>
      </c>
      <c r="L40" s="10" t="str">
        <f t="shared" si="4"/>
        <v>38 Laurel Feve</v>
      </c>
      <c r="M40" s="10" t="s">
        <v>35</v>
      </c>
      <c r="N40" s="10" t="s">
        <v>36</v>
      </c>
      <c r="O40" s="10" t="s">
        <v>47</v>
      </c>
      <c r="P40" s="10" t="s">
        <v>159</v>
      </c>
      <c r="Q40" s="13"/>
      <c r="R40" s="13"/>
      <c r="S40" s="13"/>
      <c r="T40" s="13"/>
      <c r="U40" s="13"/>
      <c r="V40" s="13"/>
      <c r="W40" s="13"/>
      <c r="X40" s="13"/>
    </row>
    <row r="41" ht="14.25" customHeight="1">
      <c r="A41" s="10" t="s">
        <v>30</v>
      </c>
      <c r="B41" s="10" t="s">
        <v>31</v>
      </c>
      <c r="C41" s="10">
        <v>39.0</v>
      </c>
      <c r="D41" s="11" t="s">
        <v>160</v>
      </c>
      <c r="E41" s="11" t="s">
        <v>161</v>
      </c>
      <c r="F41" s="11" t="s">
        <v>116</v>
      </c>
      <c r="G41" s="10">
        <v>39.0</v>
      </c>
      <c r="H41" s="10">
        <f>VLOOKUP(F41,'Generos y Familia'!$A$1:$C$623,2,FALSE)</f>
        <v>14</v>
      </c>
      <c r="I41" s="12" t="str">
        <f t="shared" si="1"/>
        <v>Aiphanes horrida</v>
      </c>
      <c r="J41" s="10" t="str">
        <f t="shared" si="2"/>
        <v>39 Aiphanes horrida</v>
      </c>
      <c r="K41" s="10" t="str">
        <f t="shared" si="3"/>
        <v>Palma Corocito; Corozo Rojo; Chascaraiza; Mararay</v>
      </c>
      <c r="L41" s="10" t="str">
        <f t="shared" si="4"/>
        <v>39 Palma Corocito; Corozo Rojo; Chascaraiza; Mararay</v>
      </c>
      <c r="M41" s="10" t="s">
        <v>35</v>
      </c>
      <c r="N41" s="10" t="s">
        <v>36</v>
      </c>
      <c r="O41" s="10" t="s">
        <v>117</v>
      </c>
      <c r="P41" s="10" t="s">
        <v>162</v>
      </c>
      <c r="Q41" s="13">
        <v>18.0</v>
      </c>
      <c r="R41" s="13" t="s">
        <v>39</v>
      </c>
      <c r="S41" s="13">
        <v>10.0</v>
      </c>
      <c r="T41" s="13" t="s">
        <v>39</v>
      </c>
      <c r="U41" s="13" t="s">
        <v>40</v>
      </c>
      <c r="V41" s="13"/>
      <c r="W41" s="13"/>
      <c r="X41" s="13"/>
    </row>
    <row r="42" ht="14.25" customHeight="1">
      <c r="A42" s="10" t="s">
        <v>30</v>
      </c>
      <c r="B42" s="10" t="s">
        <v>31</v>
      </c>
      <c r="C42" s="10">
        <v>40.0</v>
      </c>
      <c r="D42" s="11" t="s">
        <v>163</v>
      </c>
      <c r="E42" s="11" t="s">
        <v>164</v>
      </c>
      <c r="F42" s="11" t="s">
        <v>116</v>
      </c>
      <c r="G42" s="10">
        <v>40.0</v>
      </c>
      <c r="H42" s="10">
        <f>VLOOKUP(F42,'Generos y Familia'!$A$1:$C$623,2,FALSE)</f>
        <v>14</v>
      </c>
      <c r="I42" s="12" t="str">
        <f t="shared" si="1"/>
        <v>Aiphanes simplex</v>
      </c>
      <c r="J42" s="10" t="str">
        <f t="shared" si="2"/>
        <v>40 Aiphanes simplex</v>
      </c>
      <c r="K42" s="10" t="str">
        <f t="shared" si="3"/>
        <v>Corozo; Perrero</v>
      </c>
      <c r="L42" s="10" t="str">
        <f t="shared" si="4"/>
        <v>40 Corozo; Perrero</v>
      </c>
      <c r="M42" s="10" t="s">
        <v>35</v>
      </c>
      <c r="N42" s="10" t="s">
        <v>36</v>
      </c>
      <c r="O42" s="10" t="s">
        <v>117</v>
      </c>
      <c r="P42" s="10" t="s">
        <v>162</v>
      </c>
      <c r="Q42" s="13">
        <v>4.0</v>
      </c>
      <c r="R42" s="13" t="s">
        <v>53</v>
      </c>
      <c r="S42" s="13"/>
      <c r="T42" s="13"/>
      <c r="U42" s="13" t="s">
        <v>165</v>
      </c>
      <c r="V42" s="13"/>
      <c r="W42" s="16"/>
      <c r="X42" s="13"/>
    </row>
    <row r="43" ht="14.25" customHeight="1">
      <c r="A43" s="10" t="s">
        <v>30</v>
      </c>
      <c r="B43" s="10" t="s">
        <v>31</v>
      </c>
      <c r="C43" s="10">
        <v>41.0</v>
      </c>
      <c r="D43" s="11" t="s">
        <v>166</v>
      </c>
      <c r="E43" s="11" t="s">
        <v>167</v>
      </c>
      <c r="F43" s="11" t="s">
        <v>34</v>
      </c>
      <c r="G43" s="10">
        <v>41.0</v>
      </c>
      <c r="H43" s="10">
        <f>VLOOKUP(F43,'Generos y Familia'!$A$1:$C$623,2,FALSE)</f>
        <v>27</v>
      </c>
      <c r="I43" s="12" t="str">
        <f t="shared" si="1"/>
        <v>Albizia carbonaria</v>
      </c>
      <c r="J43" s="10" t="str">
        <f t="shared" si="2"/>
        <v>41 Albizia carbonaria</v>
      </c>
      <c r="K43" s="10" t="str">
        <f t="shared" si="3"/>
        <v>Pisquín; Carbonero</v>
      </c>
      <c r="L43" s="10" t="str">
        <f t="shared" si="4"/>
        <v>41 Pisquín; Carbonero</v>
      </c>
      <c r="M43" s="10" t="s">
        <v>35</v>
      </c>
      <c r="N43" s="10" t="s">
        <v>36</v>
      </c>
      <c r="O43" s="10" t="s">
        <v>37</v>
      </c>
      <c r="P43" s="10" t="s">
        <v>168</v>
      </c>
      <c r="Q43" s="13">
        <v>25.0</v>
      </c>
      <c r="R43" s="13" t="s">
        <v>39</v>
      </c>
      <c r="S43" s="13">
        <v>60.0</v>
      </c>
      <c r="T43" s="13" t="s">
        <v>39</v>
      </c>
      <c r="U43" s="13" t="s">
        <v>55</v>
      </c>
      <c r="V43" s="13"/>
      <c r="W43" s="16"/>
      <c r="X43" s="13"/>
    </row>
    <row r="44" ht="14.25" customHeight="1">
      <c r="A44" s="10" t="s">
        <v>30</v>
      </c>
      <c r="B44" s="10" t="s">
        <v>63</v>
      </c>
      <c r="C44" s="10">
        <v>42.0</v>
      </c>
      <c r="D44" s="11" t="s">
        <v>169</v>
      </c>
      <c r="E44" s="11" t="s">
        <v>170</v>
      </c>
      <c r="F44" s="11" t="s">
        <v>34</v>
      </c>
      <c r="G44" s="10">
        <v>42.0</v>
      </c>
      <c r="H44" s="10">
        <f>VLOOKUP(F44,'Generos y Familia'!$A$1:$C$623,2,FALSE)</f>
        <v>27</v>
      </c>
      <c r="I44" s="12" t="str">
        <f t="shared" si="1"/>
        <v>Albizia guachapele</v>
      </c>
      <c r="J44" s="10" t="str">
        <f t="shared" si="2"/>
        <v>42 Albizia guachapele</v>
      </c>
      <c r="K44" s="10" t="str">
        <f t="shared" si="3"/>
        <v>Igua</v>
      </c>
      <c r="L44" s="10" t="str">
        <f t="shared" si="4"/>
        <v>42 Igua</v>
      </c>
      <c r="M44" s="10" t="s">
        <v>35</v>
      </c>
      <c r="N44" s="10" t="s">
        <v>36</v>
      </c>
      <c r="O44" s="10" t="s">
        <v>37</v>
      </c>
      <c r="P44" s="10" t="s">
        <v>168</v>
      </c>
      <c r="Q44" s="13">
        <v>25.0</v>
      </c>
      <c r="R44" s="13" t="s">
        <v>39</v>
      </c>
      <c r="S44" s="13">
        <v>70.0</v>
      </c>
      <c r="T44" s="13" t="s">
        <v>39</v>
      </c>
      <c r="U44" s="13" t="s">
        <v>40</v>
      </c>
      <c r="V44" s="13">
        <v>0.56</v>
      </c>
      <c r="W44" s="13"/>
      <c r="X44" s="13"/>
    </row>
    <row r="45" ht="14.25" customHeight="1">
      <c r="A45" s="10" t="s">
        <v>30</v>
      </c>
      <c r="B45" s="10" t="s">
        <v>31</v>
      </c>
      <c r="C45" s="10">
        <v>43.0</v>
      </c>
      <c r="D45" s="11" t="s">
        <v>171</v>
      </c>
      <c r="E45" s="11" t="s">
        <v>172</v>
      </c>
      <c r="F45" s="11" t="s">
        <v>34</v>
      </c>
      <c r="G45" s="10">
        <v>43.0</v>
      </c>
      <c r="H45" s="10">
        <f>VLOOKUP(F45,'Generos y Familia'!$A$1:$C$623,2,FALSE)</f>
        <v>27</v>
      </c>
      <c r="I45" s="12" t="str">
        <f t="shared" si="1"/>
        <v>Albizia julibrissin</v>
      </c>
      <c r="J45" s="10" t="str">
        <f t="shared" si="2"/>
        <v>43 Albizia julibrissin</v>
      </c>
      <c r="K45" s="10" t="str">
        <f t="shared" si="3"/>
        <v>Acacia de Constantinopla</v>
      </c>
      <c r="L45" s="10" t="str">
        <f t="shared" si="4"/>
        <v>43 Acacia de Constantinopla</v>
      </c>
      <c r="M45" s="10" t="s">
        <v>46</v>
      </c>
      <c r="N45" s="10" t="s">
        <v>36</v>
      </c>
      <c r="O45" s="10" t="s">
        <v>37</v>
      </c>
      <c r="P45" s="10" t="s">
        <v>168</v>
      </c>
      <c r="Q45" s="13">
        <v>6.0</v>
      </c>
      <c r="R45" s="13" t="s">
        <v>53</v>
      </c>
      <c r="S45" s="13"/>
      <c r="T45" s="13"/>
      <c r="U45" s="13" t="s">
        <v>55</v>
      </c>
      <c r="V45" s="13"/>
      <c r="W45" s="13"/>
      <c r="X45" s="13"/>
    </row>
    <row r="46" ht="14.25" customHeight="1">
      <c r="A46" s="10" t="s">
        <v>30</v>
      </c>
      <c r="B46" s="10" t="s">
        <v>31</v>
      </c>
      <c r="C46" s="10">
        <v>44.0</v>
      </c>
      <c r="D46" s="11" t="s">
        <v>173</v>
      </c>
      <c r="E46" s="11" t="s">
        <v>174</v>
      </c>
      <c r="F46" s="11" t="s">
        <v>34</v>
      </c>
      <c r="G46" s="10">
        <v>44.0</v>
      </c>
      <c r="H46" s="10">
        <f>VLOOKUP(F46,'Generos y Familia'!$A$1:$C$623,2,FALSE)</f>
        <v>27</v>
      </c>
      <c r="I46" s="12" t="str">
        <f t="shared" si="1"/>
        <v>Albizia lebbeck</v>
      </c>
      <c r="J46" s="10" t="str">
        <f t="shared" si="2"/>
        <v>44 Albizia lebbeck</v>
      </c>
      <c r="K46" s="10" t="str">
        <f t="shared" si="3"/>
        <v>Carbonero Dormilón; Bayeto</v>
      </c>
      <c r="L46" s="10" t="str">
        <f t="shared" si="4"/>
        <v>44 Carbonero Dormilón; Bayeto</v>
      </c>
      <c r="M46" s="10" t="s">
        <v>46</v>
      </c>
      <c r="N46" s="10" t="s">
        <v>36</v>
      </c>
      <c r="O46" s="10" t="s">
        <v>37</v>
      </c>
      <c r="P46" s="10" t="s">
        <v>168</v>
      </c>
      <c r="Q46" s="13">
        <v>30.0</v>
      </c>
      <c r="R46" s="13" t="s">
        <v>53</v>
      </c>
      <c r="S46" s="13"/>
      <c r="T46" s="13"/>
      <c r="U46" s="13" t="s">
        <v>55</v>
      </c>
      <c r="V46" s="13"/>
      <c r="W46" s="16"/>
      <c r="X46" s="13"/>
    </row>
    <row r="47" ht="14.25" customHeight="1">
      <c r="A47" s="10" t="s">
        <v>30</v>
      </c>
      <c r="B47" s="10" t="s">
        <v>31</v>
      </c>
      <c r="C47" s="10">
        <v>45.0</v>
      </c>
      <c r="D47" s="11" t="s">
        <v>175</v>
      </c>
      <c r="E47" s="11" t="s">
        <v>176</v>
      </c>
      <c r="F47" s="11" t="s">
        <v>34</v>
      </c>
      <c r="G47" s="10">
        <v>45.0</v>
      </c>
      <c r="H47" s="10">
        <f>VLOOKUP(F47,'Generos y Familia'!$A$1:$C$623,2,FALSE)</f>
        <v>27</v>
      </c>
      <c r="I47" s="12" t="str">
        <f t="shared" si="1"/>
        <v>Albizia niopoides</v>
      </c>
      <c r="J47" s="10" t="str">
        <f t="shared" si="2"/>
        <v>45 Albizia niopoides</v>
      </c>
      <c r="K47" s="10" t="str">
        <f t="shared" si="3"/>
        <v>Pisquin; Guacamayo</v>
      </c>
      <c r="L47" s="10" t="str">
        <f t="shared" si="4"/>
        <v>45 Pisquin; Guacamayo</v>
      </c>
      <c r="M47" s="10" t="s">
        <v>35</v>
      </c>
      <c r="N47" s="10" t="s">
        <v>36</v>
      </c>
      <c r="O47" s="10" t="s">
        <v>37</v>
      </c>
      <c r="P47" s="10" t="s">
        <v>168</v>
      </c>
      <c r="Q47" s="13">
        <v>25.0</v>
      </c>
      <c r="R47" s="13" t="s">
        <v>53</v>
      </c>
      <c r="S47" s="13"/>
      <c r="T47" s="13"/>
      <c r="U47" s="13" t="s">
        <v>55</v>
      </c>
      <c r="V47" s="13"/>
      <c r="W47" s="16"/>
      <c r="X47" s="13"/>
    </row>
    <row r="48" ht="14.25" customHeight="1">
      <c r="A48" s="10" t="s">
        <v>30</v>
      </c>
      <c r="B48" s="10" t="s">
        <v>31</v>
      </c>
      <c r="C48" s="10">
        <v>46.0</v>
      </c>
      <c r="D48" s="11" t="s">
        <v>177</v>
      </c>
      <c r="E48" s="11" t="s">
        <v>178</v>
      </c>
      <c r="F48" s="11" t="s">
        <v>34</v>
      </c>
      <c r="G48" s="10">
        <v>46.0</v>
      </c>
      <c r="H48" s="10">
        <f>VLOOKUP(F48,'Generos y Familia'!$A$1:$C$623,2,FALSE)</f>
        <v>27</v>
      </c>
      <c r="I48" s="12" t="str">
        <f t="shared" si="1"/>
        <v>Albizia saman</v>
      </c>
      <c r="J48" s="10" t="str">
        <f t="shared" si="2"/>
        <v>46 Albizia saman</v>
      </c>
      <c r="K48" s="10" t="str">
        <f t="shared" si="3"/>
        <v>Saman</v>
      </c>
      <c r="L48" s="10" t="str">
        <f t="shared" si="4"/>
        <v>46 Saman</v>
      </c>
      <c r="M48" s="10" t="s">
        <v>35</v>
      </c>
      <c r="N48" s="10" t="s">
        <v>36</v>
      </c>
      <c r="O48" s="10" t="s">
        <v>37</v>
      </c>
      <c r="P48" s="10" t="s">
        <v>168</v>
      </c>
      <c r="Q48" s="13">
        <v>20.0</v>
      </c>
      <c r="R48" s="13" t="s">
        <v>39</v>
      </c>
      <c r="S48" s="13">
        <v>100.0</v>
      </c>
      <c r="T48" s="13" t="s">
        <v>39</v>
      </c>
      <c r="U48" s="13" t="s">
        <v>40</v>
      </c>
      <c r="V48" s="13">
        <v>0.49</v>
      </c>
      <c r="W48" s="16"/>
      <c r="X48" s="13"/>
    </row>
    <row r="49" ht="14.25" customHeight="1">
      <c r="A49" s="10" t="s">
        <v>30</v>
      </c>
      <c r="B49" s="10" t="s">
        <v>31</v>
      </c>
      <c r="C49" s="10">
        <v>47.0</v>
      </c>
      <c r="D49" s="11" t="s">
        <v>179</v>
      </c>
      <c r="E49" s="11" t="s">
        <v>168</v>
      </c>
      <c r="F49" s="11" t="s">
        <v>34</v>
      </c>
      <c r="G49" s="10">
        <v>47.0</v>
      </c>
      <c r="H49" s="10">
        <f>VLOOKUP(F49,'Generos y Familia'!$A$1:$C$623,2,FALSE)</f>
        <v>27</v>
      </c>
      <c r="I49" s="12" t="str">
        <f t="shared" si="1"/>
        <v>Albizia sp</v>
      </c>
      <c r="J49" s="10" t="str">
        <f t="shared" si="2"/>
        <v>47 Albizia sp</v>
      </c>
      <c r="K49" s="10" t="str">
        <f t="shared" si="3"/>
        <v>Albizia</v>
      </c>
      <c r="L49" s="10" t="str">
        <f t="shared" si="4"/>
        <v>47 Albizia</v>
      </c>
      <c r="M49" s="10" t="s">
        <v>35</v>
      </c>
      <c r="N49" s="10" t="s">
        <v>36</v>
      </c>
      <c r="O49" s="10" t="s">
        <v>37</v>
      </c>
      <c r="P49" s="10" t="s">
        <v>168</v>
      </c>
      <c r="Q49" s="17" t="s">
        <v>180</v>
      </c>
      <c r="R49" s="14" t="s">
        <v>53</v>
      </c>
      <c r="S49" s="17">
        <v>100.0</v>
      </c>
      <c r="T49" s="14" t="s">
        <v>39</v>
      </c>
      <c r="U49" s="14" t="s">
        <v>55</v>
      </c>
      <c r="V49" s="14">
        <v>0.49</v>
      </c>
      <c r="W49" s="18" t="s">
        <v>67</v>
      </c>
      <c r="X49" s="14"/>
    </row>
    <row r="50" ht="14.25" customHeight="1">
      <c r="A50" s="10" t="s">
        <v>30</v>
      </c>
      <c r="B50" s="10" t="s">
        <v>31</v>
      </c>
      <c r="C50" s="10">
        <v>48.0</v>
      </c>
      <c r="D50" s="11" t="s">
        <v>181</v>
      </c>
      <c r="E50" s="11" t="s">
        <v>182</v>
      </c>
      <c r="F50" s="11" t="s">
        <v>82</v>
      </c>
      <c r="G50" s="10">
        <v>48.0</v>
      </c>
      <c r="H50" s="10">
        <f>VLOOKUP(F50,'Generos y Familia'!$A$1:$C$623,2,FALSE)</f>
        <v>26</v>
      </c>
      <c r="I50" s="12" t="str">
        <f t="shared" si="1"/>
        <v>Alchornea costaricensis</v>
      </c>
      <c r="J50" s="10" t="str">
        <f t="shared" si="2"/>
        <v>48 Alchornea costaricensis</v>
      </c>
      <c r="K50" s="10" t="str">
        <f t="shared" si="3"/>
        <v>Cafesito</v>
      </c>
      <c r="L50" s="10" t="str">
        <f t="shared" si="4"/>
        <v>48 Cafesito</v>
      </c>
      <c r="M50" s="10" t="s">
        <v>35</v>
      </c>
      <c r="N50" s="10" t="s">
        <v>36</v>
      </c>
      <c r="O50" s="10" t="s">
        <v>37</v>
      </c>
      <c r="P50" s="10" t="s">
        <v>183</v>
      </c>
      <c r="Q50" s="13">
        <v>15.0</v>
      </c>
      <c r="R50" s="13" t="s">
        <v>53</v>
      </c>
      <c r="S50" s="13"/>
      <c r="T50" s="13"/>
      <c r="U50" s="13" t="s">
        <v>40</v>
      </c>
      <c r="V50" s="13"/>
      <c r="W50" s="16"/>
      <c r="X50" s="13"/>
    </row>
    <row r="51" ht="14.25" customHeight="1">
      <c r="A51" s="10" t="s">
        <v>30</v>
      </c>
      <c r="B51" s="10" t="s">
        <v>31</v>
      </c>
      <c r="C51" s="10">
        <v>49.0</v>
      </c>
      <c r="D51" s="11" t="s">
        <v>184</v>
      </c>
      <c r="E51" s="11" t="s">
        <v>185</v>
      </c>
      <c r="F51" s="11" t="s">
        <v>82</v>
      </c>
      <c r="G51" s="10">
        <v>49.0</v>
      </c>
      <c r="H51" s="10">
        <f>VLOOKUP(F51,'Generos y Familia'!$A$1:$C$623,2,FALSE)</f>
        <v>26</v>
      </c>
      <c r="I51" s="12" t="str">
        <f t="shared" si="1"/>
        <v>Alchornea glandulosa</v>
      </c>
      <c r="J51" s="10" t="str">
        <f t="shared" si="2"/>
        <v>49 Alchornea glandulosa</v>
      </c>
      <c r="K51" s="10" t="str">
        <f t="shared" si="3"/>
        <v>Tostado</v>
      </c>
      <c r="L51" s="10" t="str">
        <f t="shared" si="4"/>
        <v>49 Tostado</v>
      </c>
      <c r="M51" s="10" t="s">
        <v>35</v>
      </c>
      <c r="N51" s="10" t="s">
        <v>36</v>
      </c>
      <c r="O51" s="10" t="s">
        <v>37</v>
      </c>
      <c r="P51" s="10" t="s">
        <v>183</v>
      </c>
      <c r="Q51" s="13">
        <v>25.0</v>
      </c>
      <c r="R51" s="13" t="s">
        <v>53</v>
      </c>
      <c r="S51" s="13"/>
      <c r="T51" s="13"/>
      <c r="U51" s="13" t="s">
        <v>40</v>
      </c>
      <c r="V51" s="13"/>
      <c r="W51" s="16"/>
      <c r="X51" s="13"/>
    </row>
    <row r="52" ht="14.25" customHeight="1">
      <c r="A52" s="10" t="s">
        <v>30</v>
      </c>
      <c r="B52" s="10" t="s">
        <v>31</v>
      </c>
      <c r="C52" s="10">
        <v>50.0</v>
      </c>
      <c r="D52" s="11" t="s">
        <v>186</v>
      </c>
      <c r="E52" s="11" t="s">
        <v>187</v>
      </c>
      <c r="F52" s="11" t="s">
        <v>82</v>
      </c>
      <c r="G52" s="10">
        <v>50.0</v>
      </c>
      <c r="H52" s="10">
        <f>VLOOKUP(F52,'Generos y Familia'!$A$1:$C$623,2,FALSE)</f>
        <v>26</v>
      </c>
      <c r="I52" s="12" t="str">
        <f t="shared" si="1"/>
        <v>Alchornea grandiflora</v>
      </c>
      <c r="J52" s="10" t="str">
        <f t="shared" si="2"/>
        <v>50 Alchornea grandiflora</v>
      </c>
      <c r="K52" s="10" t="str">
        <f t="shared" si="3"/>
        <v>Escobo</v>
      </c>
      <c r="L52" s="10" t="str">
        <f t="shared" si="4"/>
        <v>50 Escobo</v>
      </c>
      <c r="M52" s="10" t="s">
        <v>35</v>
      </c>
      <c r="N52" s="10" t="s">
        <v>36</v>
      </c>
      <c r="O52" s="10" t="s">
        <v>37</v>
      </c>
      <c r="P52" s="10" t="s">
        <v>183</v>
      </c>
      <c r="Q52" s="13"/>
      <c r="R52" s="13"/>
      <c r="S52" s="13"/>
      <c r="T52" s="13"/>
      <c r="U52" s="13"/>
      <c r="V52" s="13"/>
      <c r="W52" s="13"/>
      <c r="X52" s="13"/>
    </row>
    <row r="53" ht="14.25" customHeight="1">
      <c r="A53" s="10" t="s">
        <v>30</v>
      </c>
      <c r="B53" s="10" t="s">
        <v>31</v>
      </c>
      <c r="C53" s="10">
        <v>51.0</v>
      </c>
      <c r="D53" s="11" t="s">
        <v>188</v>
      </c>
      <c r="E53" s="11" t="s">
        <v>189</v>
      </c>
      <c r="F53" s="11" t="s">
        <v>82</v>
      </c>
      <c r="G53" s="10">
        <v>51.0</v>
      </c>
      <c r="H53" s="10">
        <f>VLOOKUP(F53,'Generos y Familia'!$A$1:$C$623,2,FALSE)</f>
        <v>26</v>
      </c>
      <c r="I53" s="12" t="str">
        <f t="shared" si="1"/>
        <v>Alchornea latifolia</v>
      </c>
      <c r="J53" s="10" t="str">
        <f t="shared" si="2"/>
        <v>51 Alchornea latifolia</v>
      </c>
      <c r="K53" s="10" t="str">
        <f t="shared" si="3"/>
        <v>Escobo; Carcomo; Mazamorro</v>
      </c>
      <c r="L53" s="10" t="str">
        <f t="shared" si="4"/>
        <v>51 Escobo; Carcomo; Mazamorro</v>
      </c>
      <c r="M53" s="10" t="s">
        <v>46</v>
      </c>
      <c r="N53" s="10" t="s">
        <v>36</v>
      </c>
      <c r="O53" s="10" t="s">
        <v>37</v>
      </c>
      <c r="P53" s="10" t="s">
        <v>183</v>
      </c>
      <c r="Q53" s="17">
        <v>16.0</v>
      </c>
      <c r="R53" s="14" t="s">
        <v>53</v>
      </c>
      <c r="S53" s="17">
        <v>100.0</v>
      </c>
      <c r="T53" s="14" t="s">
        <v>39</v>
      </c>
      <c r="U53" s="14" t="s">
        <v>73</v>
      </c>
      <c r="V53" s="14">
        <v>0.47</v>
      </c>
      <c r="W53" s="17"/>
      <c r="X53" s="14" t="s">
        <v>190</v>
      </c>
    </row>
    <row r="54" ht="18.0" customHeight="1">
      <c r="A54" s="10" t="s">
        <v>30</v>
      </c>
      <c r="B54" s="10" t="s">
        <v>31</v>
      </c>
      <c r="C54" s="10">
        <v>52.0</v>
      </c>
      <c r="D54" s="11" t="s">
        <v>191</v>
      </c>
      <c r="E54" s="11" t="s">
        <v>192</v>
      </c>
      <c r="F54" s="11" t="s">
        <v>82</v>
      </c>
      <c r="G54" s="10">
        <v>52.0</v>
      </c>
      <c r="H54" s="10">
        <f>VLOOKUP(F54,'Generos y Familia'!$A$1:$C$623,2,FALSE)</f>
        <v>26</v>
      </c>
      <c r="I54" s="12" t="str">
        <f t="shared" si="1"/>
        <v>Alchornea sp</v>
      </c>
      <c r="J54" s="10" t="str">
        <f t="shared" si="2"/>
        <v>52 Alchornea sp</v>
      </c>
      <c r="K54" s="10" t="str">
        <f t="shared" si="3"/>
        <v>Escobo; Quiebrapatas</v>
      </c>
      <c r="L54" s="10" t="str">
        <f t="shared" si="4"/>
        <v>52 Escobo; Quiebrapatas</v>
      </c>
      <c r="M54" s="10" t="s">
        <v>46</v>
      </c>
      <c r="N54" s="10" t="s">
        <v>36</v>
      </c>
      <c r="O54" s="10" t="s">
        <v>37</v>
      </c>
      <c r="P54" s="10" t="s">
        <v>183</v>
      </c>
      <c r="Q54" s="17">
        <v>30.0</v>
      </c>
      <c r="R54" s="14" t="s">
        <v>39</v>
      </c>
      <c r="S54" s="17">
        <v>100.0</v>
      </c>
      <c r="T54" s="14" t="s">
        <v>39</v>
      </c>
      <c r="U54" s="14" t="s">
        <v>55</v>
      </c>
      <c r="V54" s="14">
        <v>0.47</v>
      </c>
      <c r="W54" s="17"/>
      <c r="X54" s="14" t="s">
        <v>190</v>
      </c>
    </row>
    <row r="55" ht="14.25" customHeight="1">
      <c r="A55" s="10" t="s">
        <v>30</v>
      </c>
      <c r="B55" s="10" t="s">
        <v>31</v>
      </c>
      <c r="C55" s="10">
        <v>53.0</v>
      </c>
      <c r="D55" s="11" t="s">
        <v>193</v>
      </c>
      <c r="E55" s="11" t="s">
        <v>194</v>
      </c>
      <c r="F55" s="11" t="s">
        <v>82</v>
      </c>
      <c r="G55" s="10">
        <v>53.0</v>
      </c>
      <c r="H55" s="10">
        <f>VLOOKUP(F55,'Generos y Familia'!$A$1:$C$623,2,FALSE)</f>
        <v>26</v>
      </c>
      <c r="I55" s="12" t="str">
        <f t="shared" si="1"/>
        <v>Alchornea triplinervia</v>
      </c>
      <c r="J55" s="10" t="str">
        <f t="shared" si="2"/>
        <v>53 Alchornea triplinervia</v>
      </c>
      <c r="K55" s="10" t="str">
        <f t="shared" si="3"/>
        <v>Reventillo; Algodoncillo; Carcomo</v>
      </c>
      <c r="L55" s="10" t="str">
        <f t="shared" si="4"/>
        <v>53 Reventillo; Algodoncillo; Carcomo</v>
      </c>
      <c r="M55" s="10" t="s">
        <v>35</v>
      </c>
      <c r="N55" s="10" t="s">
        <v>36</v>
      </c>
      <c r="O55" s="10" t="s">
        <v>37</v>
      </c>
      <c r="P55" s="10" t="s">
        <v>183</v>
      </c>
      <c r="Q55" s="13">
        <v>30.0</v>
      </c>
      <c r="R55" s="13" t="s">
        <v>39</v>
      </c>
      <c r="S55" s="13">
        <v>100.0</v>
      </c>
      <c r="T55" s="13" t="s">
        <v>39</v>
      </c>
      <c r="U55" s="13" t="s">
        <v>55</v>
      </c>
      <c r="V55" s="13">
        <v>0.47</v>
      </c>
      <c r="W55" s="13"/>
      <c r="X55" s="13"/>
    </row>
    <row r="56" ht="14.25" customHeight="1">
      <c r="A56" s="10" t="s">
        <v>30</v>
      </c>
      <c r="B56" s="10" t="s">
        <v>31</v>
      </c>
      <c r="C56" s="10">
        <v>54.0</v>
      </c>
      <c r="D56" s="11" t="s">
        <v>195</v>
      </c>
      <c r="E56" s="11" t="s">
        <v>196</v>
      </c>
      <c r="F56" s="11" t="s">
        <v>82</v>
      </c>
      <c r="G56" s="10">
        <v>54.0</v>
      </c>
      <c r="H56" s="10">
        <f>VLOOKUP(F56,'Generos y Familia'!$A$1:$C$623,2,FALSE)</f>
        <v>26</v>
      </c>
      <c r="I56" s="12" t="str">
        <f t="shared" si="1"/>
        <v>Alchornea verticillata</v>
      </c>
      <c r="J56" s="10" t="str">
        <f t="shared" si="2"/>
        <v>54 Alchornea verticillata</v>
      </c>
      <c r="K56" s="10" t="str">
        <f t="shared" si="3"/>
        <v>Escobo (A otra sp de genero)</v>
      </c>
      <c r="L56" s="10" t="str">
        <f t="shared" si="4"/>
        <v>54 Escobo (A otra sp de genero)</v>
      </c>
      <c r="M56" s="10" t="s">
        <v>35</v>
      </c>
      <c r="N56" s="10" t="s">
        <v>36</v>
      </c>
      <c r="O56" s="10" t="s">
        <v>37</v>
      </c>
      <c r="P56" s="10" t="s">
        <v>183</v>
      </c>
      <c r="Q56" s="17">
        <v>30.0</v>
      </c>
      <c r="R56" s="14" t="s">
        <v>39</v>
      </c>
      <c r="S56" s="17">
        <v>100.0</v>
      </c>
      <c r="T56" s="14" t="s">
        <v>39</v>
      </c>
      <c r="U56" s="14" t="s">
        <v>55</v>
      </c>
      <c r="V56" s="14" t="s">
        <v>197</v>
      </c>
      <c r="W56" s="17"/>
      <c r="X56" s="14" t="s">
        <v>190</v>
      </c>
    </row>
    <row r="57" ht="14.25" customHeight="1">
      <c r="A57" s="10" t="s">
        <v>30</v>
      </c>
      <c r="B57" s="10" t="s">
        <v>31</v>
      </c>
      <c r="C57" s="10">
        <v>55.0</v>
      </c>
      <c r="D57" s="11" t="s">
        <v>198</v>
      </c>
      <c r="E57" s="11" t="s">
        <v>199</v>
      </c>
      <c r="F57" s="11" t="s">
        <v>82</v>
      </c>
      <c r="G57" s="10">
        <v>55.0</v>
      </c>
      <c r="H57" s="10">
        <f>VLOOKUP(F57,'Generos y Familia'!$A$1:$C$623,2,FALSE)</f>
        <v>26</v>
      </c>
      <c r="I57" s="12" t="str">
        <f t="shared" si="1"/>
        <v>Aleurites fordii</v>
      </c>
      <c r="J57" s="10" t="str">
        <f t="shared" si="2"/>
        <v>55 Aleurites fordii</v>
      </c>
      <c r="K57" s="10" t="str">
        <f t="shared" si="3"/>
        <v>Tung Asiatico</v>
      </c>
      <c r="L57" s="10" t="str">
        <f t="shared" si="4"/>
        <v>55 Tung Asiatico</v>
      </c>
      <c r="M57" s="10" t="s">
        <v>46</v>
      </c>
      <c r="N57" s="10" t="s">
        <v>36</v>
      </c>
      <c r="O57" s="10" t="s">
        <v>37</v>
      </c>
      <c r="P57" s="10" t="s">
        <v>200</v>
      </c>
      <c r="Q57" s="13"/>
      <c r="R57" s="13"/>
      <c r="S57" s="13"/>
      <c r="T57" s="13"/>
      <c r="U57" s="13"/>
      <c r="V57" s="13"/>
      <c r="W57" s="13"/>
      <c r="X57" s="13"/>
    </row>
    <row r="58" ht="14.25" customHeight="1">
      <c r="A58" s="10" t="s">
        <v>30</v>
      </c>
      <c r="B58" s="10" t="s">
        <v>31</v>
      </c>
      <c r="C58" s="10">
        <v>56.0</v>
      </c>
      <c r="D58" s="11" t="s">
        <v>201</v>
      </c>
      <c r="E58" s="11" t="s">
        <v>202</v>
      </c>
      <c r="F58" s="11" t="s">
        <v>203</v>
      </c>
      <c r="G58" s="10">
        <v>56.0</v>
      </c>
      <c r="H58" s="10">
        <f>VLOOKUP(F58,'Generos y Familia'!$A$1:$C$623,2,FALSE)</f>
        <v>32</v>
      </c>
      <c r="I58" s="12" t="str">
        <f t="shared" si="1"/>
        <v>Alfaroa colombiana</v>
      </c>
      <c r="J58" s="10" t="str">
        <f t="shared" si="2"/>
        <v>56 Alfaroa colombiana</v>
      </c>
      <c r="K58" s="10" t="str">
        <f t="shared" si="3"/>
        <v>Alfaroa</v>
      </c>
      <c r="L58" s="10" t="str">
        <f t="shared" si="4"/>
        <v>56 Alfaroa</v>
      </c>
      <c r="M58" s="10" t="s">
        <v>35</v>
      </c>
      <c r="N58" s="10" t="s">
        <v>36</v>
      </c>
      <c r="O58" s="10" t="s">
        <v>47</v>
      </c>
      <c r="P58" s="10" t="s">
        <v>202</v>
      </c>
      <c r="Q58" s="13"/>
      <c r="R58" s="13"/>
      <c r="S58" s="13"/>
      <c r="T58" s="13"/>
      <c r="U58" s="13"/>
      <c r="V58" s="13"/>
      <c r="W58" s="16"/>
      <c r="X58" s="13"/>
    </row>
    <row r="59" ht="14.25" customHeight="1">
      <c r="A59" s="10" t="s">
        <v>30</v>
      </c>
      <c r="B59" s="10" t="s">
        <v>31</v>
      </c>
      <c r="C59" s="10">
        <v>57.0</v>
      </c>
      <c r="D59" s="11" t="s">
        <v>204</v>
      </c>
      <c r="E59" s="11" t="s">
        <v>205</v>
      </c>
      <c r="F59" s="11" t="s">
        <v>206</v>
      </c>
      <c r="G59" s="10">
        <v>57.0</v>
      </c>
      <c r="H59" s="10">
        <f>VLOOKUP(F59,'Generos y Familia'!$A$1:$C$623,2,FALSE)</f>
        <v>9</v>
      </c>
      <c r="I59" s="12" t="str">
        <f t="shared" si="1"/>
        <v>Allamanda blanchetii</v>
      </c>
      <c r="J59" s="10" t="str">
        <f t="shared" si="2"/>
        <v>57 Allamanda blanchetii</v>
      </c>
      <c r="K59" s="10" t="str">
        <f t="shared" si="3"/>
        <v>Trompeta; Jalapa Morada</v>
      </c>
      <c r="L59" s="10" t="str">
        <f t="shared" si="4"/>
        <v>57 Trompeta; Jalapa Morada</v>
      </c>
      <c r="M59" s="10" t="s">
        <v>35</v>
      </c>
      <c r="N59" s="10" t="s">
        <v>36</v>
      </c>
      <c r="O59" s="10" t="s">
        <v>47</v>
      </c>
      <c r="P59" s="10" t="s">
        <v>207</v>
      </c>
      <c r="Q59" s="17">
        <v>3.0</v>
      </c>
      <c r="R59" s="14" t="s">
        <v>53</v>
      </c>
      <c r="S59" s="17" t="s">
        <v>145</v>
      </c>
      <c r="T59" s="14"/>
      <c r="U59" s="14" t="s">
        <v>55</v>
      </c>
      <c r="V59" s="14"/>
      <c r="W59" s="18"/>
      <c r="X59" s="14" t="s">
        <v>41</v>
      </c>
    </row>
    <row r="60" ht="14.25" customHeight="1">
      <c r="A60" s="10" t="s">
        <v>30</v>
      </c>
      <c r="B60" s="10" t="s">
        <v>31</v>
      </c>
      <c r="C60" s="10">
        <v>58.0</v>
      </c>
      <c r="D60" s="11" t="s">
        <v>208</v>
      </c>
      <c r="E60" s="11" t="s">
        <v>209</v>
      </c>
      <c r="F60" s="11" t="s">
        <v>206</v>
      </c>
      <c r="G60" s="10">
        <v>58.0</v>
      </c>
      <c r="H60" s="10">
        <f>VLOOKUP(F60,'Generos y Familia'!$A$1:$C$623,2,FALSE)</f>
        <v>9</v>
      </c>
      <c r="I60" s="12" t="str">
        <f t="shared" si="1"/>
        <v>Allamanda cathartica</v>
      </c>
      <c r="J60" s="10" t="str">
        <f t="shared" si="2"/>
        <v>58 Allamanda cathartica</v>
      </c>
      <c r="K60" s="10" t="str">
        <f t="shared" si="3"/>
        <v>Copa de Oro</v>
      </c>
      <c r="L60" s="10" t="str">
        <f t="shared" si="4"/>
        <v>58 Copa de Oro</v>
      </c>
      <c r="M60" s="10" t="s">
        <v>35</v>
      </c>
      <c r="N60" s="10" t="s">
        <v>36</v>
      </c>
      <c r="O60" s="10" t="s">
        <v>47</v>
      </c>
      <c r="P60" s="10" t="s">
        <v>207</v>
      </c>
      <c r="Q60" s="17">
        <v>3.0</v>
      </c>
      <c r="R60" s="14" t="s">
        <v>53</v>
      </c>
      <c r="S60" s="17" t="s">
        <v>54</v>
      </c>
      <c r="T60" s="14"/>
      <c r="U60" s="14" t="s">
        <v>55</v>
      </c>
      <c r="V60" s="14"/>
      <c r="W60" s="17"/>
      <c r="X60" s="14" t="s">
        <v>41</v>
      </c>
    </row>
    <row r="61" ht="14.25" customHeight="1">
      <c r="A61" s="10" t="s">
        <v>30</v>
      </c>
      <c r="B61" s="10" t="s">
        <v>31</v>
      </c>
      <c r="C61" s="10">
        <v>59.0</v>
      </c>
      <c r="D61" s="11" t="s">
        <v>210</v>
      </c>
      <c r="E61" s="11" t="s">
        <v>211</v>
      </c>
      <c r="F61" s="11" t="s">
        <v>206</v>
      </c>
      <c r="G61" s="10">
        <v>59.0</v>
      </c>
      <c r="H61" s="10">
        <f>VLOOKUP(F61,'Generos y Familia'!$A$1:$C$623,2,FALSE)</f>
        <v>9</v>
      </c>
      <c r="I61" s="12" t="str">
        <f t="shared" si="1"/>
        <v>Allamanda schottii</v>
      </c>
      <c r="J61" s="10" t="str">
        <f t="shared" si="2"/>
        <v>59 Allamanda schottii</v>
      </c>
      <c r="K61" s="10" t="str">
        <f t="shared" si="3"/>
        <v>Flor de Mantequilla</v>
      </c>
      <c r="L61" s="10" t="str">
        <f t="shared" si="4"/>
        <v>59 Flor de Mantequilla</v>
      </c>
      <c r="M61" s="10" t="s">
        <v>46</v>
      </c>
      <c r="N61" s="10" t="s">
        <v>36</v>
      </c>
      <c r="O61" s="10" t="s">
        <v>47</v>
      </c>
      <c r="P61" s="10" t="s">
        <v>207</v>
      </c>
      <c r="Q61" s="13"/>
      <c r="R61" s="13"/>
      <c r="S61" s="13"/>
      <c r="T61" s="13"/>
      <c r="U61" s="13"/>
      <c r="V61" s="13"/>
      <c r="W61" s="13"/>
      <c r="X61" s="13"/>
    </row>
    <row r="62" ht="14.25" customHeight="1">
      <c r="A62" s="10" t="s">
        <v>30</v>
      </c>
      <c r="B62" s="10" t="s">
        <v>31</v>
      </c>
      <c r="C62" s="10">
        <v>60.0</v>
      </c>
      <c r="D62" s="11" t="s">
        <v>212</v>
      </c>
      <c r="E62" s="11" t="s">
        <v>213</v>
      </c>
      <c r="F62" s="11" t="s">
        <v>214</v>
      </c>
      <c r="G62" s="10">
        <v>60.0</v>
      </c>
      <c r="H62" s="10">
        <f>VLOOKUP(F62,'Generos y Familia'!$A$1:$C$623,2,FALSE)</f>
        <v>84</v>
      </c>
      <c r="I62" s="12" t="str">
        <f t="shared" si="1"/>
        <v>Allophylus sp</v>
      </c>
      <c r="J62" s="10" t="str">
        <f t="shared" si="2"/>
        <v>60 Allophylus sp</v>
      </c>
      <c r="K62" s="10" t="str">
        <f t="shared" si="3"/>
        <v>Cedrillo</v>
      </c>
      <c r="L62" s="10" t="str">
        <f t="shared" si="4"/>
        <v>60 Cedrillo</v>
      </c>
      <c r="M62" s="10" t="s">
        <v>46</v>
      </c>
      <c r="N62" s="10" t="s">
        <v>28</v>
      </c>
      <c r="O62" s="10" t="s">
        <v>47</v>
      </c>
      <c r="P62" s="10" t="s">
        <v>215</v>
      </c>
      <c r="Q62" s="13"/>
      <c r="R62" s="13"/>
      <c r="S62" s="13"/>
      <c r="T62" s="13"/>
      <c r="U62" s="13"/>
      <c r="V62" s="13"/>
      <c r="W62" s="16"/>
      <c r="X62" s="13"/>
    </row>
    <row r="63" ht="14.25" customHeight="1">
      <c r="A63" s="10" t="s">
        <v>30</v>
      </c>
      <c r="B63" s="10" t="s">
        <v>31</v>
      </c>
      <c r="C63" s="10">
        <v>61.0</v>
      </c>
      <c r="D63" s="11" t="s">
        <v>216</v>
      </c>
      <c r="E63" s="11" t="s">
        <v>217</v>
      </c>
      <c r="F63" s="11" t="s">
        <v>218</v>
      </c>
      <c r="G63" s="10">
        <v>61.0</v>
      </c>
      <c r="H63" s="10">
        <f>VLOOKUP(F63,'Generos y Familia'!$A$1:$C$623,2,FALSE)</f>
        <v>19</v>
      </c>
      <c r="I63" s="12" t="str">
        <f t="shared" si="1"/>
        <v>Alnus acuminata</v>
      </c>
      <c r="J63" s="10" t="str">
        <f t="shared" si="2"/>
        <v>61 Alnus acuminata</v>
      </c>
      <c r="K63" s="10" t="str">
        <f t="shared" si="3"/>
        <v>Aliso</v>
      </c>
      <c r="L63" s="10" t="str">
        <f t="shared" si="4"/>
        <v>61 Aliso</v>
      </c>
      <c r="M63" s="10" t="s">
        <v>46</v>
      </c>
      <c r="N63" s="10" t="s">
        <v>36</v>
      </c>
      <c r="O63" s="10" t="s">
        <v>37</v>
      </c>
      <c r="P63" s="10" t="s">
        <v>219</v>
      </c>
      <c r="Q63" s="17">
        <v>25.0</v>
      </c>
      <c r="R63" s="14" t="s">
        <v>39</v>
      </c>
      <c r="S63" s="17">
        <v>45.0</v>
      </c>
      <c r="T63" s="14" t="s">
        <v>39</v>
      </c>
      <c r="U63" s="14" t="s">
        <v>55</v>
      </c>
      <c r="V63" s="14">
        <v>0.35</v>
      </c>
      <c r="W63" s="18" t="s">
        <v>220</v>
      </c>
      <c r="X63" s="14"/>
    </row>
    <row r="64" ht="14.25" customHeight="1">
      <c r="A64" s="10" t="s">
        <v>30</v>
      </c>
      <c r="B64" s="10" t="s">
        <v>31</v>
      </c>
      <c r="C64" s="10">
        <v>62.0</v>
      </c>
      <c r="D64" s="11" t="s">
        <v>221</v>
      </c>
      <c r="E64" s="11" t="s">
        <v>222</v>
      </c>
      <c r="F64" s="11" t="s">
        <v>223</v>
      </c>
      <c r="G64" s="10">
        <v>62.0</v>
      </c>
      <c r="H64" s="10">
        <f>VLOOKUP(F64,'Generos y Familia'!$A$1:$C$623,2,FALSE)</f>
        <v>16</v>
      </c>
      <c r="I64" s="12" t="str">
        <f t="shared" si="1"/>
        <v>Aloe arborescens</v>
      </c>
      <c r="J64" s="10" t="str">
        <f t="shared" si="2"/>
        <v>62 Aloe arborescens</v>
      </c>
      <c r="K64" s="10" t="str">
        <f t="shared" si="3"/>
        <v>Sábila Candelabro Africano</v>
      </c>
      <c r="L64" s="10" t="str">
        <f t="shared" si="4"/>
        <v>62 Sábila Candelabro Africano</v>
      </c>
      <c r="M64" s="10" t="s">
        <v>46</v>
      </c>
      <c r="N64" s="10" t="s">
        <v>36</v>
      </c>
      <c r="O64" s="10" t="s">
        <v>47</v>
      </c>
      <c r="P64" s="10" t="s">
        <v>224</v>
      </c>
      <c r="Q64" s="13"/>
      <c r="R64" s="13"/>
      <c r="S64" s="13"/>
      <c r="T64" s="13"/>
      <c r="U64" s="13"/>
      <c r="V64" s="13"/>
      <c r="W64" s="16"/>
      <c r="X64" s="13"/>
    </row>
    <row r="65" ht="14.25" customHeight="1">
      <c r="A65" s="10" t="s">
        <v>30</v>
      </c>
      <c r="B65" s="10" t="s">
        <v>31</v>
      </c>
      <c r="C65" s="10">
        <v>63.0</v>
      </c>
      <c r="D65" s="11" t="s">
        <v>225</v>
      </c>
      <c r="E65" s="11" t="s">
        <v>226</v>
      </c>
      <c r="F65" s="11" t="s">
        <v>227</v>
      </c>
      <c r="G65" s="10">
        <v>63.0</v>
      </c>
      <c r="H65" s="10">
        <f>VLOOKUP(F65,'Generos y Familia'!$A$1:$C$623,2,FALSE)</f>
        <v>96</v>
      </c>
      <c r="I65" s="12" t="str">
        <f t="shared" si="1"/>
        <v>Aloysia citrodora</v>
      </c>
      <c r="J65" s="10" t="str">
        <f t="shared" si="2"/>
        <v>63 Aloysia citrodora</v>
      </c>
      <c r="K65" s="10" t="str">
        <f t="shared" si="3"/>
        <v>Cedron</v>
      </c>
      <c r="L65" s="10" t="str">
        <f t="shared" si="4"/>
        <v>63 Cedron</v>
      </c>
      <c r="M65" s="10" t="s">
        <v>35</v>
      </c>
      <c r="N65" s="10" t="s">
        <v>36</v>
      </c>
      <c r="O65" s="10" t="s">
        <v>47</v>
      </c>
      <c r="P65" s="10" t="s">
        <v>228</v>
      </c>
      <c r="Q65" s="17">
        <v>3.0</v>
      </c>
      <c r="R65" s="14" t="s">
        <v>53</v>
      </c>
      <c r="S65" s="17" t="s">
        <v>229</v>
      </c>
      <c r="T65" s="14"/>
      <c r="U65" s="14" t="s">
        <v>55</v>
      </c>
      <c r="V65" s="14"/>
      <c r="W65" s="17"/>
      <c r="X65" s="14" t="s">
        <v>41</v>
      </c>
    </row>
    <row r="66" ht="14.25" customHeight="1">
      <c r="A66" s="10" t="s">
        <v>30</v>
      </c>
      <c r="B66" s="10" t="s">
        <v>31</v>
      </c>
      <c r="C66" s="10">
        <v>64.0</v>
      </c>
      <c r="D66" s="11" t="s">
        <v>230</v>
      </c>
      <c r="E66" s="11" t="s">
        <v>231</v>
      </c>
      <c r="F66" s="11" t="s">
        <v>232</v>
      </c>
      <c r="G66" s="10">
        <v>64.0</v>
      </c>
      <c r="H66" s="10">
        <f>VLOOKUP(F66,'Generos y Familia'!$A$1:$C$623,2,FALSE)</f>
        <v>101</v>
      </c>
      <c r="I66" s="12" t="str">
        <f t="shared" si="1"/>
        <v>Alpinia purpurata</v>
      </c>
      <c r="J66" s="10" t="str">
        <f t="shared" si="2"/>
        <v>64 Alpinia purpurata</v>
      </c>
      <c r="K66" s="10" t="str">
        <f t="shared" si="3"/>
        <v>Yínyer; Yinye; Sanjuanico</v>
      </c>
      <c r="L66" s="10" t="str">
        <f t="shared" si="4"/>
        <v>64 Yínyer; Yinye; Sanjuanico</v>
      </c>
      <c r="M66" s="10" t="s">
        <v>46</v>
      </c>
      <c r="N66" s="10" t="s">
        <v>36</v>
      </c>
      <c r="O66" s="10" t="s">
        <v>47</v>
      </c>
      <c r="P66" s="10" t="s">
        <v>233</v>
      </c>
      <c r="Q66" s="13"/>
      <c r="R66" s="13"/>
      <c r="S66" s="13"/>
      <c r="T66" s="13"/>
      <c r="U66" s="13"/>
      <c r="V66" s="13"/>
      <c r="W66" s="16"/>
      <c r="X66" s="13"/>
    </row>
    <row r="67" ht="14.25" customHeight="1">
      <c r="A67" s="10" t="s">
        <v>30</v>
      </c>
      <c r="B67" s="10" t="s">
        <v>31</v>
      </c>
      <c r="C67" s="10">
        <v>65.0</v>
      </c>
      <c r="D67" s="11" t="s">
        <v>234</v>
      </c>
      <c r="E67" s="11" t="s">
        <v>235</v>
      </c>
      <c r="F67" s="11" t="s">
        <v>206</v>
      </c>
      <c r="G67" s="10">
        <v>65.0</v>
      </c>
      <c r="H67" s="10">
        <f>VLOOKUP(F67,'Generos y Familia'!$A$1:$C$623,2,FALSE)</f>
        <v>9</v>
      </c>
      <c r="I67" s="12" t="str">
        <f t="shared" si="1"/>
        <v>Alstonia scholaris</v>
      </c>
      <c r="J67" s="10" t="str">
        <f t="shared" si="2"/>
        <v>65 Alstonia scholaris</v>
      </c>
      <c r="K67" s="10" t="str">
        <f t="shared" si="3"/>
        <v>Falso Ocobo; Palo de Sombra</v>
      </c>
      <c r="L67" s="10" t="str">
        <f t="shared" si="4"/>
        <v>65 Falso Ocobo; Palo de Sombra</v>
      </c>
      <c r="M67" s="10" t="s">
        <v>46</v>
      </c>
      <c r="N67" s="10" t="s">
        <v>36</v>
      </c>
      <c r="O67" s="10" t="s">
        <v>37</v>
      </c>
      <c r="P67" s="10" t="s">
        <v>236</v>
      </c>
      <c r="Q67" s="13"/>
      <c r="R67" s="13"/>
      <c r="S67" s="13"/>
      <c r="T67" s="13"/>
      <c r="U67" s="13"/>
      <c r="V67" s="13"/>
      <c r="W67" s="13"/>
      <c r="X67" s="13"/>
    </row>
    <row r="68" ht="14.25" customHeight="1">
      <c r="A68" s="10" t="s">
        <v>30</v>
      </c>
      <c r="B68" s="10" t="s">
        <v>31</v>
      </c>
      <c r="C68" s="10">
        <v>66.0</v>
      </c>
      <c r="D68" s="11" t="s">
        <v>237</v>
      </c>
      <c r="E68" s="11" t="s">
        <v>238</v>
      </c>
      <c r="F68" s="11" t="s">
        <v>239</v>
      </c>
      <c r="G68" s="10">
        <v>66.0</v>
      </c>
      <c r="H68" s="10">
        <f>VLOOKUP(F68,'Generos y Familia'!$A$1:$C$623,2,FALSE)</f>
        <v>6</v>
      </c>
      <c r="I68" s="12" t="str">
        <f t="shared" si="1"/>
        <v>Alternanthera brasiliana</v>
      </c>
      <c r="J68" s="10" t="str">
        <f t="shared" si="2"/>
        <v>66 Alternanthera brasiliana</v>
      </c>
      <c r="K68" s="10" t="str">
        <f t="shared" si="3"/>
        <v>Tebrol del Interior; Planta Percal; Alternatera</v>
      </c>
      <c r="L68" s="10" t="str">
        <f t="shared" si="4"/>
        <v>66 Tebrol del Interior; Planta Percal; Alternatera</v>
      </c>
      <c r="M68" s="10" t="s">
        <v>35</v>
      </c>
      <c r="N68" s="10" t="s">
        <v>36</v>
      </c>
      <c r="O68" s="10" t="s">
        <v>47</v>
      </c>
      <c r="P68" s="10" t="s">
        <v>240</v>
      </c>
      <c r="Q68" s="13"/>
      <c r="R68" s="13"/>
      <c r="S68" s="13"/>
      <c r="T68" s="13"/>
      <c r="U68" s="13"/>
      <c r="V68" s="13"/>
      <c r="W68" s="16"/>
      <c r="X68" s="13"/>
    </row>
    <row r="69" ht="14.25" customHeight="1">
      <c r="A69" s="10" t="s">
        <v>30</v>
      </c>
      <c r="B69" s="10" t="s">
        <v>31</v>
      </c>
      <c r="C69" s="10">
        <v>67.0</v>
      </c>
      <c r="D69" s="11" t="s">
        <v>241</v>
      </c>
      <c r="E69" s="11" t="s">
        <v>242</v>
      </c>
      <c r="F69" s="11" t="s">
        <v>34</v>
      </c>
      <c r="G69" s="10">
        <v>67.0</v>
      </c>
      <c r="H69" s="10">
        <f>VLOOKUP(F69,'Generos y Familia'!$A$1:$C$623,2,FALSE)</f>
        <v>27</v>
      </c>
      <c r="I69" s="12" t="str">
        <f t="shared" si="1"/>
        <v>Amherstia nobilis</v>
      </c>
      <c r="J69" s="10" t="str">
        <f t="shared" si="2"/>
        <v>67 Amherstia nobilis</v>
      </c>
      <c r="K69" s="10" t="str">
        <f t="shared" si="3"/>
        <v>Amherstia</v>
      </c>
      <c r="L69" s="10" t="str">
        <f t="shared" si="4"/>
        <v>67 Amherstia</v>
      </c>
      <c r="M69" s="10" t="s">
        <v>46</v>
      </c>
      <c r="N69" s="10" t="s">
        <v>28</v>
      </c>
      <c r="O69" s="10" t="s">
        <v>37</v>
      </c>
      <c r="P69" s="10" t="s">
        <v>242</v>
      </c>
      <c r="Q69" s="13"/>
      <c r="R69" s="13"/>
      <c r="S69" s="13"/>
      <c r="T69" s="13"/>
      <c r="U69" s="13"/>
      <c r="V69" s="13"/>
      <c r="W69" s="13"/>
      <c r="X69" s="13"/>
    </row>
    <row r="70" ht="14.25" customHeight="1">
      <c r="A70" s="10" t="s">
        <v>30</v>
      </c>
      <c r="B70" s="10" t="s">
        <v>31</v>
      </c>
      <c r="C70" s="10">
        <v>68.0</v>
      </c>
      <c r="D70" s="11" t="s">
        <v>243</v>
      </c>
      <c r="E70" s="11" t="s">
        <v>244</v>
      </c>
      <c r="F70" s="11" t="s">
        <v>99</v>
      </c>
      <c r="G70" s="10">
        <v>68.0</v>
      </c>
      <c r="H70" s="10">
        <f>VLOOKUP(F70,'Generos y Familia'!$A$1:$C$623,2,FALSE)</f>
        <v>2</v>
      </c>
      <c r="I70" s="12" t="str">
        <f t="shared" si="1"/>
        <v>Ampelocera sp</v>
      </c>
      <c r="J70" s="10" t="str">
        <f t="shared" si="2"/>
        <v>68 Ampelocera sp</v>
      </c>
      <c r="K70" s="10" t="str">
        <f t="shared" si="3"/>
        <v>Ampeloceras</v>
      </c>
      <c r="L70" s="10" t="str">
        <f t="shared" si="4"/>
        <v>68 Ampeloceras</v>
      </c>
      <c r="M70" s="10" t="s">
        <v>46</v>
      </c>
      <c r="N70" s="10" t="s">
        <v>36</v>
      </c>
      <c r="O70" s="10" t="s">
        <v>37</v>
      </c>
      <c r="P70" s="10" t="s">
        <v>245</v>
      </c>
      <c r="Q70" s="13"/>
      <c r="R70" s="13"/>
      <c r="S70" s="13"/>
      <c r="T70" s="13"/>
      <c r="U70" s="13"/>
      <c r="V70" s="13"/>
      <c r="W70" s="13"/>
      <c r="X70" s="13"/>
    </row>
    <row r="71" ht="14.25" customHeight="1">
      <c r="A71" s="10" t="s">
        <v>30</v>
      </c>
      <c r="B71" s="10" t="s">
        <v>31</v>
      </c>
      <c r="C71" s="10">
        <v>69.0</v>
      </c>
      <c r="D71" s="11" t="s">
        <v>246</v>
      </c>
      <c r="E71" s="11" t="s">
        <v>247</v>
      </c>
      <c r="F71" s="11" t="s">
        <v>248</v>
      </c>
      <c r="G71" s="10">
        <v>69.0</v>
      </c>
      <c r="H71" s="10">
        <f>VLOOKUP(F71,'Generos y Familia'!$A$1:$C$623,2,FALSE)</f>
        <v>20</v>
      </c>
      <c r="I71" s="12" t="str">
        <f t="shared" si="1"/>
        <v>Amphitecna apiculata</v>
      </c>
      <c r="J71" s="10" t="str">
        <f t="shared" si="2"/>
        <v>69 Amphitecna apiculata</v>
      </c>
      <c r="K71" s="10" t="str">
        <f t="shared" si="3"/>
        <v>Jicarillo</v>
      </c>
      <c r="L71" s="10" t="str">
        <f t="shared" si="4"/>
        <v>69 Jicarillo</v>
      </c>
      <c r="M71" s="10" t="s">
        <v>46</v>
      </c>
      <c r="N71" s="10" t="s">
        <v>28</v>
      </c>
      <c r="O71" s="10" t="s">
        <v>37</v>
      </c>
      <c r="P71" s="10" t="s">
        <v>249</v>
      </c>
      <c r="Q71" s="13"/>
      <c r="R71" s="13"/>
      <c r="S71" s="13"/>
      <c r="T71" s="13"/>
      <c r="U71" s="13"/>
      <c r="V71" s="13"/>
      <c r="W71" s="16"/>
      <c r="X71" s="13"/>
    </row>
    <row r="72" ht="14.25" customHeight="1">
      <c r="A72" s="10" t="s">
        <v>30</v>
      </c>
      <c r="B72" s="10" t="s">
        <v>31</v>
      </c>
      <c r="C72" s="10">
        <v>70.0</v>
      </c>
      <c r="D72" s="11" t="s">
        <v>250</v>
      </c>
      <c r="E72" s="11" t="s">
        <v>251</v>
      </c>
      <c r="F72" s="11" t="s">
        <v>248</v>
      </c>
      <c r="G72" s="10">
        <v>70.0</v>
      </c>
      <c r="H72" s="10">
        <f>VLOOKUP(F72,'Generos y Familia'!$A$1:$C$623,2,FALSE)</f>
        <v>20</v>
      </c>
      <c r="I72" s="12" t="str">
        <f t="shared" si="1"/>
        <v>Amphitecna isthmica</v>
      </c>
      <c r="J72" s="10" t="str">
        <f t="shared" si="2"/>
        <v>70 Amphitecna isthmica</v>
      </c>
      <c r="K72" s="10" t="str">
        <f t="shared" si="3"/>
        <v>Calabacillo (A otra sp de genero)</v>
      </c>
      <c r="L72" s="10" t="str">
        <f t="shared" si="4"/>
        <v>70 Calabacillo (A otra sp de genero)</v>
      </c>
      <c r="M72" s="10" t="s">
        <v>35</v>
      </c>
      <c r="N72" s="10" t="s">
        <v>36</v>
      </c>
      <c r="O72" s="10" t="s">
        <v>37</v>
      </c>
      <c r="P72" s="10" t="s">
        <v>249</v>
      </c>
      <c r="Q72" s="15"/>
      <c r="R72" s="13"/>
      <c r="S72" s="13"/>
      <c r="T72" s="13"/>
      <c r="U72" s="13"/>
      <c r="V72" s="13"/>
      <c r="W72" s="13"/>
      <c r="X72" s="13"/>
    </row>
    <row r="73" ht="14.25" customHeight="1">
      <c r="A73" s="10" t="s">
        <v>30</v>
      </c>
      <c r="B73" s="10" t="s">
        <v>31</v>
      </c>
      <c r="C73" s="10">
        <v>71.0</v>
      </c>
      <c r="D73" s="11" t="s">
        <v>252</v>
      </c>
      <c r="E73" s="11" t="s">
        <v>253</v>
      </c>
      <c r="F73" s="11" t="s">
        <v>248</v>
      </c>
      <c r="G73" s="10">
        <v>71.0</v>
      </c>
      <c r="H73" s="10">
        <f>VLOOKUP(F73,'Generos y Familia'!$A$1:$C$623,2,FALSE)</f>
        <v>20</v>
      </c>
      <c r="I73" s="12" t="str">
        <f t="shared" si="1"/>
        <v>Amphitecna latifolia</v>
      </c>
      <c r="J73" s="10" t="str">
        <f t="shared" si="2"/>
        <v>71 Amphitecna latifolia</v>
      </c>
      <c r="K73" s="10" t="str">
        <f t="shared" si="3"/>
        <v>Calabazo</v>
      </c>
      <c r="L73" s="10" t="str">
        <f t="shared" si="4"/>
        <v>71 Calabazo</v>
      </c>
      <c r="M73" s="10" t="s">
        <v>35</v>
      </c>
      <c r="N73" s="10" t="s">
        <v>36</v>
      </c>
      <c r="O73" s="10" t="s">
        <v>37</v>
      </c>
      <c r="P73" s="10" t="s">
        <v>249</v>
      </c>
      <c r="Q73" s="13">
        <v>10.0</v>
      </c>
      <c r="R73" s="13" t="s">
        <v>39</v>
      </c>
      <c r="S73" s="13">
        <v>18.0</v>
      </c>
      <c r="T73" s="13" t="s">
        <v>39</v>
      </c>
      <c r="U73" s="13" t="s">
        <v>40</v>
      </c>
      <c r="V73" s="13"/>
      <c r="W73" s="13"/>
      <c r="X73" s="13"/>
    </row>
    <row r="74" ht="14.25" customHeight="1">
      <c r="A74" s="10" t="s">
        <v>30</v>
      </c>
      <c r="B74" s="10" t="s">
        <v>31</v>
      </c>
      <c r="C74" s="10">
        <v>72.0</v>
      </c>
      <c r="D74" s="11" t="s">
        <v>254</v>
      </c>
      <c r="E74" s="11" t="s">
        <v>255</v>
      </c>
      <c r="F74" s="11" t="s">
        <v>248</v>
      </c>
      <c r="G74" s="10">
        <v>72.0</v>
      </c>
      <c r="H74" s="10">
        <f>VLOOKUP(F74,'Generos y Familia'!$A$1:$C$623,2,FALSE)</f>
        <v>20</v>
      </c>
      <c r="I74" s="12" t="str">
        <f t="shared" si="1"/>
        <v>Amphitecna sp</v>
      </c>
      <c r="J74" s="10" t="str">
        <f t="shared" si="2"/>
        <v>72 Amphitecna sp</v>
      </c>
      <c r="K74" s="10" t="str">
        <f t="shared" si="3"/>
        <v>Calabacillo; Totumito (A otra sp de genero)</v>
      </c>
      <c r="L74" s="10" t="str">
        <f t="shared" si="4"/>
        <v>72 Calabacillo; Totumito (A otra sp de genero)</v>
      </c>
      <c r="M74" s="10" t="s">
        <v>35</v>
      </c>
      <c r="N74" s="10" t="s">
        <v>36</v>
      </c>
      <c r="O74" s="10" t="s">
        <v>37</v>
      </c>
      <c r="P74" s="10" t="s">
        <v>249</v>
      </c>
      <c r="Q74" s="13"/>
      <c r="R74" s="13"/>
      <c r="S74" s="13"/>
      <c r="T74" s="13"/>
      <c r="U74" s="13"/>
      <c r="V74" s="13"/>
      <c r="W74" s="16"/>
      <c r="X74" s="13"/>
    </row>
    <row r="75" ht="14.25" customHeight="1">
      <c r="A75" s="10" t="s">
        <v>30</v>
      </c>
      <c r="B75" s="10" t="s">
        <v>31</v>
      </c>
      <c r="C75" s="10">
        <v>73.0</v>
      </c>
      <c r="D75" s="11" t="s">
        <v>256</v>
      </c>
      <c r="E75" s="11" t="s">
        <v>257</v>
      </c>
      <c r="F75" s="11" t="s">
        <v>258</v>
      </c>
      <c r="G75" s="10">
        <v>73.0</v>
      </c>
      <c r="H75" s="10">
        <f>VLOOKUP(F75,'Generos y Familia'!$A$1:$C$623,2,FALSE)</f>
        <v>7</v>
      </c>
      <c r="I75" s="12" t="str">
        <f t="shared" si="1"/>
        <v>Anacardium excelsum</v>
      </c>
      <c r="J75" s="10" t="str">
        <f t="shared" si="2"/>
        <v>73 Anacardium excelsum</v>
      </c>
      <c r="K75" s="10" t="str">
        <f t="shared" si="3"/>
        <v>Caracolí</v>
      </c>
      <c r="L75" s="10" t="str">
        <f t="shared" si="4"/>
        <v>73 Caracolí</v>
      </c>
      <c r="M75" s="10" t="s">
        <v>35</v>
      </c>
      <c r="N75" s="10" t="s">
        <v>36</v>
      </c>
      <c r="O75" s="10" t="s">
        <v>37</v>
      </c>
      <c r="P75" s="10" t="s">
        <v>259</v>
      </c>
      <c r="Q75" s="13">
        <v>30.0</v>
      </c>
      <c r="R75" s="13" t="s">
        <v>39</v>
      </c>
      <c r="S75" s="13">
        <v>300.0</v>
      </c>
      <c r="T75" s="13" t="s">
        <v>39</v>
      </c>
      <c r="U75" s="13" t="s">
        <v>40</v>
      </c>
      <c r="V75" s="13">
        <v>0.41</v>
      </c>
      <c r="W75" s="16"/>
      <c r="X75" s="13"/>
    </row>
    <row r="76" ht="14.25" customHeight="1">
      <c r="A76" s="10" t="s">
        <v>30</v>
      </c>
      <c r="B76" s="10" t="s">
        <v>31</v>
      </c>
      <c r="C76" s="10">
        <v>74.0</v>
      </c>
      <c r="D76" s="11" t="s">
        <v>260</v>
      </c>
      <c r="E76" s="11" t="s">
        <v>261</v>
      </c>
      <c r="F76" s="11" t="s">
        <v>258</v>
      </c>
      <c r="G76" s="10">
        <v>74.0</v>
      </c>
      <c r="H76" s="10">
        <f>VLOOKUP(F76,'Generos y Familia'!$A$1:$C$623,2,FALSE)</f>
        <v>7</v>
      </c>
      <c r="I76" s="12" t="str">
        <f t="shared" si="1"/>
        <v>Anacardium occidentale</v>
      </c>
      <c r="J76" s="10" t="str">
        <f t="shared" si="2"/>
        <v>74 Anacardium occidentale</v>
      </c>
      <c r="K76" s="10" t="str">
        <f t="shared" si="3"/>
        <v>Marañón</v>
      </c>
      <c r="L76" s="10" t="str">
        <f t="shared" si="4"/>
        <v>74 Marañón</v>
      </c>
      <c r="M76" s="10" t="s">
        <v>35</v>
      </c>
      <c r="N76" s="10" t="s">
        <v>36</v>
      </c>
      <c r="O76" s="10" t="s">
        <v>37</v>
      </c>
      <c r="P76" s="10" t="s">
        <v>259</v>
      </c>
      <c r="Q76" s="13">
        <v>10.0</v>
      </c>
      <c r="R76" s="13" t="s">
        <v>39</v>
      </c>
      <c r="S76" s="13">
        <v>20.0</v>
      </c>
      <c r="T76" s="13" t="s">
        <v>39</v>
      </c>
      <c r="U76" s="13" t="s">
        <v>40</v>
      </c>
      <c r="V76" s="13">
        <v>0.45</v>
      </c>
      <c r="W76" s="13"/>
      <c r="X76" s="13"/>
    </row>
    <row r="77" ht="14.25" customHeight="1">
      <c r="A77" s="10" t="s">
        <v>30</v>
      </c>
      <c r="B77" s="10" t="s">
        <v>31</v>
      </c>
      <c r="C77" s="10">
        <v>75.0</v>
      </c>
      <c r="D77" s="11" t="s">
        <v>262</v>
      </c>
      <c r="E77" s="11" t="s">
        <v>263</v>
      </c>
      <c r="F77" s="11" t="s">
        <v>34</v>
      </c>
      <c r="G77" s="10">
        <v>75.0</v>
      </c>
      <c r="H77" s="10">
        <f>VLOOKUP(F77,'Generos y Familia'!$A$1:$C$623,2,FALSE)</f>
        <v>27</v>
      </c>
      <c r="I77" s="12" t="str">
        <f t="shared" si="1"/>
        <v>Andira chigorodensis</v>
      </c>
      <c r="J77" s="10" t="str">
        <f t="shared" si="2"/>
        <v>75 Andira chigorodensis</v>
      </c>
      <c r="K77" s="10" t="str">
        <f t="shared" si="3"/>
        <v>Andira Chigorodensis</v>
      </c>
      <c r="L77" s="10" t="str">
        <f t="shared" si="4"/>
        <v>75 Andira Chigorodensis</v>
      </c>
      <c r="M77" s="10" t="s">
        <v>35</v>
      </c>
      <c r="N77" s="10" t="s">
        <v>36</v>
      </c>
      <c r="O77" s="10" t="s">
        <v>37</v>
      </c>
      <c r="P77" s="10" t="s">
        <v>264</v>
      </c>
      <c r="Q77" s="13"/>
      <c r="R77" s="13"/>
      <c r="S77" s="13"/>
      <c r="T77" s="13"/>
      <c r="U77" s="13"/>
      <c r="V77" s="13"/>
      <c r="W77" s="13"/>
      <c r="X77" s="13"/>
    </row>
    <row r="78" ht="14.25" customHeight="1">
      <c r="A78" s="10" t="s">
        <v>30</v>
      </c>
      <c r="B78" s="10" t="s">
        <v>31</v>
      </c>
      <c r="C78" s="10">
        <v>76.0</v>
      </c>
      <c r="D78" s="11" t="s">
        <v>265</v>
      </c>
      <c r="E78" s="11" t="s">
        <v>266</v>
      </c>
      <c r="F78" s="11" t="s">
        <v>34</v>
      </c>
      <c r="G78" s="10">
        <v>76.0</v>
      </c>
      <c r="H78" s="10">
        <f>VLOOKUP(F78,'Generos y Familia'!$A$1:$C$623,2,FALSE)</f>
        <v>27</v>
      </c>
      <c r="I78" s="12" t="str">
        <f t="shared" si="1"/>
        <v>Andira inermis</v>
      </c>
      <c r="J78" s="10" t="str">
        <f t="shared" si="2"/>
        <v>76 Andira inermis</v>
      </c>
      <c r="K78" s="10" t="str">
        <f t="shared" si="3"/>
        <v>Borombolo; Congo de Agua</v>
      </c>
      <c r="L78" s="10" t="str">
        <f t="shared" si="4"/>
        <v>76 Borombolo; Congo de Agua</v>
      </c>
      <c r="M78" s="10" t="s">
        <v>35</v>
      </c>
      <c r="N78" s="10" t="s">
        <v>36</v>
      </c>
      <c r="O78" s="10" t="s">
        <v>37</v>
      </c>
      <c r="P78" s="10" t="s">
        <v>264</v>
      </c>
      <c r="Q78" s="13">
        <v>15.0</v>
      </c>
      <c r="R78" s="13" t="s">
        <v>39</v>
      </c>
      <c r="S78" s="13">
        <v>60.0</v>
      </c>
      <c r="T78" s="13" t="s">
        <v>39</v>
      </c>
      <c r="U78" s="13" t="s">
        <v>40</v>
      </c>
      <c r="V78" s="13">
        <v>0.64</v>
      </c>
      <c r="W78" s="13"/>
      <c r="X78" s="13"/>
    </row>
    <row r="79" ht="14.25" customHeight="1">
      <c r="A79" s="10" t="s">
        <v>30</v>
      </c>
      <c r="B79" s="10" t="s">
        <v>31</v>
      </c>
      <c r="C79" s="10">
        <v>77.0</v>
      </c>
      <c r="D79" s="11" t="s">
        <v>267</v>
      </c>
      <c r="E79" s="11" t="s">
        <v>268</v>
      </c>
      <c r="F79" s="11" t="s">
        <v>34</v>
      </c>
      <c r="G79" s="10">
        <v>77.0</v>
      </c>
      <c r="H79" s="10">
        <f>VLOOKUP(F79,'Generos y Familia'!$A$1:$C$623,2,FALSE)</f>
        <v>27</v>
      </c>
      <c r="I79" s="12" t="str">
        <f t="shared" si="1"/>
        <v>Andira sp</v>
      </c>
      <c r="J79" s="10" t="str">
        <f t="shared" si="2"/>
        <v>77 Andira sp</v>
      </c>
      <c r="K79" s="10" t="str">
        <f t="shared" si="3"/>
        <v>Borombolo; Congo de Agua (sp)</v>
      </c>
      <c r="L79" s="10" t="str">
        <f t="shared" si="4"/>
        <v>77 Borombolo; Congo de Agua (sp)</v>
      </c>
      <c r="M79" s="10" t="s">
        <v>35</v>
      </c>
      <c r="N79" s="10" t="s">
        <v>36</v>
      </c>
      <c r="O79" s="10" t="s">
        <v>37</v>
      </c>
      <c r="P79" s="10" t="s">
        <v>264</v>
      </c>
      <c r="Q79" s="13"/>
      <c r="R79" s="13"/>
      <c r="S79" s="13"/>
      <c r="T79" s="13"/>
      <c r="U79" s="13"/>
      <c r="V79" s="13"/>
      <c r="W79" s="16"/>
      <c r="X79" s="13"/>
    </row>
    <row r="80" ht="14.25" customHeight="1">
      <c r="A80" s="10" t="s">
        <v>30</v>
      </c>
      <c r="B80" s="10" t="s">
        <v>31</v>
      </c>
      <c r="C80" s="10">
        <v>78.0</v>
      </c>
      <c r="D80" s="11" t="s">
        <v>269</v>
      </c>
      <c r="E80" s="11" t="s">
        <v>270</v>
      </c>
      <c r="F80" s="11" t="s">
        <v>158</v>
      </c>
      <c r="G80" s="10">
        <v>78.0</v>
      </c>
      <c r="H80" s="10">
        <f>VLOOKUP(F80,'Generos y Familia'!$A$1:$C$623,2,FALSE)</f>
        <v>35</v>
      </c>
      <c r="I80" s="12" t="str">
        <f t="shared" si="1"/>
        <v>Aniba riparia</v>
      </c>
      <c r="J80" s="10" t="str">
        <f t="shared" si="2"/>
        <v>78 Aniba riparia</v>
      </c>
      <c r="K80" s="10" t="str">
        <f t="shared" si="3"/>
        <v>Comino Crespo (A otra sp de genero)</v>
      </c>
      <c r="L80" s="10" t="str">
        <f t="shared" si="4"/>
        <v>78 Comino Crespo (A otra sp de genero)</v>
      </c>
      <c r="M80" s="10" t="s">
        <v>35</v>
      </c>
      <c r="N80" s="10" t="s">
        <v>36</v>
      </c>
      <c r="O80" s="10" t="s">
        <v>37</v>
      </c>
      <c r="P80" s="10" t="s">
        <v>271</v>
      </c>
      <c r="Q80" s="13"/>
      <c r="R80" s="13"/>
      <c r="S80" s="13"/>
      <c r="T80" s="13"/>
      <c r="U80" s="13"/>
      <c r="V80" s="13"/>
      <c r="W80" s="13"/>
      <c r="X80" s="13"/>
    </row>
    <row r="81" ht="14.25" customHeight="1">
      <c r="A81" s="10" t="s">
        <v>30</v>
      </c>
      <c r="B81" s="10" t="s">
        <v>31</v>
      </c>
      <c r="C81" s="10">
        <v>79.0</v>
      </c>
      <c r="D81" s="11" t="s">
        <v>272</v>
      </c>
      <c r="E81" s="11" t="s">
        <v>273</v>
      </c>
      <c r="F81" s="11" t="s">
        <v>158</v>
      </c>
      <c r="G81" s="10">
        <v>79.0</v>
      </c>
      <c r="H81" s="10">
        <f>VLOOKUP(F81,'Generos y Familia'!$A$1:$C$623,2,FALSE)</f>
        <v>35</v>
      </c>
      <c r="I81" s="12" t="str">
        <f t="shared" si="1"/>
        <v>Aniba coto</v>
      </c>
      <c r="J81" s="10" t="str">
        <f t="shared" si="2"/>
        <v>79 Aniba coto</v>
      </c>
      <c r="K81" s="10" t="str">
        <f t="shared" si="3"/>
        <v>Laurel</v>
      </c>
      <c r="L81" s="10" t="str">
        <f t="shared" si="4"/>
        <v>79 Laurel</v>
      </c>
      <c r="M81" s="10" t="s">
        <v>35</v>
      </c>
      <c r="N81" s="10" t="s">
        <v>36</v>
      </c>
      <c r="O81" s="10" t="s">
        <v>37</v>
      </c>
      <c r="P81" s="10" t="s">
        <v>271</v>
      </c>
      <c r="Q81" s="17">
        <v>40.0</v>
      </c>
      <c r="R81" s="14" t="s">
        <v>53</v>
      </c>
      <c r="S81" s="17">
        <v>60.0</v>
      </c>
      <c r="T81" s="14"/>
      <c r="U81" s="14" t="s">
        <v>40</v>
      </c>
      <c r="V81" s="14" t="s">
        <v>274</v>
      </c>
      <c r="W81" s="18"/>
      <c r="X81" s="14" t="s">
        <v>190</v>
      </c>
    </row>
    <row r="82" ht="14.25" customHeight="1">
      <c r="A82" s="10" t="s">
        <v>30</v>
      </c>
      <c r="B82" s="10" t="s">
        <v>31</v>
      </c>
      <c r="C82" s="10">
        <v>80.0</v>
      </c>
      <c r="D82" s="11" t="s">
        <v>275</v>
      </c>
      <c r="E82" s="11" t="s">
        <v>276</v>
      </c>
      <c r="F82" s="11" t="s">
        <v>158</v>
      </c>
      <c r="G82" s="10">
        <v>80.0</v>
      </c>
      <c r="H82" s="10">
        <f>VLOOKUP(F82,'Generos y Familia'!$A$1:$C$623,2,FALSE)</f>
        <v>35</v>
      </c>
      <c r="I82" s="12" t="str">
        <f t="shared" si="1"/>
        <v>Aniba muca</v>
      </c>
      <c r="J82" s="10" t="str">
        <f t="shared" si="2"/>
        <v>80 Aniba muca</v>
      </c>
      <c r="K82" s="10" t="str">
        <f t="shared" si="3"/>
        <v>Laurel Peque?O</v>
      </c>
      <c r="L82" s="10" t="str">
        <f t="shared" si="4"/>
        <v>80 Laurel Peque?O</v>
      </c>
      <c r="M82" s="10" t="s">
        <v>35</v>
      </c>
      <c r="N82" s="10" t="s">
        <v>36</v>
      </c>
      <c r="O82" s="10" t="s">
        <v>37</v>
      </c>
      <c r="P82" s="10" t="s">
        <v>271</v>
      </c>
      <c r="Q82" s="13"/>
      <c r="R82" s="13"/>
      <c r="S82" s="13"/>
      <c r="T82" s="13"/>
      <c r="U82" s="13"/>
      <c r="V82" s="13"/>
      <c r="W82" s="16"/>
      <c r="X82" s="13"/>
    </row>
    <row r="83" ht="14.25" customHeight="1">
      <c r="A83" s="10" t="s">
        <v>30</v>
      </c>
      <c r="B83" s="10" t="s">
        <v>31</v>
      </c>
      <c r="C83" s="10">
        <v>81.0</v>
      </c>
      <c r="D83" s="11" t="s">
        <v>277</v>
      </c>
      <c r="E83" s="11" t="s">
        <v>278</v>
      </c>
      <c r="F83" s="11" t="s">
        <v>158</v>
      </c>
      <c r="G83" s="10">
        <v>81.0</v>
      </c>
      <c r="H83" s="10">
        <f>VLOOKUP(F83,'Generos y Familia'!$A$1:$C$623,2,FALSE)</f>
        <v>35</v>
      </c>
      <c r="I83" s="12" t="str">
        <f t="shared" si="1"/>
        <v>Aniba perutilis</v>
      </c>
      <c r="J83" s="10" t="str">
        <f t="shared" si="2"/>
        <v>81 Aniba perutilis</v>
      </c>
      <c r="K83" s="10" t="str">
        <f t="shared" si="3"/>
        <v>Comino</v>
      </c>
      <c r="L83" s="10" t="str">
        <f t="shared" si="4"/>
        <v>81 Comino</v>
      </c>
      <c r="M83" s="10" t="s">
        <v>35</v>
      </c>
      <c r="N83" s="10" t="s">
        <v>36</v>
      </c>
      <c r="O83" s="10" t="s">
        <v>37</v>
      </c>
      <c r="P83" s="10" t="s">
        <v>271</v>
      </c>
      <c r="Q83" s="13">
        <v>30.0</v>
      </c>
      <c r="R83" s="13" t="s">
        <v>39</v>
      </c>
      <c r="S83" s="13">
        <v>60.0</v>
      </c>
      <c r="T83" s="13" t="s">
        <v>39</v>
      </c>
      <c r="U83" s="13" t="s">
        <v>40</v>
      </c>
      <c r="V83" s="13" t="s">
        <v>279</v>
      </c>
      <c r="W83" s="13"/>
      <c r="X83" s="13"/>
    </row>
    <row r="84" ht="14.25" customHeight="1">
      <c r="A84" s="10" t="s">
        <v>30</v>
      </c>
      <c r="B84" s="10" t="s">
        <v>31</v>
      </c>
      <c r="C84" s="10">
        <v>82.0</v>
      </c>
      <c r="D84" s="11" t="s">
        <v>280</v>
      </c>
      <c r="E84" s="11" t="s">
        <v>281</v>
      </c>
      <c r="F84" s="11" t="s">
        <v>158</v>
      </c>
      <c r="G84" s="10">
        <v>82.0</v>
      </c>
      <c r="H84" s="10">
        <f>VLOOKUP(F84,'Generos y Familia'!$A$1:$C$623,2,FALSE)</f>
        <v>35</v>
      </c>
      <c r="I84" s="12" t="str">
        <f t="shared" si="1"/>
        <v>Aniba puchury-minor</v>
      </c>
      <c r="J84" s="10" t="str">
        <f t="shared" si="2"/>
        <v>82 Aniba puchury-minor</v>
      </c>
      <c r="K84" s="10" t="str">
        <f t="shared" si="3"/>
        <v>Laurel Uncibe</v>
      </c>
      <c r="L84" s="10" t="str">
        <f t="shared" si="4"/>
        <v>82 Laurel Uncibe</v>
      </c>
      <c r="M84" s="10" t="s">
        <v>35</v>
      </c>
      <c r="N84" s="10" t="s">
        <v>36</v>
      </c>
      <c r="O84" s="10" t="s">
        <v>37</v>
      </c>
      <c r="P84" s="10" t="s">
        <v>271</v>
      </c>
      <c r="Q84" s="13">
        <v>15.0</v>
      </c>
      <c r="R84" s="13" t="s">
        <v>53</v>
      </c>
      <c r="S84" s="13"/>
      <c r="T84" s="13"/>
      <c r="U84" s="13" t="s">
        <v>73</v>
      </c>
      <c r="V84" s="13"/>
      <c r="W84" s="13"/>
      <c r="X84" s="13"/>
    </row>
    <row r="85" ht="14.25" customHeight="1">
      <c r="A85" s="10" t="s">
        <v>30</v>
      </c>
      <c r="B85" s="10" t="s">
        <v>31</v>
      </c>
      <c r="C85" s="10">
        <v>83.0</v>
      </c>
      <c r="D85" s="11" t="s">
        <v>282</v>
      </c>
      <c r="E85" s="11" t="s">
        <v>283</v>
      </c>
      <c r="F85" s="11" t="s">
        <v>158</v>
      </c>
      <c r="G85" s="10">
        <v>83.0</v>
      </c>
      <c r="H85" s="10">
        <f>VLOOKUP(F85,'Generos y Familia'!$A$1:$C$623,2,FALSE)</f>
        <v>35</v>
      </c>
      <c r="I85" s="12" t="str">
        <f t="shared" si="1"/>
        <v>Aniba sp</v>
      </c>
      <c r="J85" s="10" t="str">
        <f t="shared" si="2"/>
        <v>83 Aniba sp</v>
      </c>
      <c r="K85" s="10" t="str">
        <f t="shared" si="3"/>
        <v>Comino (sp)</v>
      </c>
      <c r="L85" s="10" t="str">
        <f t="shared" si="4"/>
        <v>83 Comino (sp)</v>
      </c>
      <c r="M85" s="10" t="s">
        <v>35</v>
      </c>
      <c r="N85" s="10" t="s">
        <v>36</v>
      </c>
      <c r="O85" s="10" t="s">
        <v>37</v>
      </c>
      <c r="P85" s="10" t="s">
        <v>271</v>
      </c>
      <c r="Q85" s="17">
        <v>30.0</v>
      </c>
      <c r="R85" s="14" t="s">
        <v>39</v>
      </c>
      <c r="S85" s="17">
        <v>60.0</v>
      </c>
      <c r="T85" s="14" t="s">
        <v>39</v>
      </c>
      <c r="U85" s="14" t="s">
        <v>40</v>
      </c>
      <c r="V85" s="14" t="s">
        <v>274</v>
      </c>
      <c r="W85" s="17"/>
      <c r="X85" s="14" t="s">
        <v>190</v>
      </c>
    </row>
    <row r="86" ht="14.25" customHeight="1">
      <c r="A86" s="10" t="s">
        <v>30</v>
      </c>
      <c r="B86" s="10" t="s">
        <v>31</v>
      </c>
      <c r="C86" s="10">
        <v>84.0</v>
      </c>
      <c r="D86" s="11" t="s">
        <v>284</v>
      </c>
      <c r="E86" s="11" t="s">
        <v>285</v>
      </c>
      <c r="F86" s="11" t="s">
        <v>286</v>
      </c>
      <c r="G86" s="10">
        <v>84.0</v>
      </c>
      <c r="H86" s="10">
        <f>VLOOKUP(F86,'Generos y Familia'!$A$1:$C$623,2,FALSE)</f>
        <v>8</v>
      </c>
      <c r="I86" s="12" t="str">
        <f t="shared" si="1"/>
        <v>Annona acuminata</v>
      </c>
      <c r="J86" s="10" t="str">
        <f t="shared" si="2"/>
        <v>84 Annona acuminata</v>
      </c>
      <c r="K86" s="10" t="str">
        <f t="shared" si="3"/>
        <v>Majagua</v>
      </c>
      <c r="L86" s="10" t="str">
        <f t="shared" si="4"/>
        <v>84 Majagua</v>
      </c>
      <c r="M86" s="10" t="s">
        <v>35</v>
      </c>
      <c r="N86" s="10" t="s">
        <v>36</v>
      </c>
      <c r="O86" s="10" t="s">
        <v>37</v>
      </c>
      <c r="P86" s="10" t="s">
        <v>287</v>
      </c>
      <c r="Q86" s="13">
        <v>7.0</v>
      </c>
      <c r="R86" s="13" t="s">
        <v>53</v>
      </c>
      <c r="S86" s="13"/>
      <c r="T86" s="13"/>
      <c r="U86" s="13"/>
      <c r="V86" s="13"/>
      <c r="W86" s="13"/>
      <c r="X86" s="13"/>
    </row>
    <row r="87" ht="14.25" customHeight="1">
      <c r="A87" s="10" t="s">
        <v>30</v>
      </c>
      <c r="B87" s="10" t="s">
        <v>31</v>
      </c>
      <c r="C87" s="10">
        <v>85.0</v>
      </c>
      <c r="D87" s="11" t="s">
        <v>288</v>
      </c>
      <c r="E87" s="11" t="s">
        <v>289</v>
      </c>
      <c r="F87" s="11" t="s">
        <v>286</v>
      </c>
      <c r="G87" s="10">
        <v>85.0</v>
      </c>
      <c r="H87" s="10">
        <f>VLOOKUP(F87,'Generos y Familia'!$A$1:$C$623,2,FALSE)</f>
        <v>8</v>
      </c>
      <c r="I87" s="12" t="str">
        <f t="shared" si="1"/>
        <v>Annona cherimola</v>
      </c>
      <c r="J87" s="10" t="str">
        <f t="shared" si="2"/>
        <v>85 Annona cherimola</v>
      </c>
      <c r="K87" s="10" t="str">
        <f t="shared" si="3"/>
        <v>Chirimoyo; Chirimoya; Anón de Monte; Chirimoya de Monte</v>
      </c>
      <c r="L87" s="10" t="str">
        <f t="shared" si="4"/>
        <v>85 Chirimoyo; Chirimoya; Anón de Monte; Chirimoya de Monte</v>
      </c>
      <c r="M87" s="10" t="s">
        <v>35</v>
      </c>
      <c r="N87" s="10" t="s">
        <v>36</v>
      </c>
      <c r="O87" s="10" t="s">
        <v>37</v>
      </c>
      <c r="P87" s="10" t="s">
        <v>287</v>
      </c>
      <c r="Q87" s="17">
        <v>15.0</v>
      </c>
      <c r="R87" s="14" t="s">
        <v>53</v>
      </c>
      <c r="S87" s="17" t="s">
        <v>290</v>
      </c>
      <c r="T87" s="14"/>
      <c r="U87" s="14" t="s">
        <v>73</v>
      </c>
      <c r="V87" s="14">
        <v>0.69</v>
      </c>
      <c r="W87" s="18" t="s">
        <v>291</v>
      </c>
      <c r="X87" s="14" t="s">
        <v>41</v>
      </c>
    </row>
    <row r="88" ht="14.25" customHeight="1">
      <c r="A88" s="10" t="s">
        <v>30</v>
      </c>
      <c r="B88" s="10" t="s">
        <v>31</v>
      </c>
      <c r="C88" s="10">
        <v>86.0</v>
      </c>
      <c r="D88" s="11" t="s">
        <v>292</v>
      </c>
      <c r="E88" s="11" t="s">
        <v>293</v>
      </c>
      <c r="F88" s="11" t="s">
        <v>286</v>
      </c>
      <c r="G88" s="10">
        <v>86.0</v>
      </c>
      <c r="H88" s="10">
        <f>VLOOKUP(F88,'Generos y Familia'!$A$1:$C$623,2,FALSE)</f>
        <v>8</v>
      </c>
      <c r="I88" s="12" t="str">
        <f t="shared" si="1"/>
        <v>Annona glabra</v>
      </c>
      <c r="J88" s="10" t="str">
        <f t="shared" si="2"/>
        <v>86 Annona glabra</v>
      </c>
      <c r="K88" s="10" t="str">
        <f t="shared" si="3"/>
        <v>Guanabanilla</v>
      </c>
      <c r="L88" s="10" t="str">
        <f t="shared" si="4"/>
        <v>86 Guanabanilla</v>
      </c>
      <c r="M88" s="10" t="s">
        <v>35</v>
      </c>
      <c r="N88" s="10" t="s">
        <v>36</v>
      </c>
      <c r="O88" s="10" t="s">
        <v>47</v>
      </c>
      <c r="P88" s="10" t="s">
        <v>287</v>
      </c>
      <c r="Q88" s="17">
        <v>12.0</v>
      </c>
      <c r="R88" s="14" t="s">
        <v>39</v>
      </c>
      <c r="S88" s="17">
        <v>20.0</v>
      </c>
      <c r="T88" s="14" t="s">
        <v>39</v>
      </c>
      <c r="U88" s="14" t="s">
        <v>55</v>
      </c>
      <c r="V88" s="14">
        <v>0.69</v>
      </c>
      <c r="W88" s="17" t="s">
        <v>294</v>
      </c>
      <c r="X88" s="14" t="s">
        <v>190</v>
      </c>
    </row>
    <row r="89" ht="14.25" customHeight="1">
      <c r="A89" s="10" t="s">
        <v>30</v>
      </c>
      <c r="B89" s="10" t="s">
        <v>31</v>
      </c>
      <c r="C89" s="10">
        <v>87.0</v>
      </c>
      <c r="D89" s="11" t="s">
        <v>295</v>
      </c>
      <c r="E89" s="11" t="s">
        <v>296</v>
      </c>
      <c r="F89" s="11" t="s">
        <v>286</v>
      </c>
      <c r="G89" s="10">
        <v>87.0</v>
      </c>
      <c r="H89" s="10">
        <f>VLOOKUP(F89,'Generos y Familia'!$A$1:$C$623,2,FALSE)</f>
        <v>8</v>
      </c>
      <c r="I89" s="12" t="str">
        <f t="shared" si="1"/>
        <v>Annona montana</v>
      </c>
      <c r="J89" s="10" t="str">
        <f t="shared" si="2"/>
        <v>87 Annona montana</v>
      </c>
      <c r="K89" s="10" t="str">
        <f t="shared" si="3"/>
        <v>Guanbana Cimarrona</v>
      </c>
      <c r="L89" s="10" t="str">
        <f t="shared" si="4"/>
        <v>87 Guanbana Cimarrona</v>
      </c>
      <c r="M89" s="10" t="s">
        <v>35</v>
      </c>
      <c r="N89" s="10" t="s">
        <v>36</v>
      </c>
      <c r="O89" s="10" t="s">
        <v>37</v>
      </c>
      <c r="P89" s="10" t="s">
        <v>287</v>
      </c>
      <c r="Q89" s="13">
        <v>15.0</v>
      </c>
      <c r="R89" s="13" t="s">
        <v>53</v>
      </c>
      <c r="S89" s="13"/>
      <c r="T89" s="13"/>
      <c r="U89" s="13"/>
      <c r="V89" s="13"/>
      <c r="W89" s="16"/>
      <c r="X89" s="13"/>
    </row>
    <row r="90" ht="14.25" customHeight="1">
      <c r="A90" s="10" t="s">
        <v>30</v>
      </c>
      <c r="B90" s="10" t="s">
        <v>31</v>
      </c>
      <c r="C90" s="10">
        <v>88.0</v>
      </c>
      <c r="D90" s="11" t="s">
        <v>297</v>
      </c>
      <c r="E90" s="11" t="s">
        <v>298</v>
      </c>
      <c r="F90" s="11" t="s">
        <v>286</v>
      </c>
      <c r="G90" s="10">
        <v>88.0</v>
      </c>
      <c r="H90" s="10">
        <f>VLOOKUP(F90,'Generos y Familia'!$A$1:$C$623,2,FALSE)</f>
        <v>8</v>
      </c>
      <c r="I90" s="12" t="str">
        <f t="shared" si="1"/>
        <v>Annona muricata</v>
      </c>
      <c r="J90" s="10" t="str">
        <f t="shared" si="2"/>
        <v>88 Annona muricata</v>
      </c>
      <c r="K90" s="10" t="str">
        <f t="shared" si="3"/>
        <v>Guanábano</v>
      </c>
      <c r="L90" s="10" t="str">
        <f t="shared" si="4"/>
        <v>88 Guanábano</v>
      </c>
      <c r="M90" s="10" t="s">
        <v>35</v>
      </c>
      <c r="N90" s="10" t="s">
        <v>36</v>
      </c>
      <c r="O90" s="10" t="s">
        <v>37</v>
      </c>
      <c r="P90" s="10" t="s">
        <v>287</v>
      </c>
      <c r="Q90" s="17">
        <v>12.0</v>
      </c>
      <c r="R90" s="14" t="s">
        <v>39</v>
      </c>
      <c r="S90" s="17">
        <v>20.0</v>
      </c>
      <c r="T90" s="14" t="s">
        <v>39</v>
      </c>
      <c r="U90" s="14" t="s">
        <v>40</v>
      </c>
      <c r="V90" s="14">
        <v>0.69</v>
      </c>
      <c r="W90" s="17" t="s">
        <v>299</v>
      </c>
      <c r="X90" s="14" t="s">
        <v>190</v>
      </c>
    </row>
    <row r="91" ht="14.25" customHeight="1">
      <c r="A91" s="10" t="s">
        <v>30</v>
      </c>
      <c r="B91" s="10" t="s">
        <v>63</v>
      </c>
      <c r="C91" s="10">
        <v>89.0</v>
      </c>
      <c r="D91" s="11" t="s">
        <v>300</v>
      </c>
      <c r="E91" s="11" t="s">
        <v>301</v>
      </c>
      <c r="F91" s="11" t="s">
        <v>286</v>
      </c>
      <c r="G91" s="10">
        <v>89.0</v>
      </c>
      <c r="H91" s="10">
        <f>VLOOKUP(F91,'Generos y Familia'!$A$1:$C$623,2,FALSE)</f>
        <v>8</v>
      </c>
      <c r="I91" s="12" t="str">
        <f t="shared" si="1"/>
        <v>Annona quinduensis</v>
      </c>
      <c r="J91" s="10" t="str">
        <f t="shared" si="2"/>
        <v>89 Annona quinduensis</v>
      </c>
      <c r="K91" s="10" t="str">
        <f t="shared" si="3"/>
        <v>Anon de Monte</v>
      </c>
      <c r="L91" s="10" t="str">
        <f t="shared" si="4"/>
        <v>89 Anon de Monte</v>
      </c>
      <c r="M91" s="10" t="s">
        <v>35</v>
      </c>
      <c r="N91" s="10" t="s">
        <v>36</v>
      </c>
      <c r="O91" s="10" t="s">
        <v>37</v>
      </c>
      <c r="P91" s="10" t="s">
        <v>287</v>
      </c>
      <c r="Q91" s="13"/>
      <c r="R91" s="13"/>
      <c r="S91" s="13"/>
      <c r="T91" s="13"/>
      <c r="U91" s="13"/>
      <c r="V91" s="13"/>
      <c r="W91" s="13"/>
      <c r="X91" s="13"/>
    </row>
    <row r="92" ht="14.25" customHeight="1">
      <c r="A92" s="10" t="s">
        <v>30</v>
      </c>
      <c r="B92" s="10" t="s">
        <v>31</v>
      </c>
      <c r="C92" s="10">
        <v>90.0</v>
      </c>
      <c r="D92" s="11" t="s">
        <v>302</v>
      </c>
      <c r="E92" s="11" t="s">
        <v>303</v>
      </c>
      <c r="F92" s="11" t="s">
        <v>286</v>
      </c>
      <c r="G92" s="10">
        <v>90.0</v>
      </c>
      <c r="H92" s="10">
        <f>VLOOKUP(F92,'Generos y Familia'!$A$1:$C$623,2,FALSE)</f>
        <v>8</v>
      </c>
      <c r="I92" s="12" t="str">
        <f t="shared" si="1"/>
        <v>Annona rensoniana</v>
      </c>
      <c r="J92" s="10" t="str">
        <f t="shared" si="2"/>
        <v>90 Annona rensoniana</v>
      </c>
      <c r="K92" s="10" t="str">
        <f t="shared" si="3"/>
        <v>Anon de Monte; Anon Rolinia; Majagua</v>
      </c>
      <c r="L92" s="10" t="str">
        <f t="shared" si="4"/>
        <v>90 Anon de Monte; Anon Rolinia; Majagua</v>
      </c>
      <c r="M92" s="10" t="s">
        <v>35</v>
      </c>
      <c r="N92" s="10" t="s">
        <v>36</v>
      </c>
      <c r="O92" s="10" t="s">
        <v>37</v>
      </c>
      <c r="P92" s="10" t="s">
        <v>287</v>
      </c>
      <c r="Q92" s="13">
        <v>15.0</v>
      </c>
      <c r="R92" s="13" t="s">
        <v>53</v>
      </c>
      <c r="S92" s="13"/>
      <c r="T92" s="13"/>
      <c r="U92" s="13"/>
      <c r="V92" s="13"/>
      <c r="W92" s="13"/>
      <c r="X92" s="13"/>
    </row>
    <row r="93" ht="14.25" customHeight="1">
      <c r="A93" s="10" t="s">
        <v>30</v>
      </c>
      <c r="B93" s="10" t="s">
        <v>31</v>
      </c>
      <c r="C93" s="10">
        <v>91.0</v>
      </c>
      <c r="D93" s="11" t="s">
        <v>304</v>
      </c>
      <c r="E93" s="11" t="s">
        <v>305</v>
      </c>
      <c r="F93" s="11" t="s">
        <v>286</v>
      </c>
      <c r="G93" s="10">
        <v>91.0</v>
      </c>
      <c r="H93" s="10">
        <f>VLOOKUP(F93,'Generos y Familia'!$A$1:$C$623,2,FALSE)</f>
        <v>8</v>
      </c>
      <c r="I93" s="12" t="str">
        <f t="shared" si="1"/>
        <v>Annona reticulata</v>
      </c>
      <c r="J93" s="10" t="str">
        <f t="shared" si="2"/>
        <v>91 Annona reticulata</v>
      </c>
      <c r="K93" s="10" t="str">
        <f t="shared" si="3"/>
        <v>Chirimolla</v>
      </c>
      <c r="L93" s="10" t="str">
        <f t="shared" si="4"/>
        <v>91 Chirimolla</v>
      </c>
      <c r="M93" s="10" t="s">
        <v>35</v>
      </c>
      <c r="N93" s="10" t="s">
        <v>36</v>
      </c>
      <c r="O93" s="10" t="s">
        <v>37</v>
      </c>
      <c r="P93" s="10" t="s">
        <v>287</v>
      </c>
      <c r="Q93" s="13">
        <v>6.0</v>
      </c>
      <c r="R93" s="13" t="s">
        <v>53</v>
      </c>
      <c r="S93" s="13"/>
      <c r="T93" s="13"/>
      <c r="U93" s="13" t="s">
        <v>40</v>
      </c>
      <c r="V93" s="13"/>
      <c r="W93" s="13"/>
      <c r="X93" s="13"/>
    </row>
    <row r="94" ht="14.25" customHeight="1">
      <c r="A94" s="10" t="s">
        <v>30</v>
      </c>
      <c r="B94" s="10" t="s">
        <v>63</v>
      </c>
      <c r="C94" s="10">
        <v>93.0</v>
      </c>
      <c r="D94" s="11" t="s">
        <v>306</v>
      </c>
      <c r="E94" s="11" t="s">
        <v>307</v>
      </c>
      <c r="F94" s="11" t="s">
        <v>286</v>
      </c>
      <c r="G94" s="10">
        <v>93.0</v>
      </c>
      <c r="H94" s="10">
        <f>VLOOKUP(F94,'Generos y Familia'!$A$1:$C$623,2,FALSE)</f>
        <v>8</v>
      </c>
      <c r="I94" s="12" t="str">
        <f t="shared" si="1"/>
        <v>Annona squamosa</v>
      </c>
      <c r="J94" s="10" t="str">
        <f t="shared" si="2"/>
        <v>93 Annona squamosa</v>
      </c>
      <c r="K94" s="10" t="str">
        <f t="shared" si="3"/>
        <v>Anon</v>
      </c>
      <c r="L94" s="10" t="str">
        <f t="shared" si="4"/>
        <v>93 Anon</v>
      </c>
      <c r="M94" s="10" t="s">
        <v>35</v>
      </c>
      <c r="N94" s="10" t="s">
        <v>36</v>
      </c>
      <c r="O94" s="10" t="s">
        <v>37</v>
      </c>
      <c r="P94" s="10" t="s">
        <v>287</v>
      </c>
      <c r="Q94" s="13">
        <v>6.0</v>
      </c>
      <c r="R94" s="13" t="s">
        <v>53</v>
      </c>
      <c r="S94" s="13"/>
      <c r="T94" s="13"/>
      <c r="U94" s="13" t="s">
        <v>40</v>
      </c>
      <c r="V94" s="13"/>
      <c r="W94" s="13"/>
      <c r="X94" s="13"/>
    </row>
    <row r="95" ht="14.25" customHeight="1">
      <c r="A95" s="10" t="s">
        <v>30</v>
      </c>
      <c r="B95" s="10" t="s">
        <v>31</v>
      </c>
      <c r="C95" s="10">
        <v>94.0</v>
      </c>
      <c r="D95" s="11" t="s">
        <v>308</v>
      </c>
      <c r="E95" s="11" t="s">
        <v>309</v>
      </c>
      <c r="F95" s="11" t="s">
        <v>310</v>
      </c>
      <c r="G95" s="10">
        <v>94.0</v>
      </c>
      <c r="H95" s="10">
        <f>VLOOKUP(F95,'Generos y Familia'!$A$1:$C$623,2,FALSE)</f>
        <v>79</v>
      </c>
      <c r="I95" s="12" t="str">
        <f t="shared" si="1"/>
        <v>Neolamarckia cadamba</v>
      </c>
      <c r="J95" s="10" t="str">
        <f t="shared" si="2"/>
        <v>94 Neolamarckia cadamba</v>
      </c>
      <c r="K95" s="10" t="str">
        <f t="shared" si="3"/>
        <v>Laran; Cadamba</v>
      </c>
      <c r="L95" s="10" t="str">
        <f t="shared" si="4"/>
        <v>94 Laran; Cadamba</v>
      </c>
      <c r="M95" s="10" t="s">
        <v>46</v>
      </c>
      <c r="N95" s="10" t="s">
        <v>28</v>
      </c>
      <c r="O95" s="10" t="s">
        <v>37</v>
      </c>
      <c r="P95" s="10" t="s">
        <v>311</v>
      </c>
      <c r="Q95" s="13"/>
      <c r="R95" s="13"/>
      <c r="S95" s="13"/>
      <c r="T95" s="13"/>
      <c r="U95" s="13"/>
      <c r="V95" s="13"/>
      <c r="W95" s="13"/>
      <c r="X95" s="13"/>
    </row>
    <row r="96" ht="14.25" customHeight="1">
      <c r="A96" s="10" t="s">
        <v>30</v>
      </c>
      <c r="B96" s="10" t="s">
        <v>31</v>
      </c>
      <c r="C96" s="10">
        <v>95.0</v>
      </c>
      <c r="D96" s="11" t="s">
        <v>312</v>
      </c>
      <c r="E96" s="11" t="s">
        <v>313</v>
      </c>
      <c r="F96" s="11" t="s">
        <v>45</v>
      </c>
      <c r="G96" s="10">
        <v>95.0</v>
      </c>
      <c r="H96" s="10">
        <f>VLOOKUP(F96,'Generos y Familia'!$A$1:$C$623,2,FALSE)</f>
        <v>40</v>
      </c>
      <c r="I96" s="12" t="str">
        <f t="shared" si="1"/>
        <v>Apeiba glabra</v>
      </c>
      <c r="J96" s="10" t="str">
        <f t="shared" si="2"/>
        <v>95 Apeiba glabra</v>
      </c>
      <c r="K96" s="10" t="str">
        <f t="shared" si="3"/>
        <v>Peine de Mono</v>
      </c>
      <c r="L96" s="10" t="str">
        <f t="shared" si="4"/>
        <v>95 Peine de Mono</v>
      </c>
      <c r="M96" s="10" t="s">
        <v>35</v>
      </c>
      <c r="N96" s="10" t="s">
        <v>36</v>
      </c>
      <c r="O96" s="10" t="s">
        <v>37</v>
      </c>
      <c r="P96" s="10" t="s">
        <v>314</v>
      </c>
      <c r="Q96" s="13">
        <v>35.0</v>
      </c>
      <c r="R96" s="13" t="s">
        <v>39</v>
      </c>
      <c r="S96" s="13">
        <v>80.0</v>
      </c>
      <c r="T96" s="13" t="s">
        <v>39</v>
      </c>
      <c r="U96" s="13" t="s">
        <v>55</v>
      </c>
      <c r="V96" s="13">
        <v>0.4</v>
      </c>
      <c r="W96" s="13"/>
      <c r="X96" s="13"/>
    </row>
    <row r="97" ht="14.25" customHeight="1">
      <c r="A97" s="10" t="s">
        <v>30</v>
      </c>
      <c r="B97" s="10" t="s">
        <v>31</v>
      </c>
      <c r="C97" s="10">
        <v>96.0</v>
      </c>
      <c r="D97" s="11" t="s">
        <v>315</v>
      </c>
      <c r="E97" s="11" t="s">
        <v>313</v>
      </c>
      <c r="F97" s="11" t="s">
        <v>45</v>
      </c>
      <c r="G97" s="10">
        <v>96.0</v>
      </c>
      <c r="H97" s="10">
        <f>VLOOKUP(F97,'Generos y Familia'!$A$1:$C$623,2,FALSE)</f>
        <v>40</v>
      </c>
      <c r="I97" s="12" t="str">
        <f t="shared" si="1"/>
        <v>Apeiba membranacea</v>
      </c>
      <c r="J97" s="10" t="str">
        <f t="shared" si="2"/>
        <v>96 Apeiba membranacea</v>
      </c>
      <c r="K97" s="10" t="str">
        <f t="shared" si="3"/>
        <v>Peine de Mono</v>
      </c>
      <c r="L97" s="10" t="str">
        <f t="shared" si="4"/>
        <v>96 Peine de Mono</v>
      </c>
      <c r="M97" s="10" t="s">
        <v>35</v>
      </c>
      <c r="N97" s="10" t="s">
        <v>36</v>
      </c>
      <c r="O97" s="10" t="s">
        <v>37</v>
      </c>
      <c r="P97" s="10" t="s">
        <v>314</v>
      </c>
      <c r="Q97" s="13">
        <v>35.0</v>
      </c>
      <c r="R97" s="13" t="s">
        <v>53</v>
      </c>
      <c r="S97" s="13"/>
      <c r="T97" s="13"/>
      <c r="U97" s="13" t="s">
        <v>40</v>
      </c>
      <c r="V97" s="13"/>
      <c r="W97" s="13"/>
      <c r="X97" s="13"/>
    </row>
    <row r="98" ht="14.25" customHeight="1">
      <c r="A98" s="10" t="s">
        <v>30</v>
      </c>
      <c r="B98" s="10" t="s">
        <v>31</v>
      </c>
      <c r="C98" s="10">
        <v>97.0</v>
      </c>
      <c r="D98" s="11" t="s">
        <v>316</v>
      </c>
      <c r="E98" s="11" t="s">
        <v>317</v>
      </c>
      <c r="F98" s="11" t="s">
        <v>45</v>
      </c>
      <c r="G98" s="10">
        <v>97.0</v>
      </c>
      <c r="H98" s="10">
        <f>VLOOKUP(F98,'Generos y Familia'!$A$1:$C$623,2,FALSE)</f>
        <v>40</v>
      </c>
      <c r="I98" s="12" t="str">
        <f t="shared" si="1"/>
        <v>Apeiba tibourbou</v>
      </c>
      <c r="J98" s="10" t="str">
        <f t="shared" si="2"/>
        <v>97 Apeiba tibourbou</v>
      </c>
      <c r="K98" s="10" t="str">
        <f t="shared" si="3"/>
        <v>Peine de Mono (Tibourbou)</v>
      </c>
      <c r="L98" s="10" t="str">
        <f t="shared" si="4"/>
        <v>97 Peine de Mono (Tibourbou)</v>
      </c>
      <c r="M98" s="10" t="s">
        <v>35</v>
      </c>
      <c r="N98" s="10" t="s">
        <v>36</v>
      </c>
      <c r="O98" s="10" t="s">
        <v>37</v>
      </c>
      <c r="P98" s="10" t="s">
        <v>314</v>
      </c>
      <c r="Q98" s="13"/>
      <c r="R98" s="13"/>
      <c r="S98" s="13"/>
      <c r="T98" s="13"/>
      <c r="U98" s="13"/>
      <c r="V98" s="13"/>
      <c r="W98" s="13"/>
      <c r="X98" s="13"/>
    </row>
    <row r="99" ht="14.25" customHeight="1">
      <c r="A99" s="10" t="s">
        <v>30</v>
      </c>
      <c r="B99" s="10" t="s">
        <v>31</v>
      </c>
      <c r="C99" s="10">
        <v>98.0</v>
      </c>
      <c r="D99" s="11" t="s">
        <v>318</v>
      </c>
      <c r="E99" s="11" t="s">
        <v>319</v>
      </c>
      <c r="F99" s="11" t="s">
        <v>320</v>
      </c>
      <c r="G99" s="10">
        <v>98.0</v>
      </c>
      <c r="H99" s="10">
        <f>VLOOKUP(F99,'Generos y Familia'!$A$1:$C$623,2,FALSE)</f>
        <v>1</v>
      </c>
      <c r="I99" s="12" t="str">
        <f t="shared" si="1"/>
        <v>Aphelandra crenata</v>
      </c>
      <c r="J99" s="10" t="str">
        <f t="shared" si="2"/>
        <v>98 Aphelandra crenata</v>
      </c>
      <c r="K99" s="10" t="str">
        <f t="shared" si="3"/>
        <v>Cola de Gallo</v>
      </c>
      <c r="L99" s="10" t="str">
        <f t="shared" si="4"/>
        <v>98 Cola de Gallo</v>
      </c>
      <c r="M99" s="10" t="s">
        <v>35</v>
      </c>
      <c r="N99" s="10" t="s">
        <v>36</v>
      </c>
      <c r="O99" s="10" t="s">
        <v>37</v>
      </c>
      <c r="P99" s="10" t="s">
        <v>321</v>
      </c>
      <c r="Q99" s="13"/>
      <c r="R99" s="13"/>
      <c r="S99" s="13"/>
      <c r="T99" s="13"/>
      <c r="U99" s="13"/>
      <c r="V99" s="13"/>
      <c r="W99" s="16"/>
      <c r="X99" s="13"/>
    </row>
    <row r="100" ht="14.25" customHeight="1">
      <c r="A100" s="10" t="s">
        <v>30</v>
      </c>
      <c r="B100" s="10" t="s">
        <v>31</v>
      </c>
      <c r="C100" s="10">
        <v>99.0</v>
      </c>
      <c r="D100" s="11" t="s">
        <v>322</v>
      </c>
      <c r="E100" s="11" t="s">
        <v>323</v>
      </c>
      <c r="F100" s="11" t="s">
        <v>324</v>
      </c>
      <c r="G100" s="10">
        <v>99.0</v>
      </c>
      <c r="H100" s="10">
        <f>VLOOKUP(F100,'Generos y Familia'!$A$1:$C$623,2,FALSE)</f>
        <v>12</v>
      </c>
      <c r="I100" s="12" t="str">
        <f t="shared" si="1"/>
        <v>Aralia chinensis</v>
      </c>
      <c r="J100" s="10" t="str">
        <f t="shared" si="2"/>
        <v>99 Aralia chinensis</v>
      </c>
      <c r="K100" s="10" t="str">
        <f t="shared" si="3"/>
        <v>Árbol de Angélica China; Dimorphanthus</v>
      </c>
      <c r="L100" s="10" t="str">
        <f t="shared" si="4"/>
        <v>99 Árbol de Angélica China; Dimorphanthus</v>
      </c>
      <c r="M100" s="10" t="s">
        <v>46</v>
      </c>
      <c r="N100" s="10" t="s">
        <v>36</v>
      </c>
      <c r="O100" s="10" t="s">
        <v>37</v>
      </c>
      <c r="P100" s="10" t="s">
        <v>325</v>
      </c>
      <c r="Q100" s="13"/>
      <c r="R100" s="13"/>
      <c r="S100" s="13"/>
      <c r="T100" s="13"/>
      <c r="U100" s="13"/>
      <c r="V100" s="13"/>
      <c r="W100" s="16"/>
      <c r="X100" s="13"/>
    </row>
    <row r="101" ht="14.25" customHeight="1">
      <c r="A101" s="10" t="s">
        <v>30</v>
      </c>
      <c r="B101" s="10" t="s">
        <v>31</v>
      </c>
      <c r="C101" s="10">
        <v>100.0</v>
      </c>
      <c r="D101" s="11" t="s">
        <v>326</v>
      </c>
      <c r="E101" s="11" t="s">
        <v>327</v>
      </c>
      <c r="F101" s="11" t="s">
        <v>328</v>
      </c>
      <c r="G101" s="10">
        <v>100.0</v>
      </c>
      <c r="H101" s="10">
        <f>VLOOKUP(F101,'Generos y Familia'!$A$1:$C$623,2,FALSE)</f>
        <v>13</v>
      </c>
      <c r="I101" s="12" t="str">
        <f t="shared" si="1"/>
        <v>Araucaria angustifolia</v>
      </c>
      <c r="J101" s="10" t="str">
        <f t="shared" si="2"/>
        <v>100 Araucaria angustifolia</v>
      </c>
      <c r="K101" s="10" t="str">
        <f t="shared" si="3"/>
        <v>Araucaria</v>
      </c>
      <c r="L101" s="10" t="str">
        <f t="shared" si="4"/>
        <v>100 Araucaria</v>
      </c>
      <c r="M101" s="10" t="s">
        <v>35</v>
      </c>
      <c r="N101" s="10" t="s">
        <v>36</v>
      </c>
      <c r="O101" s="10" t="s">
        <v>37</v>
      </c>
      <c r="P101" s="10" t="s">
        <v>327</v>
      </c>
      <c r="Q101" s="17" t="s">
        <v>290</v>
      </c>
      <c r="R101" s="14" t="s">
        <v>105</v>
      </c>
      <c r="S101" s="17">
        <v>250.0</v>
      </c>
      <c r="T101" s="14" t="s">
        <v>105</v>
      </c>
      <c r="U101" s="14" t="s">
        <v>40</v>
      </c>
      <c r="V101" s="14">
        <v>0.55</v>
      </c>
      <c r="W101" s="18" t="s">
        <v>329</v>
      </c>
      <c r="X101" s="14"/>
    </row>
    <row r="102" ht="14.25" customHeight="1">
      <c r="A102" s="10" t="s">
        <v>30</v>
      </c>
      <c r="B102" s="10" t="s">
        <v>31</v>
      </c>
      <c r="C102" s="10">
        <v>101.0</v>
      </c>
      <c r="D102" s="11" t="s">
        <v>330</v>
      </c>
      <c r="E102" s="11" t="s">
        <v>327</v>
      </c>
      <c r="F102" s="11" t="s">
        <v>328</v>
      </c>
      <c r="G102" s="10">
        <v>101.0</v>
      </c>
      <c r="H102" s="10">
        <f>VLOOKUP(F102,'Generos y Familia'!$A$1:$C$623,2,FALSE)</f>
        <v>13</v>
      </c>
      <c r="I102" s="12" t="str">
        <f t="shared" si="1"/>
        <v>Araucaria bidwillii</v>
      </c>
      <c r="J102" s="10" t="str">
        <f t="shared" si="2"/>
        <v>101 Araucaria bidwillii</v>
      </c>
      <c r="K102" s="10" t="str">
        <f t="shared" si="3"/>
        <v>Araucaria</v>
      </c>
      <c r="L102" s="10" t="str">
        <f t="shared" si="4"/>
        <v>101 Araucaria</v>
      </c>
      <c r="M102" s="10" t="s">
        <v>46</v>
      </c>
      <c r="N102" s="10" t="s">
        <v>36</v>
      </c>
      <c r="O102" s="10" t="s">
        <v>37</v>
      </c>
      <c r="P102" s="10" t="s">
        <v>327</v>
      </c>
      <c r="Q102" s="17" t="s">
        <v>290</v>
      </c>
      <c r="R102" s="14" t="s">
        <v>105</v>
      </c>
      <c r="S102" s="17">
        <v>200.0</v>
      </c>
      <c r="T102" s="14"/>
      <c r="U102" s="14" t="s">
        <v>40</v>
      </c>
      <c r="V102" s="14">
        <v>0.55</v>
      </c>
      <c r="W102" s="18" t="s">
        <v>331</v>
      </c>
      <c r="X102" s="14" t="s">
        <v>190</v>
      </c>
    </row>
    <row r="103" ht="14.25" customHeight="1">
      <c r="A103" s="10" t="s">
        <v>30</v>
      </c>
      <c r="B103" s="10" t="s">
        <v>31</v>
      </c>
      <c r="C103" s="10">
        <v>102.0</v>
      </c>
      <c r="D103" s="11" t="s">
        <v>332</v>
      </c>
      <c r="E103" s="11" t="s">
        <v>333</v>
      </c>
      <c r="F103" s="11" t="s">
        <v>328</v>
      </c>
      <c r="G103" s="10">
        <v>102.0</v>
      </c>
      <c r="H103" s="10">
        <f>VLOOKUP(F103,'Generos y Familia'!$A$1:$C$623,2,FALSE)</f>
        <v>13</v>
      </c>
      <c r="I103" s="12" t="str">
        <f t="shared" si="1"/>
        <v>Araucaria heterophylla</v>
      </c>
      <c r="J103" s="10" t="str">
        <f t="shared" si="2"/>
        <v>102 Araucaria heterophylla</v>
      </c>
      <c r="K103" s="10" t="str">
        <f t="shared" si="3"/>
        <v>Araucaria; Araucaria Real; Pino de la Isla de Norfolk</v>
      </c>
      <c r="L103" s="10" t="str">
        <f t="shared" si="4"/>
        <v>102 Araucaria; Araucaria Real; Pino de la Isla de Norfolk</v>
      </c>
      <c r="M103" s="10" t="s">
        <v>46</v>
      </c>
      <c r="N103" s="10" t="s">
        <v>36</v>
      </c>
      <c r="O103" s="10" t="s">
        <v>37</v>
      </c>
      <c r="P103" s="10" t="s">
        <v>327</v>
      </c>
      <c r="Q103" s="10"/>
      <c r="R103" s="10"/>
      <c r="S103" s="17">
        <v>100.0</v>
      </c>
      <c r="T103" s="14" t="s">
        <v>39</v>
      </c>
      <c r="U103" s="14" t="s">
        <v>40</v>
      </c>
      <c r="V103" s="14">
        <v>0.44</v>
      </c>
      <c r="W103" s="17" t="s">
        <v>334</v>
      </c>
      <c r="X103" s="14"/>
    </row>
    <row r="104" ht="14.25" customHeight="1">
      <c r="A104" s="10" t="s">
        <v>30</v>
      </c>
      <c r="B104" s="10" t="s">
        <v>31</v>
      </c>
      <c r="C104" s="10">
        <v>103.0</v>
      </c>
      <c r="D104" s="11" t="s">
        <v>335</v>
      </c>
      <c r="E104" s="11" t="s">
        <v>336</v>
      </c>
      <c r="F104" s="11" t="s">
        <v>116</v>
      </c>
      <c r="G104" s="10">
        <v>103.0</v>
      </c>
      <c r="H104" s="10">
        <f>VLOOKUP(F104,'Generos y Familia'!$A$1:$C$623,2,FALSE)</f>
        <v>14</v>
      </c>
      <c r="I104" s="12" t="str">
        <f t="shared" si="1"/>
        <v>Archontophoenix alexandrae</v>
      </c>
      <c r="J104" s="10" t="str">
        <f t="shared" si="2"/>
        <v>103 Archontophoenix alexandrae</v>
      </c>
      <c r="K104" s="10" t="str">
        <f t="shared" si="3"/>
        <v>Palma Alejandra; Reina Alejandra</v>
      </c>
      <c r="L104" s="10" t="str">
        <f t="shared" si="4"/>
        <v>103 Palma Alejandra; Reina Alejandra</v>
      </c>
      <c r="M104" s="10" t="s">
        <v>46</v>
      </c>
      <c r="N104" s="10" t="s">
        <v>36</v>
      </c>
      <c r="O104" s="10" t="s">
        <v>117</v>
      </c>
      <c r="P104" s="10" t="s">
        <v>337</v>
      </c>
      <c r="Q104" s="17" t="s">
        <v>229</v>
      </c>
      <c r="R104" s="14" t="s">
        <v>39</v>
      </c>
      <c r="S104" s="17">
        <v>20.0</v>
      </c>
      <c r="T104" s="14" t="s">
        <v>39</v>
      </c>
      <c r="U104" s="14" t="s">
        <v>55</v>
      </c>
      <c r="V104" s="14"/>
      <c r="W104" s="17" t="s">
        <v>338</v>
      </c>
      <c r="X104" s="14"/>
    </row>
    <row r="105" ht="14.25" customHeight="1">
      <c r="A105" s="10" t="s">
        <v>30</v>
      </c>
      <c r="B105" s="10" t="s">
        <v>31</v>
      </c>
      <c r="C105" s="10">
        <v>104.0</v>
      </c>
      <c r="D105" s="11" t="s">
        <v>339</v>
      </c>
      <c r="E105" s="11" t="s">
        <v>340</v>
      </c>
      <c r="F105" s="11" t="s">
        <v>116</v>
      </c>
      <c r="G105" s="10">
        <v>104.0</v>
      </c>
      <c r="H105" s="10">
        <f>VLOOKUP(F105,'Generos y Familia'!$A$1:$C$623,2,FALSE)</f>
        <v>14</v>
      </c>
      <c r="I105" s="12" t="str">
        <f t="shared" si="1"/>
        <v>Archontophoenix cunninghamiana</v>
      </c>
      <c r="J105" s="10" t="str">
        <f t="shared" si="2"/>
        <v>104 Archontophoenix cunninghamiana</v>
      </c>
      <c r="K105" s="10" t="str">
        <f t="shared" si="3"/>
        <v>Palma Payanesa</v>
      </c>
      <c r="L105" s="10" t="str">
        <f t="shared" si="4"/>
        <v>104 Palma Payanesa</v>
      </c>
      <c r="M105" s="10" t="s">
        <v>46</v>
      </c>
      <c r="N105" s="10" t="s">
        <v>36</v>
      </c>
      <c r="O105" s="10" t="s">
        <v>117</v>
      </c>
      <c r="P105" s="10" t="s">
        <v>337</v>
      </c>
      <c r="Q105" s="17" t="s">
        <v>229</v>
      </c>
      <c r="R105" s="14" t="s">
        <v>39</v>
      </c>
      <c r="S105" s="17">
        <v>20.0</v>
      </c>
      <c r="T105" s="14" t="s">
        <v>39</v>
      </c>
      <c r="U105" s="14" t="s">
        <v>55</v>
      </c>
      <c r="V105" s="14"/>
      <c r="W105" s="17"/>
      <c r="X105" s="14"/>
    </row>
    <row r="106" ht="14.25" customHeight="1">
      <c r="A106" s="10" t="s">
        <v>30</v>
      </c>
      <c r="B106" s="10" t="s">
        <v>31</v>
      </c>
      <c r="C106" s="10">
        <v>105.0</v>
      </c>
      <c r="D106" s="11" t="s">
        <v>341</v>
      </c>
      <c r="E106" s="11" t="s">
        <v>342</v>
      </c>
      <c r="F106" s="11" t="s">
        <v>132</v>
      </c>
      <c r="G106" s="10">
        <v>105.0</v>
      </c>
      <c r="H106" s="10">
        <f>VLOOKUP(F106,'Generos y Familia'!$A$1:$C$623,2,FALSE)</f>
        <v>74</v>
      </c>
      <c r="I106" s="12" t="str">
        <f t="shared" si="1"/>
        <v>Ardisia arborea</v>
      </c>
      <c r="J106" s="10" t="str">
        <f t="shared" si="2"/>
        <v>105 Ardisia arborea</v>
      </c>
      <c r="K106" s="10" t="str">
        <f t="shared" si="3"/>
        <v>Ardisia Arborea</v>
      </c>
      <c r="L106" s="10" t="str">
        <f t="shared" si="4"/>
        <v>105 Ardisia Arborea</v>
      </c>
      <c r="M106" s="10" t="s">
        <v>46</v>
      </c>
      <c r="N106" s="10" t="s">
        <v>28</v>
      </c>
      <c r="O106" s="10" t="s">
        <v>37</v>
      </c>
      <c r="P106" s="10" t="s">
        <v>343</v>
      </c>
      <c r="Q106" s="13"/>
      <c r="R106" s="13"/>
      <c r="S106" s="13"/>
      <c r="T106" s="13"/>
      <c r="U106" s="13"/>
      <c r="V106" s="13"/>
      <c r="W106" s="13"/>
      <c r="X106" s="13"/>
    </row>
    <row r="107" ht="14.25" customHeight="1">
      <c r="A107" s="10" t="s">
        <v>30</v>
      </c>
      <c r="B107" s="10" t="s">
        <v>31</v>
      </c>
      <c r="C107" s="10">
        <v>106.0</v>
      </c>
      <c r="D107" s="11" t="s">
        <v>344</v>
      </c>
      <c r="E107" s="11" t="s">
        <v>343</v>
      </c>
      <c r="F107" s="11" t="s">
        <v>132</v>
      </c>
      <c r="G107" s="10">
        <v>106.0</v>
      </c>
      <c r="H107" s="10">
        <f>VLOOKUP(F107,'Generos y Familia'!$A$1:$C$623,2,FALSE)</f>
        <v>74</v>
      </c>
      <c r="I107" s="12" t="str">
        <f t="shared" si="1"/>
        <v>Ardisia crenata</v>
      </c>
      <c r="J107" s="10" t="str">
        <f t="shared" si="2"/>
        <v>106 Ardisia crenata</v>
      </c>
      <c r="K107" s="10" t="str">
        <f t="shared" si="3"/>
        <v>Ardisia</v>
      </c>
      <c r="L107" s="10" t="str">
        <f t="shared" si="4"/>
        <v>106 Ardisia</v>
      </c>
      <c r="M107" s="10" t="s">
        <v>46</v>
      </c>
      <c r="N107" s="10" t="s">
        <v>36</v>
      </c>
      <c r="O107" s="10" t="s">
        <v>47</v>
      </c>
      <c r="P107" s="10" t="s">
        <v>343</v>
      </c>
      <c r="Q107" s="17" t="s">
        <v>345</v>
      </c>
      <c r="R107" s="14" t="s">
        <v>53</v>
      </c>
      <c r="S107" s="17">
        <v>20.0</v>
      </c>
      <c r="T107" s="14" t="s">
        <v>39</v>
      </c>
      <c r="U107" s="14" t="s">
        <v>40</v>
      </c>
      <c r="V107" s="14">
        <v>0.62</v>
      </c>
      <c r="W107" s="18"/>
      <c r="X107" s="14" t="s">
        <v>190</v>
      </c>
    </row>
    <row r="108" ht="14.25" customHeight="1">
      <c r="A108" s="10" t="s">
        <v>30</v>
      </c>
      <c r="B108" s="10" t="s">
        <v>31</v>
      </c>
      <c r="C108" s="10">
        <v>107.0</v>
      </c>
      <c r="D108" s="11" t="s">
        <v>346</v>
      </c>
      <c r="E108" s="11" t="s">
        <v>343</v>
      </c>
      <c r="F108" s="11" t="s">
        <v>132</v>
      </c>
      <c r="G108" s="10">
        <v>107.0</v>
      </c>
      <c r="H108" s="10">
        <f>VLOOKUP(F108,'Generos y Familia'!$A$1:$C$623,2,FALSE)</f>
        <v>74</v>
      </c>
      <c r="I108" s="12" t="str">
        <f t="shared" si="1"/>
        <v>Ardisia elliptica</v>
      </c>
      <c r="J108" s="10" t="str">
        <f t="shared" si="2"/>
        <v>107 Ardisia elliptica</v>
      </c>
      <c r="K108" s="10" t="str">
        <f t="shared" si="3"/>
        <v>Ardisia</v>
      </c>
      <c r="L108" s="10" t="str">
        <f t="shared" si="4"/>
        <v>107 Ardisia</v>
      </c>
      <c r="M108" s="10" t="s">
        <v>46</v>
      </c>
      <c r="N108" s="10" t="s">
        <v>36</v>
      </c>
      <c r="O108" s="10" t="s">
        <v>47</v>
      </c>
      <c r="P108" s="10" t="s">
        <v>343</v>
      </c>
      <c r="Q108" s="17" t="s">
        <v>347</v>
      </c>
      <c r="R108" s="14" t="s">
        <v>53</v>
      </c>
      <c r="S108" s="17">
        <v>20.0</v>
      </c>
      <c r="T108" s="14" t="s">
        <v>39</v>
      </c>
      <c r="U108" s="14" t="s">
        <v>55</v>
      </c>
      <c r="V108" s="14">
        <v>0.62</v>
      </c>
      <c r="W108" s="17"/>
      <c r="X108" s="14" t="s">
        <v>190</v>
      </c>
    </row>
    <row r="109" ht="14.25" customHeight="1">
      <c r="A109" s="10" t="s">
        <v>30</v>
      </c>
      <c r="B109" s="10" t="s">
        <v>31</v>
      </c>
      <c r="C109" s="10">
        <v>108.0</v>
      </c>
      <c r="D109" s="11" t="s">
        <v>348</v>
      </c>
      <c r="E109" s="11" t="s">
        <v>349</v>
      </c>
      <c r="F109" s="11" t="s">
        <v>132</v>
      </c>
      <c r="G109" s="10">
        <v>108.0</v>
      </c>
      <c r="H109" s="10">
        <f>VLOOKUP(F109,'Generos y Familia'!$A$1:$C$623,2,FALSE)</f>
        <v>74</v>
      </c>
      <c r="I109" s="12" t="str">
        <f t="shared" si="1"/>
        <v>Ardisia guianensis</v>
      </c>
      <c r="J109" s="10" t="str">
        <f t="shared" si="2"/>
        <v>108 Ardisia guianensis</v>
      </c>
      <c r="K109" s="10" t="str">
        <f t="shared" si="3"/>
        <v>Ardisia Rio Claro; Ajicito de Diablo; Fresco; Mote</v>
      </c>
      <c r="L109" s="10" t="str">
        <f t="shared" si="4"/>
        <v>108 Ardisia Rio Claro; Ajicito de Diablo; Fresco; Mote</v>
      </c>
      <c r="M109" s="10" t="s">
        <v>46</v>
      </c>
      <c r="N109" s="10" t="s">
        <v>36</v>
      </c>
      <c r="O109" s="10" t="s">
        <v>47</v>
      </c>
      <c r="P109" s="10" t="s">
        <v>343</v>
      </c>
      <c r="Q109" s="13"/>
      <c r="R109" s="13"/>
      <c r="S109" s="13"/>
      <c r="T109" s="13"/>
      <c r="U109" s="13"/>
      <c r="V109" s="13"/>
      <c r="W109" s="13"/>
      <c r="X109" s="13"/>
    </row>
    <row r="110" ht="14.25" customHeight="1">
      <c r="A110" s="10" t="s">
        <v>30</v>
      </c>
      <c r="B110" s="10" t="s">
        <v>31</v>
      </c>
      <c r="C110" s="10">
        <v>109.0</v>
      </c>
      <c r="D110" s="11" t="s">
        <v>350</v>
      </c>
      <c r="E110" s="11" t="s">
        <v>351</v>
      </c>
      <c r="F110" s="11" t="s">
        <v>116</v>
      </c>
      <c r="G110" s="10">
        <v>109.0</v>
      </c>
      <c r="H110" s="10">
        <f>VLOOKUP(F110,'Generos y Familia'!$A$1:$C$623,2,FALSE)</f>
        <v>14</v>
      </c>
      <c r="I110" s="12" t="str">
        <f t="shared" si="1"/>
        <v>Areca catechu</v>
      </c>
      <c r="J110" s="10" t="str">
        <f t="shared" si="2"/>
        <v>109 Areca catechu</v>
      </c>
      <c r="K110" s="10" t="str">
        <f t="shared" si="3"/>
        <v>Palma de Betel; Nuez de Betel</v>
      </c>
      <c r="L110" s="10" t="str">
        <f t="shared" si="4"/>
        <v>109 Palma de Betel; Nuez de Betel</v>
      </c>
      <c r="M110" s="10" t="s">
        <v>46</v>
      </c>
      <c r="N110" s="10" t="s">
        <v>36</v>
      </c>
      <c r="O110" s="10" t="s">
        <v>117</v>
      </c>
      <c r="P110" s="10" t="s">
        <v>352</v>
      </c>
      <c r="Q110" s="13">
        <v>20.0</v>
      </c>
      <c r="R110" s="13" t="s">
        <v>39</v>
      </c>
      <c r="S110" s="13">
        <v>20.0</v>
      </c>
      <c r="T110" s="13" t="s">
        <v>39</v>
      </c>
      <c r="U110" s="13" t="s">
        <v>40</v>
      </c>
      <c r="V110" s="13"/>
      <c r="W110" s="13"/>
      <c r="X110" s="13"/>
    </row>
    <row r="111" ht="14.25" customHeight="1">
      <c r="A111" s="10" t="s">
        <v>30</v>
      </c>
      <c r="B111" s="10" t="s">
        <v>31</v>
      </c>
      <c r="C111" s="10">
        <v>110.0</v>
      </c>
      <c r="D111" s="11" t="s">
        <v>353</v>
      </c>
      <c r="E111" s="11" t="s">
        <v>354</v>
      </c>
      <c r="F111" s="11" t="s">
        <v>116</v>
      </c>
      <c r="G111" s="10">
        <v>110.0</v>
      </c>
      <c r="H111" s="10">
        <f>VLOOKUP(F111,'Generos y Familia'!$A$1:$C$623,2,FALSE)</f>
        <v>14</v>
      </c>
      <c r="I111" s="12" t="str">
        <f t="shared" si="1"/>
        <v>Areca sp</v>
      </c>
      <c r="J111" s="10" t="str">
        <f t="shared" si="2"/>
        <v>110 Areca sp</v>
      </c>
      <c r="K111" s="10" t="str">
        <f t="shared" si="3"/>
        <v>Palmera Bambú</v>
      </c>
      <c r="L111" s="10" t="str">
        <f t="shared" si="4"/>
        <v>110 Palmera Bambú</v>
      </c>
      <c r="M111" s="10" t="s">
        <v>46</v>
      </c>
      <c r="N111" s="10" t="s">
        <v>36</v>
      </c>
      <c r="O111" s="10" t="s">
        <v>117</v>
      </c>
      <c r="P111" s="10" t="s">
        <v>352</v>
      </c>
      <c r="Q111" s="13"/>
      <c r="R111" s="13"/>
      <c r="S111" s="13"/>
      <c r="T111" s="13"/>
      <c r="U111" s="13"/>
      <c r="V111" s="13"/>
      <c r="W111" s="13"/>
      <c r="X111" s="13"/>
    </row>
    <row r="112" ht="14.25" customHeight="1">
      <c r="A112" s="10" t="s">
        <v>30</v>
      </c>
      <c r="B112" s="10" t="s">
        <v>31</v>
      </c>
      <c r="C112" s="10">
        <v>111.0</v>
      </c>
      <c r="D112" s="11" t="s">
        <v>355</v>
      </c>
      <c r="E112" s="11" t="s">
        <v>356</v>
      </c>
      <c r="F112" s="11" t="s">
        <v>116</v>
      </c>
      <c r="G112" s="10">
        <v>111.0</v>
      </c>
      <c r="H112" s="10">
        <f>VLOOKUP(F112,'Generos y Familia'!$A$1:$C$623,2,FALSE)</f>
        <v>14</v>
      </c>
      <c r="I112" s="12" t="str">
        <f t="shared" si="1"/>
        <v>Areca triandra</v>
      </c>
      <c r="J112" s="10" t="str">
        <f t="shared" si="2"/>
        <v>111 Areca triandra</v>
      </c>
      <c r="K112" s="10" t="str">
        <f t="shared" si="3"/>
        <v>Palma Bambu</v>
      </c>
      <c r="L112" s="10" t="str">
        <f t="shared" si="4"/>
        <v>111 Palma Bambu</v>
      </c>
      <c r="M112" s="10" t="s">
        <v>46</v>
      </c>
      <c r="N112" s="10" t="s">
        <v>36</v>
      </c>
      <c r="O112" s="10" t="s">
        <v>117</v>
      </c>
      <c r="P112" s="10" t="s">
        <v>352</v>
      </c>
      <c r="Q112" s="13">
        <v>6.0</v>
      </c>
      <c r="R112" s="13" t="s">
        <v>39</v>
      </c>
      <c r="S112" s="13">
        <v>5.0</v>
      </c>
      <c r="T112" s="13" t="s">
        <v>39</v>
      </c>
      <c r="U112" s="13" t="s">
        <v>40</v>
      </c>
      <c r="V112" s="13"/>
      <c r="W112" s="16"/>
      <c r="X112" s="13"/>
    </row>
    <row r="113" ht="14.25" customHeight="1">
      <c r="A113" s="10" t="s">
        <v>30</v>
      </c>
      <c r="B113" s="10" t="s">
        <v>63</v>
      </c>
      <c r="C113" s="10">
        <v>112.0</v>
      </c>
      <c r="D113" s="11" t="s">
        <v>357</v>
      </c>
      <c r="E113" s="11" t="s">
        <v>358</v>
      </c>
      <c r="F113" s="11" t="s">
        <v>116</v>
      </c>
      <c r="G113" s="10">
        <v>112.0</v>
      </c>
      <c r="H113" s="10">
        <f>VLOOKUP(F113,'Generos y Familia'!$A$1:$C$623,2,FALSE)</f>
        <v>14</v>
      </c>
      <c r="I113" s="12" t="str">
        <f t="shared" si="1"/>
        <v>Arenga engleri</v>
      </c>
      <c r="J113" s="10" t="str">
        <f t="shared" si="2"/>
        <v>112 Arenga engleri</v>
      </c>
      <c r="K113" s="10" t="str">
        <f t="shared" si="3"/>
        <v>Palma Arenga</v>
      </c>
      <c r="L113" s="10" t="str">
        <f t="shared" si="4"/>
        <v>112 Palma Arenga</v>
      </c>
      <c r="M113" s="10" t="s">
        <v>46</v>
      </c>
      <c r="N113" s="10" t="s">
        <v>28</v>
      </c>
      <c r="O113" s="10" t="s">
        <v>117</v>
      </c>
      <c r="P113" s="10" t="s">
        <v>359</v>
      </c>
      <c r="Q113" s="13"/>
      <c r="R113" s="13"/>
      <c r="S113" s="13"/>
      <c r="T113" s="13"/>
      <c r="U113" s="13"/>
      <c r="V113" s="13"/>
      <c r="W113" s="16"/>
      <c r="X113" s="13"/>
    </row>
    <row r="114" ht="14.25" customHeight="1">
      <c r="A114" s="10" t="s">
        <v>30</v>
      </c>
      <c r="B114" s="10" t="s">
        <v>31</v>
      </c>
      <c r="C114" s="10">
        <v>113.0</v>
      </c>
      <c r="D114" s="11" t="s">
        <v>360</v>
      </c>
      <c r="E114" s="11" t="s">
        <v>361</v>
      </c>
      <c r="F114" s="11" t="s">
        <v>362</v>
      </c>
      <c r="G114" s="10">
        <v>113.0</v>
      </c>
      <c r="H114" s="10">
        <f>VLOOKUP(F114,'Generos y Familia'!$A$1:$C$623,2,FALSE)</f>
        <v>17</v>
      </c>
      <c r="I114" s="12" t="str">
        <f t="shared" si="1"/>
        <v>Artemisia arborescens</v>
      </c>
      <c r="J114" s="10" t="str">
        <f t="shared" si="2"/>
        <v>113 Artemisia arborescens</v>
      </c>
      <c r="K114" s="10" t="str">
        <f t="shared" si="3"/>
        <v>Artemisia</v>
      </c>
      <c r="L114" s="10" t="str">
        <f t="shared" si="4"/>
        <v>113 Artemisia</v>
      </c>
      <c r="M114" s="10" t="s">
        <v>46</v>
      </c>
      <c r="N114" s="10" t="s">
        <v>28</v>
      </c>
      <c r="O114" s="10" t="s">
        <v>47</v>
      </c>
      <c r="P114" s="10" t="s">
        <v>361</v>
      </c>
      <c r="Q114" s="13"/>
      <c r="R114" s="13"/>
      <c r="S114" s="13"/>
      <c r="T114" s="13"/>
      <c r="U114" s="13"/>
      <c r="V114" s="13"/>
      <c r="W114" s="13"/>
      <c r="X114" s="13"/>
    </row>
    <row r="115" ht="14.25" customHeight="1">
      <c r="A115" s="10" t="s">
        <v>30</v>
      </c>
      <c r="B115" s="10" t="s">
        <v>31</v>
      </c>
      <c r="C115" s="10">
        <v>114.0</v>
      </c>
      <c r="D115" s="11" t="s">
        <v>363</v>
      </c>
      <c r="E115" s="11" t="s">
        <v>364</v>
      </c>
      <c r="F115" s="11" t="s">
        <v>365</v>
      </c>
      <c r="G115" s="10">
        <v>114.0</v>
      </c>
      <c r="H115" s="10">
        <f>VLOOKUP(F115,'Generos y Familia'!$A$1:$C$623,2,FALSE)</f>
        <v>43</v>
      </c>
      <c r="I115" s="12" t="str">
        <f t="shared" si="1"/>
        <v>Artocarpus altilis</v>
      </c>
      <c r="J115" s="10" t="str">
        <f t="shared" si="2"/>
        <v>114 Artocarpus altilis</v>
      </c>
      <c r="K115" s="10" t="str">
        <f t="shared" si="3"/>
        <v>Árbol del Pan</v>
      </c>
      <c r="L115" s="10" t="str">
        <f t="shared" si="4"/>
        <v>114 Árbol del Pan</v>
      </c>
      <c r="M115" s="10" t="s">
        <v>46</v>
      </c>
      <c r="N115" s="10" t="s">
        <v>36</v>
      </c>
      <c r="O115" s="10" t="s">
        <v>37</v>
      </c>
      <c r="P115" s="10" t="s">
        <v>366</v>
      </c>
      <c r="Q115" s="13">
        <v>20.0</v>
      </c>
      <c r="R115" s="13" t="s">
        <v>39</v>
      </c>
      <c r="S115" s="13">
        <v>50.0</v>
      </c>
      <c r="T115" s="13" t="s">
        <v>39</v>
      </c>
      <c r="U115" s="13" t="s">
        <v>55</v>
      </c>
      <c r="V115" s="13">
        <v>0.43</v>
      </c>
      <c r="W115" s="13"/>
      <c r="X115" s="13"/>
    </row>
    <row r="116" ht="14.25" customHeight="1">
      <c r="A116" s="10" t="s">
        <v>30</v>
      </c>
      <c r="B116" s="10" t="s">
        <v>31</v>
      </c>
      <c r="C116" s="10">
        <v>115.0</v>
      </c>
      <c r="D116" s="11" t="s">
        <v>367</v>
      </c>
      <c r="E116" s="11" t="s">
        <v>368</v>
      </c>
      <c r="F116" s="11" t="s">
        <v>365</v>
      </c>
      <c r="G116" s="10">
        <v>115.0</v>
      </c>
      <c r="H116" s="10">
        <f>VLOOKUP(F116,'Generos y Familia'!$A$1:$C$623,2,FALSE)</f>
        <v>43</v>
      </c>
      <c r="I116" s="12" t="str">
        <f t="shared" si="1"/>
        <v>Artocarpus heterophyllus</v>
      </c>
      <c r="J116" s="10" t="str">
        <f t="shared" si="2"/>
        <v>115 Artocarpus heterophyllus</v>
      </c>
      <c r="K116" s="10" t="str">
        <f t="shared" si="3"/>
        <v>Árbol del Pan; Jaca</v>
      </c>
      <c r="L116" s="10" t="str">
        <f t="shared" si="4"/>
        <v>115 Árbol del Pan; Jaca</v>
      </c>
      <c r="M116" s="10" t="s">
        <v>46</v>
      </c>
      <c r="N116" s="10" t="s">
        <v>36</v>
      </c>
      <c r="O116" s="10" t="s">
        <v>37</v>
      </c>
      <c r="P116" s="10" t="s">
        <v>366</v>
      </c>
      <c r="Q116" s="17" t="s">
        <v>145</v>
      </c>
      <c r="R116" s="14" t="s">
        <v>39</v>
      </c>
      <c r="S116" s="17">
        <v>50.0</v>
      </c>
      <c r="T116" s="14" t="s">
        <v>39</v>
      </c>
      <c r="U116" s="14" t="s">
        <v>40</v>
      </c>
      <c r="V116" s="14">
        <v>0.5</v>
      </c>
      <c r="W116" s="17" t="s">
        <v>369</v>
      </c>
      <c r="X116" s="14"/>
    </row>
    <row r="117" ht="14.25" customHeight="1">
      <c r="A117" s="10" t="s">
        <v>30</v>
      </c>
      <c r="B117" s="10" t="s">
        <v>31</v>
      </c>
      <c r="C117" s="10">
        <v>116.0</v>
      </c>
      <c r="D117" s="11" t="s">
        <v>370</v>
      </c>
      <c r="E117" s="11" t="s">
        <v>371</v>
      </c>
      <c r="F117" s="11" t="s">
        <v>365</v>
      </c>
      <c r="G117" s="10">
        <v>116.0</v>
      </c>
      <c r="H117" s="10">
        <f>VLOOKUP(F117,'Generos y Familia'!$A$1:$C$623,2,FALSE)</f>
        <v>43</v>
      </c>
      <c r="I117" s="12" t="str">
        <f t="shared" si="1"/>
        <v>Artocarpus integer</v>
      </c>
      <c r="J117" s="10" t="str">
        <f t="shared" si="2"/>
        <v>116 Artocarpus integer</v>
      </c>
      <c r="K117" s="10" t="str">
        <f t="shared" si="3"/>
        <v>Arbol del Pan</v>
      </c>
      <c r="L117" s="10" t="str">
        <f t="shared" si="4"/>
        <v>116 Arbol del Pan</v>
      </c>
      <c r="M117" s="10" t="s">
        <v>46</v>
      </c>
      <c r="N117" s="10" t="s">
        <v>36</v>
      </c>
      <c r="O117" s="10" t="s">
        <v>37</v>
      </c>
      <c r="P117" s="10" t="s">
        <v>366</v>
      </c>
      <c r="Q117" s="13">
        <v>15.0</v>
      </c>
      <c r="R117" s="13" t="s">
        <v>53</v>
      </c>
      <c r="S117" s="13"/>
      <c r="T117" s="13"/>
      <c r="U117" s="13" t="s">
        <v>40</v>
      </c>
      <c r="V117" s="13"/>
      <c r="W117" s="13"/>
      <c r="X117" s="13"/>
    </row>
    <row r="118" ht="14.25" customHeight="1">
      <c r="A118" s="10" t="s">
        <v>30</v>
      </c>
      <c r="B118" s="10" t="s">
        <v>31</v>
      </c>
      <c r="C118" s="10">
        <v>117.0</v>
      </c>
      <c r="D118" s="11" t="s">
        <v>372</v>
      </c>
      <c r="E118" s="11" t="s">
        <v>366</v>
      </c>
      <c r="F118" s="11" t="s">
        <v>365</v>
      </c>
      <c r="G118" s="10">
        <v>117.0</v>
      </c>
      <c r="H118" s="10">
        <f>VLOOKUP(F118,'Generos y Familia'!$A$1:$C$623,2,FALSE)</f>
        <v>43</v>
      </c>
      <c r="I118" s="12" t="str">
        <f t="shared" si="1"/>
        <v>Artocarpus lacucha</v>
      </c>
      <c r="J118" s="10" t="str">
        <f t="shared" si="2"/>
        <v>117 Artocarpus lacucha</v>
      </c>
      <c r="K118" s="10" t="str">
        <f t="shared" si="3"/>
        <v>Artocarpus</v>
      </c>
      <c r="L118" s="10" t="str">
        <f t="shared" si="4"/>
        <v>117 Artocarpus</v>
      </c>
      <c r="M118" s="10" t="s">
        <v>46</v>
      </c>
      <c r="N118" s="10" t="s">
        <v>28</v>
      </c>
      <c r="O118" s="10" t="s">
        <v>37</v>
      </c>
      <c r="P118" s="10" t="s">
        <v>366</v>
      </c>
      <c r="Q118" s="13"/>
      <c r="R118" s="13"/>
      <c r="S118" s="13"/>
      <c r="T118" s="13"/>
      <c r="U118" s="13"/>
      <c r="V118" s="13"/>
      <c r="W118" s="13"/>
      <c r="X118" s="13"/>
    </row>
    <row r="119" ht="14.25" customHeight="1">
      <c r="A119" s="10" t="s">
        <v>30</v>
      </c>
      <c r="B119" s="10" t="s">
        <v>31</v>
      </c>
      <c r="C119" s="10">
        <v>118.0</v>
      </c>
      <c r="D119" s="11" t="s">
        <v>373</v>
      </c>
      <c r="E119" s="11" t="s">
        <v>374</v>
      </c>
      <c r="F119" s="11" t="s">
        <v>206</v>
      </c>
      <c r="G119" s="10">
        <v>118.0</v>
      </c>
      <c r="H119" s="10">
        <f>VLOOKUP(F119,'Generos y Familia'!$A$1:$C$623,2,FALSE)</f>
        <v>9</v>
      </c>
      <c r="I119" s="12" t="str">
        <f t="shared" si="1"/>
        <v>Asclepias curassavica</v>
      </c>
      <c r="J119" s="10" t="str">
        <f t="shared" si="2"/>
        <v>118 Asclepias curassavica</v>
      </c>
      <c r="K119" s="10" t="str">
        <f t="shared" si="3"/>
        <v>Rejalgar; Bencenuco; Niñomuerto; Mataganado</v>
      </c>
      <c r="L119" s="10" t="str">
        <f t="shared" si="4"/>
        <v>118 Rejalgar; Bencenuco; Niñomuerto; Mataganado</v>
      </c>
      <c r="M119" s="10" t="s">
        <v>35</v>
      </c>
      <c r="N119" s="10" t="s">
        <v>36</v>
      </c>
      <c r="O119" s="10" t="s">
        <v>47</v>
      </c>
      <c r="P119" s="10" t="s">
        <v>375</v>
      </c>
      <c r="Q119" s="13"/>
      <c r="R119" s="13"/>
      <c r="S119" s="13"/>
      <c r="T119" s="13"/>
      <c r="U119" s="13"/>
      <c r="V119" s="13"/>
      <c r="W119" s="13"/>
      <c r="X119" s="13"/>
    </row>
    <row r="120" ht="14.25" customHeight="1">
      <c r="A120" s="10" t="s">
        <v>30</v>
      </c>
      <c r="B120" s="10" t="s">
        <v>31</v>
      </c>
      <c r="C120" s="10">
        <v>119.0</v>
      </c>
      <c r="D120" s="11" t="s">
        <v>376</v>
      </c>
      <c r="E120" s="11" t="s">
        <v>377</v>
      </c>
      <c r="F120" s="11" t="s">
        <v>148</v>
      </c>
      <c r="G120" s="10">
        <v>119.0</v>
      </c>
      <c r="H120" s="10">
        <f>VLOOKUP(F120,'Generos y Familia'!$A$1:$C$623,2,FALSE)</f>
        <v>15</v>
      </c>
      <c r="I120" s="12" t="str">
        <f t="shared" si="1"/>
        <v>Asparagus sp</v>
      </c>
      <c r="J120" s="10" t="str">
        <f t="shared" si="2"/>
        <v>119 Asparagus sp</v>
      </c>
      <c r="K120" s="10" t="str">
        <f t="shared" si="3"/>
        <v>Esparraguera</v>
      </c>
      <c r="L120" s="10" t="str">
        <f t="shared" si="4"/>
        <v>119 Esparraguera</v>
      </c>
      <c r="M120" s="10" t="s">
        <v>46</v>
      </c>
      <c r="N120" s="10" t="s">
        <v>28</v>
      </c>
      <c r="O120" s="10" t="s">
        <v>47</v>
      </c>
      <c r="P120" s="10" t="s">
        <v>378</v>
      </c>
      <c r="Q120" s="17" t="s">
        <v>153</v>
      </c>
      <c r="R120" s="14"/>
      <c r="S120" s="17" t="s">
        <v>379</v>
      </c>
      <c r="T120" s="14"/>
      <c r="U120" s="14" t="s">
        <v>40</v>
      </c>
      <c r="V120" s="14"/>
      <c r="W120" s="17"/>
      <c r="X120" s="14" t="s">
        <v>41</v>
      </c>
    </row>
    <row r="121" ht="14.25" customHeight="1">
      <c r="A121" s="10" t="s">
        <v>30</v>
      </c>
      <c r="B121" s="10" t="s">
        <v>31</v>
      </c>
      <c r="C121" s="10">
        <v>120.0</v>
      </c>
      <c r="D121" s="11" t="s">
        <v>380</v>
      </c>
      <c r="E121" s="11" t="s">
        <v>381</v>
      </c>
      <c r="F121" s="11" t="s">
        <v>206</v>
      </c>
      <c r="G121" s="10">
        <v>120.0</v>
      </c>
      <c r="H121" s="10">
        <f>VLOOKUP(F121,'Generos y Familia'!$A$1:$C$623,2,FALSE)</f>
        <v>9</v>
      </c>
      <c r="I121" s="12" t="str">
        <f t="shared" si="1"/>
        <v>Aspidosperma sp</v>
      </c>
      <c r="J121" s="10" t="str">
        <f t="shared" si="2"/>
        <v>120 Aspidosperma sp</v>
      </c>
      <c r="K121" s="10" t="str">
        <f t="shared" si="3"/>
        <v>Carreto</v>
      </c>
      <c r="L121" s="10" t="str">
        <f t="shared" si="4"/>
        <v>120 Carreto</v>
      </c>
      <c r="M121" s="10" t="s">
        <v>35</v>
      </c>
      <c r="N121" s="10" t="s">
        <v>36</v>
      </c>
      <c r="O121" s="10" t="s">
        <v>37</v>
      </c>
      <c r="P121" s="10" t="s">
        <v>382</v>
      </c>
      <c r="Q121" s="13"/>
      <c r="R121" s="13"/>
      <c r="S121" s="13"/>
      <c r="T121" s="13"/>
      <c r="U121" s="13"/>
      <c r="V121" s="13"/>
      <c r="W121" s="13"/>
      <c r="X121" s="13"/>
    </row>
    <row r="122" ht="14.25" customHeight="1">
      <c r="A122" s="10" t="s">
        <v>30</v>
      </c>
      <c r="B122" s="10" t="s">
        <v>31</v>
      </c>
      <c r="C122" s="10">
        <v>121.0</v>
      </c>
      <c r="D122" s="11" t="s">
        <v>383</v>
      </c>
      <c r="E122" s="11" t="s">
        <v>381</v>
      </c>
      <c r="F122" s="11" t="s">
        <v>206</v>
      </c>
      <c r="G122" s="10">
        <v>121.0</v>
      </c>
      <c r="H122" s="10">
        <f>VLOOKUP(F122,'Generos y Familia'!$A$1:$C$623,2,FALSE)</f>
        <v>9</v>
      </c>
      <c r="I122" s="12" t="str">
        <f t="shared" si="1"/>
        <v>Aspidosperma spruceanum</v>
      </c>
      <c r="J122" s="10" t="str">
        <f t="shared" si="2"/>
        <v>121 Aspidosperma spruceanum</v>
      </c>
      <c r="K122" s="10" t="str">
        <f t="shared" si="3"/>
        <v>Carreto</v>
      </c>
      <c r="L122" s="10" t="str">
        <f t="shared" si="4"/>
        <v>121 Carreto</v>
      </c>
      <c r="M122" s="10" t="s">
        <v>35</v>
      </c>
      <c r="N122" s="10" t="s">
        <v>36</v>
      </c>
      <c r="O122" s="10" t="s">
        <v>37</v>
      </c>
      <c r="P122" s="10" t="s">
        <v>382</v>
      </c>
      <c r="Q122" s="13">
        <v>45.0</v>
      </c>
      <c r="R122" s="13" t="s">
        <v>39</v>
      </c>
      <c r="S122" s="13">
        <v>100.0</v>
      </c>
      <c r="T122" s="13" t="s">
        <v>39</v>
      </c>
      <c r="U122" s="13"/>
      <c r="V122" s="13"/>
      <c r="W122" s="13"/>
      <c r="X122" s="13"/>
    </row>
    <row r="123" ht="14.25" customHeight="1">
      <c r="A123" s="10" t="s">
        <v>30</v>
      </c>
      <c r="B123" s="10" t="s">
        <v>31</v>
      </c>
      <c r="C123" s="10">
        <v>122.0</v>
      </c>
      <c r="D123" s="11" t="s">
        <v>384</v>
      </c>
      <c r="E123" s="11" t="s">
        <v>385</v>
      </c>
      <c r="F123" s="11" t="s">
        <v>116</v>
      </c>
      <c r="G123" s="10">
        <v>122.0</v>
      </c>
      <c r="H123" s="10">
        <f>VLOOKUP(F123,'Generos y Familia'!$A$1:$C$623,2,FALSE)</f>
        <v>14</v>
      </c>
      <c r="I123" s="12" t="str">
        <f t="shared" si="1"/>
        <v>Astrocaryum malybo</v>
      </c>
      <c r="J123" s="10" t="str">
        <f t="shared" si="2"/>
        <v>122 Astrocaryum malybo</v>
      </c>
      <c r="K123" s="10" t="str">
        <f t="shared" si="3"/>
        <v>Palma Malibú; Lanceta; Ancharma; Palma Estera; Anchamba</v>
      </c>
      <c r="L123" s="10" t="str">
        <f t="shared" si="4"/>
        <v>122 Palma Malibú; Lanceta; Ancharma; Palma Estera; Anchamba</v>
      </c>
      <c r="M123" s="10" t="s">
        <v>35</v>
      </c>
      <c r="N123" s="10" t="s">
        <v>36</v>
      </c>
      <c r="O123" s="10" t="s">
        <v>117</v>
      </c>
      <c r="P123" s="10" t="s">
        <v>386</v>
      </c>
      <c r="Q123" s="13"/>
      <c r="R123" s="13"/>
      <c r="S123" s="13"/>
      <c r="T123" s="13"/>
      <c r="U123" s="13"/>
      <c r="V123" s="13"/>
      <c r="W123" s="13"/>
      <c r="X123" s="13"/>
    </row>
    <row r="124" ht="14.25" customHeight="1">
      <c r="A124" s="10" t="s">
        <v>30</v>
      </c>
      <c r="B124" s="10" t="s">
        <v>31</v>
      </c>
      <c r="C124" s="10">
        <v>123.0</v>
      </c>
      <c r="D124" s="11" t="s">
        <v>387</v>
      </c>
      <c r="E124" s="11" t="s">
        <v>388</v>
      </c>
      <c r="F124" s="11" t="s">
        <v>258</v>
      </c>
      <c r="G124" s="10">
        <v>123.0</v>
      </c>
      <c r="H124" s="10">
        <f>VLOOKUP(F124,'Generos y Familia'!$A$1:$C$623,2,FALSE)</f>
        <v>7</v>
      </c>
      <c r="I124" s="12" t="str">
        <f t="shared" si="1"/>
        <v>Astronium graveolens</v>
      </c>
      <c r="J124" s="10" t="str">
        <f t="shared" si="2"/>
        <v>123 Astronium graveolens</v>
      </c>
      <c r="K124" s="10" t="str">
        <f t="shared" si="3"/>
        <v>Diomate; Gusanero</v>
      </c>
      <c r="L124" s="10" t="str">
        <f t="shared" si="4"/>
        <v>123 Diomate; Gusanero</v>
      </c>
      <c r="M124" s="10" t="s">
        <v>35</v>
      </c>
      <c r="N124" s="10" t="s">
        <v>36</v>
      </c>
      <c r="O124" s="10" t="s">
        <v>37</v>
      </c>
      <c r="P124" s="10" t="s">
        <v>389</v>
      </c>
      <c r="Q124" s="13">
        <v>34.0</v>
      </c>
      <c r="R124" s="13" t="s">
        <v>39</v>
      </c>
      <c r="S124" s="13">
        <v>80.0</v>
      </c>
      <c r="T124" s="13" t="s">
        <v>39</v>
      </c>
      <c r="U124" s="13" t="s">
        <v>55</v>
      </c>
      <c r="V124" s="13">
        <v>0.85</v>
      </c>
      <c r="W124" s="13"/>
      <c r="X124" s="13"/>
    </row>
    <row r="125" ht="14.25" customHeight="1">
      <c r="A125" s="10" t="s">
        <v>30</v>
      </c>
      <c r="B125" s="10" t="s">
        <v>31</v>
      </c>
      <c r="C125" s="10">
        <v>124.0</v>
      </c>
      <c r="D125" s="11" t="s">
        <v>390</v>
      </c>
      <c r="E125" s="11" t="s">
        <v>391</v>
      </c>
      <c r="F125" s="11" t="s">
        <v>320</v>
      </c>
      <c r="G125" s="10">
        <v>124.0</v>
      </c>
      <c r="H125" s="10">
        <f>VLOOKUP(F125,'Generos y Familia'!$A$1:$C$623,2,FALSE)</f>
        <v>1</v>
      </c>
      <c r="I125" s="12" t="str">
        <f t="shared" si="1"/>
        <v>Asystasia gangetica</v>
      </c>
      <c r="J125" s="10" t="str">
        <f t="shared" si="2"/>
        <v>124 Asystasia gangetica</v>
      </c>
      <c r="K125" s="10" t="str">
        <f t="shared" si="3"/>
        <v>Tortuguita; Nevado</v>
      </c>
      <c r="L125" s="10" t="str">
        <f t="shared" si="4"/>
        <v>124 Tortuguita; Nevado</v>
      </c>
      <c r="M125" s="10" t="s">
        <v>46</v>
      </c>
      <c r="N125" s="10" t="s">
        <v>36</v>
      </c>
      <c r="O125" s="10" t="s">
        <v>392</v>
      </c>
      <c r="P125" s="10" t="s">
        <v>393</v>
      </c>
      <c r="Q125" s="13"/>
      <c r="R125" s="13"/>
      <c r="S125" s="13"/>
      <c r="T125" s="13"/>
      <c r="U125" s="13"/>
      <c r="V125" s="13"/>
      <c r="W125" s="13"/>
      <c r="X125" s="13"/>
    </row>
    <row r="126" ht="14.25" customHeight="1">
      <c r="A126" s="10" t="s">
        <v>30</v>
      </c>
      <c r="B126" s="10" t="s">
        <v>31</v>
      </c>
      <c r="C126" s="10">
        <v>125.0</v>
      </c>
      <c r="D126" s="11" t="s">
        <v>394</v>
      </c>
      <c r="E126" s="11" t="s">
        <v>395</v>
      </c>
      <c r="F126" s="11" t="s">
        <v>116</v>
      </c>
      <c r="G126" s="10">
        <v>125.0</v>
      </c>
      <c r="H126" s="10">
        <f>VLOOKUP(F126,'Generos y Familia'!$A$1:$C$623,2,FALSE)</f>
        <v>14</v>
      </c>
      <c r="I126" s="12" t="str">
        <f t="shared" si="1"/>
        <v>Attalea amygdalina</v>
      </c>
      <c r="J126" s="10" t="str">
        <f t="shared" si="2"/>
        <v>125 Attalea amygdalina</v>
      </c>
      <c r="K126" s="10" t="str">
        <f t="shared" si="3"/>
        <v>Palma Táparo; Palma Almendrón; Almendrón</v>
      </c>
      <c r="L126" s="10" t="str">
        <f t="shared" si="4"/>
        <v>125 Palma Táparo; Palma Almendrón; Almendrón</v>
      </c>
      <c r="M126" s="10" t="s">
        <v>35</v>
      </c>
      <c r="N126" s="10" t="s">
        <v>36</v>
      </c>
      <c r="O126" s="10" t="s">
        <v>117</v>
      </c>
      <c r="P126" s="10" t="s">
        <v>396</v>
      </c>
      <c r="Q126" s="17" t="s">
        <v>379</v>
      </c>
      <c r="R126" s="14" t="s">
        <v>39</v>
      </c>
      <c r="S126" s="17">
        <v>25.0</v>
      </c>
      <c r="T126" s="14" t="s">
        <v>39</v>
      </c>
      <c r="U126" s="14" t="s">
        <v>40</v>
      </c>
      <c r="V126" s="14"/>
      <c r="W126" s="17"/>
      <c r="X126" s="14"/>
    </row>
    <row r="127" ht="14.25" customHeight="1">
      <c r="A127" s="10" t="s">
        <v>30</v>
      </c>
      <c r="B127" s="10" t="s">
        <v>31</v>
      </c>
      <c r="C127" s="10">
        <v>126.0</v>
      </c>
      <c r="D127" s="11" t="s">
        <v>397</v>
      </c>
      <c r="E127" s="11" t="s">
        <v>398</v>
      </c>
      <c r="F127" s="11" t="s">
        <v>116</v>
      </c>
      <c r="G127" s="10">
        <v>126.0</v>
      </c>
      <c r="H127" s="10">
        <f>VLOOKUP(F127,'Generos y Familia'!$A$1:$C$623,2,FALSE)</f>
        <v>14</v>
      </c>
      <c r="I127" s="12" t="str">
        <f t="shared" si="1"/>
        <v>Attalea butyracea</v>
      </c>
      <c r="J127" s="10" t="str">
        <f t="shared" si="2"/>
        <v>126 Attalea butyracea</v>
      </c>
      <c r="K127" s="10" t="str">
        <f t="shared" si="3"/>
        <v>Palma de Vino; Palma de Cuesco; Palma Corozo de Puerco</v>
      </c>
      <c r="L127" s="10" t="str">
        <f t="shared" si="4"/>
        <v>126 Palma de Vino; Palma de Cuesco; Palma Corozo de Puerco</v>
      </c>
      <c r="M127" s="10" t="s">
        <v>35</v>
      </c>
      <c r="N127" s="10" t="s">
        <v>36</v>
      </c>
      <c r="O127" s="10" t="s">
        <v>117</v>
      </c>
      <c r="P127" s="10" t="s">
        <v>396</v>
      </c>
      <c r="Q127" s="13">
        <v>20.0</v>
      </c>
      <c r="R127" s="13" t="s">
        <v>39</v>
      </c>
      <c r="S127" s="13">
        <v>75.0</v>
      </c>
      <c r="T127" s="13" t="s">
        <v>39</v>
      </c>
      <c r="U127" s="13" t="s">
        <v>73</v>
      </c>
      <c r="V127" s="13"/>
      <c r="W127" s="13"/>
      <c r="X127" s="13"/>
    </row>
    <row r="128" ht="14.25" customHeight="1">
      <c r="A128" s="10" t="s">
        <v>30</v>
      </c>
      <c r="B128" s="10" t="s">
        <v>31</v>
      </c>
      <c r="C128" s="10">
        <v>127.0</v>
      </c>
      <c r="D128" s="11" t="s">
        <v>399</v>
      </c>
      <c r="E128" s="11" t="s">
        <v>400</v>
      </c>
      <c r="F128" s="11" t="s">
        <v>116</v>
      </c>
      <c r="G128" s="10">
        <v>127.0</v>
      </c>
      <c r="H128" s="10">
        <f>VLOOKUP(F128,'Generos y Familia'!$A$1:$C$623,2,FALSE)</f>
        <v>14</v>
      </c>
      <c r="I128" s="12" t="str">
        <f t="shared" si="1"/>
        <v>Attalea oleifera</v>
      </c>
      <c r="J128" s="10" t="str">
        <f t="shared" si="2"/>
        <v>127 Attalea oleifera</v>
      </c>
      <c r="K128" s="10" t="str">
        <f t="shared" si="3"/>
        <v>Taparo; Pindoba</v>
      </c>
      <c r="L128" s="10" t="str">
        <f t="shared" si="4"/>
        <v>127 Taparo; Pindoba</v>
      </c>
      <c r="M128" s="10" t="s">
        <v>46</v>
      </c>
      <c r="N128" s="10"/>
      <c r="O128" s="10" t="s">
        <v>117</v>
      </c>
      <c r="P128" s="10" t="s">
        <v>396</v>
      </c>
      <c r="Q128" s="13"/>
      <c r="R128" s="13"/>
      <c r="S128" s="13"/>
      <c r="T128" s="13"/>
      <c r="U128" s="13"/>
      <c r="V128" s="13"/>
      <c r="W128" s="13"/>
      <c r="X128" s="13"/>
    </row>
    <row r="129" ht="14.25" customHeight="1">
      <c r="A129" s="10" t="s">
        <v>30</v>
      </c>
      <c r="B129" s="10" t="s">
        <v>31</v>
      </c>
      <c r="C129" s="10">
        <v>128.0</v>
      </c>
      <c r="D129" s="11" t="s">
        <v>401</v>
      </c>
      <c r="E129" s="11" t="s">
        <v>402</v>
      </c>
      <c r="F129" s="11" t="s">
        <v>403</v>
      </c>
      <c r="G129" s="10">
        <v>128.0</v>
      </c>
      <c r="H129" s="10">
        <f>VLOOKUP(F129,'Generos y Familia'!$A$1:$C$623,2,FALSE)</f>
        <v>29</v>
      </c>
      <c r="I129" s="12" t="str">
        <f t="shared" si="1"/>
        <v>Aucuba japonica</v>
      </c>
      <c r="J129" s="10" t="str">
        <f t="shared" si="2"/>
        <v>128 Aucuba japonica</v>
      </c>
      <c r="K129" s="10" t="str">
        <f t="shared" si="3"/>
        <v>Laurel Manchado</v>
      </c>
      <c r="L129" s="10" t="str">
        <f t="shared" si="4"/>
        <v>128 Laurel Manchado</v>
      </c>
      <c r="M129" s="10" t="s">
        <v>46</v>
      </c>
      <c r="N129" s="10" t="s">
        <v>36</v>
      </c>
      <c r="O129" s="10" t="s">
        <v>47</v>
      </c>
      <c r="P129" s="10" t="s">
        <v>404</v>
      </c>
      <c r="Q129" s="13"/>
      <c r="R129" s="13"/>
      <c r="S129" s="13"/>
      <c r="T129" s="13"/>
      <c r="U129" s="13"/>
      <c r="V129" s="13"/>
      <c r="W129" s="13"/>
      <c r="X129" s="13"/>
    </row>
    <row r="130" ht="14.25" customHeight="1">
      <c r="A130" s="10" t="s">
        <v>30</v>
      </c>
      <c r="B130" s="10" t="s">
        <v>31</v>
      </c>
      <c r="C130" s="10">
        <v>129.0</v>
      </c>
      <c r="D130" s="11" t="s">
        <v>405</v>
      </c>
      <c r="E130" s="11" t="s">
        <v>406</v>
      </c>
      <c r="F130" s="11" t="s">
        <v>407</v>
      </c>
      <c r="G130" s="10">
        <v>129.0</v>
      </c>
      <c r="H130" s="10">
        <f>VLOOKUP(F130,'Generos y Familia'!$A$1:$C$623,2,FALSE)</f>
        <v>56</v>
      </c>
      <c r="I130" s="12" t="str">
        <f t="shared" si="1"/>
        <v>Averrhoa carambola</v>
      </c>
      <c r="J130" s="10" t="str">
        <f t="shared" si="2"/>
        <v>129 Averrhoa carambola</v>
      </c>
      <c r="K130" s="10" t="str">
        <f t="shared" si="3"/>
        <v>Carambolo; Tamarindo; Carambola</v>
      </c>
      <c r="L130" s="10" t="str">
        <f t="shared" si="4"/>
        <v>129 Carambolo; Tamarindo; Carambola</v>
      </c>
      <c r="M130" s="10" t="s">
        <v>46</v>
      </c>
      <c r="N130" s="10" t="s">
        <v>36</v>
      </c>
      <c r="O130" s="10" t="s">
        <v>47</v>
      </c>
      <c r="P130" s="10" t="s">
        <v>408</v>
      </c>
      <c r="Q130" s="13">
        <v>6.0</v>
      </c>
      <c r="R130" s="13" t="s">
        <v>39</v>
      </c>
      <c r="S130" s="13">
        <v>20.0</v>
      </c>
      <c r="T130" s="13" t="s">
        <v>39</v>
      </c>
      <c r="U130" s="13" t="s">
        <v>40</v>
      </c>
      <c r="V130" s="13"/>
      <c r="W130" s="13"/>
      <c r="X130" s="13"/>
    </row>
    <row r="131" ht="14.25" customHeight="1">
      <c r="A131" s="10" t="s">
        <v>30</v>
      </c>
      <c r="B131" s="10" t="s">
        <v>31</v>
      </c>
      <c r="C131" s="10">
        <v>130.0</v>
      </c>
      <c r="D131" s="11" t="s">
        <v>409</v>
      </c>
      <c r="E131" s="11" t="s">
        <v>410</v>
      </c>
      <c r="F131" s="11" t="s">
        <v>411</v>
      </c>
      <c r="G131" s="10">
        <v>130.0</v>
      </c>
      <c r="H131" s="10">
        <f>VLOOKUP(F131,'Generos y Familia'!$A$1:$C$623,2,FALSE)</f>
        <v>42</v>
      </c>
      <c r="I131" s="12" t="str">
        <f t="shared" si="1"/>
        <v>Azadirachta indica</v>
      </c>
      <c r="J131" s="10" t="str">
        <f t="shared" si="2"/>
        <v>130 Azadirachta indica</v>
      </c>
      <c r="K131" s="10" t="str">
        <f t="shared" si="3"/>
        <v>Neem; Paraíso de la India</v>
      </c>
      <c r="L131" s="10" t="str">
        <f t="shared" si="4"/>
        <v>130 Neem; Paraíso de la India</v>
      </c>
      <c r="M131" s="10" t="s">
        <v>46</v>
      </c>
      <c r="N131" s="10" t="s">
        <v>36</v>
      </c>
      <c r="O131" s="10" t="s">
        <v>37</v>
      </c>
      <c r="P131" s="10" t="s">
        <v>412</v>
      </c>
      <c r="Q131" s="13">
        <v>15.0</v>
      </c>
      <c r="R131" s="13" t="s">
        <v>39</v>
      </c>
      <c r="S131" s="13">
        <v>30.0</v>
      </c>
      <c r="T131" s="13" t="s">
        <v>39</v>
      </c>
      <c r="U131" s="13" t="s">
        <v>55</v>
      </c>
      <c r="V131" s="13">
        <v>0.64</v>
      </c>
      <c r="W131" s="13"/>
      <c r="X131" s="13"/>
    </row>
    <row r="132" ht="14.25" customHeight="1">
      <c r="A132" s="10" t="s">
        <v>30</v>
      </c>
      <c r="B132" s="10" t="s">
        <v>31</v>
      </c>
      <c r="C132" s="10">
        <v>131.0</v>
      </c>
      <c r="D132" s="11" t="s">
        <v>413</v>
      </c>
      <c r="E132" s="11" t="s">
        <v>414</v>
      </c>
      <c r="F132" s="11" t="s">
        <v>362</v>
      </c>
      <c r="G132" s="10">
        <v>131.0</v>
      </c>
      <c r="H132" s="10">
        <f>VLOOKUP(F132,'Generos y Familia'!$A$1:$C$623,2,FALSE)</f>
        <v>17</v>
      </c>
      <c r="I132" s="12" t="str">
        <f t="shared" si="1"/>
        <v>Baccharis halimifolia</v>
      </c>
      <c r="J132" s="10" t="str">
        <f t="shared" si="2"/>
        <v>131 Baccharis halimifolia</v>
      </c>
      <c r="K132" s="10" t="str">
        <f t="shared" si="3"/>
        <v>Bacaris; Chilca; Carqueja</v>
      </c>
      <c r="L132" s="10" t="str">
        <f t="shared" si="4"/>
        <v>131 Bacaris; Chilca; Carqueja</v>
      </c>
      <c r="M132" s="10" t="s">
        <v>46</v>
      </c>
      <c r="N132" s="10" t="s">
        <v>28</v>
      </c>
      <c r="O132" s="10" t="s">
        <v>47</v>
      </c>
      <c r="P132" s="10" t="s">
        <v>415</v>
      </c>
      <c r="Q132" s="17" t="s">
        <v>416</v>
      </c>
      <c r="R132" s="14" t="s">
        <v>53</v>
      </c>
      <c r="S132" s="17">
        <v>3.0</v>
      </c>
      <c r="T132" s="14" t="s">
        <v>417</v>
      </c>
      <c r="U132" s="14" t="s">
        <v>40</v>
      </c>
      <c r="V132" s="14"/>
      <c r="W132" s="17" t="s">
        <v>418</v>
      </c>
      <c r="X132" s="14"/>
    </row>
    <row r="133" ht="14.25" customHeight="1">
      <c r="A133" s="10" t="s">
        <v>30</v>
      </c>
      <c r="B133" s="10" t="s">
        <v>31</v>
      </c>
      <c r="C133" s="10">
        <v>132.0</v>
      </c>
      <c r="D133" s="11" t="s">
        <v>419</v>
      </c>
      <c r="E133" s="11" t="s">
        <v>420</v>
      </c>
      <c r="F133" s="11" t="s">
        <v>362</v>
      </c>
      <c r="G133" s="10">
        <v>132.0</v>
      </c>
      <c r="H133" s="10">
        <f>VLOOKUP(F133,'Generos y Familia'!$A$1:$C$623,2,FALSE)</f>
        <v>17</v>
      </c>
      <c r="I133" s="12" t="str">
        <f t="shared" si="1"/>
        <v>Baccharis latifolia</v>
      </c>
      <c r="J133" s="10" t="str">
        <f t="shared" si="2"/>
        <v>132 Baccharis latifolia</v>
      </c>
      <c r="K133" s="10" t="str">
        <f t="shared" si="3"/>
        <v>Chilca; Chilco; Chilco Blanco</v>
      </c>
      <c r="L133" s="10" t="str">
        <f t="shared" si="4"/>
        <v>132 Chilca; Chilco; Chilco Blanco</v>
      </c>
      <c r="M133" s="10" t="s">
        <v>35</v>
      </c>
      <c r="N133" s="10" t="s">
        <v>36</v>
      </c>
      <c r="O133" s="10" t="s">
        <v>47</v>
      </c>
      <c r="P133" s="10" t="s">
        <v>415</v>
      </c>
      <c r="Q133" s="17" t="s">
        <v>421</v>
      </c>
      <c r="R133" s="14" t="s">
        <v>53</v>
      </c>
      <c r="S133" s="17">
        <v>3.0</v>
      </c>
      <c r="T133" s="14" t="s">
        <v>417</v>
      </c>
      <c r="U133" s="14" t="s">
        <v>40</v>
      </c>
      <c r="V133" s="14"/>
      <c r="W133" s="18" t="s">
        <v>418</v>
      </c>
      <c r="X133" s="14"/>
    </row>
    <row r="134" ht="14.25" customHeight="1">
      <c r="A134" s="10" t="s">
        <v>30</v>
      </c>
      <c r="B134" s="10" t="s">
        <v>31</v>
      </c>
      <c r="C134" s="10">
        <v>133.0</v>
      </c>
      <c r="D134" s="11" t="s">
        <v>422</v>
      </c>
      <c r="E134" s="11" t="s">
        <v>423</v>
      </c>
      <c r="F134" s="11" t="s">
        <v>362</v>
      </c>
      <c r="G134" s="10">
        <v>133.0</v>
      </c>
      <c r="H134" s="10">
        <f>VLOOKUP(F134,'Generos y Familia'!$A$1:$C$623,2,FALSE)</f>
        <v>17</v>
      </c>
      <c r="I134" s="12" t="str">
        <f t="shared" si="1"/>
        <v>Baccharis macrantha</v>
      </c>
      <c r="J134" s="10" t="str">
        <f t="shared" si="2"/>
        <v>133 Baccharis macrantha</v>
      </c>
      <c r="K134" s="10" t="str">
        <f t="shared" si="3"/>
        <v>Chilo; Cirro; Ciro</v>
      </c>
      <c r="L134" s="10" t="str">
        <f t="shared" si="4"/>
        <v>133 Chilo; Cirro; Ciro</v>
      </c>
      <c r="M134" s="10" t="s">
        <v>35</v>
      </c>
      <c r="N134" s="10" t="s">
        <v>36</v>
      </c>
      <c r="O134" s="10" t="s">
        <v>47</v>
      </c>
      <c r="P134" s="10" t="s">
        <v>415</v>
      </c>
      <c r="Q134" s="13">
        <v>5.0</v>
      </c>
      <c r="R134" s="13" t="s">
        <v>53</v>
      </c>
      <c r="S134" s="13"/>
      <c r="T134" s="13"/>
      <c r="U134" s="13" t="s">
        <v>55</v>
      </c>
      <c r="V134" s="13"/>
      <c r="W134" s="13"/>
      <c r="X134" s="13"/>
    </row>
    <row r="135" ht="14.25" customHeight="1">
      <c r="A135" s="10" t="s">
        <v>30</v>
      </c>
      <c r="B135" s="10" t="s">
        <v>31</v>
      </c>
      <c r="C135" s="10">
        <v>134.0</v>
      </c>
      <c r="D135" s="11" t="s">
        <v>424</v>
      </c>
      <c r="E135" s="11" t="s">
        <v>425</v>
      </c>
      <c r="F135" s="11" t="s">
        <v>116</v>
      </c>
      <c r="G135" s="10">
        <v>134.0</v>
      </c>
      <c r="H135" s="10">
        <f>VLOOKUP(F135,'Generos y Familia'!$A$1:$C$623,2,FALSE)</f>
        <v>14</v>
      </c>
      <c r="I135" s="12" t="str">
        <f t="shared" si="1"/>
        <v>Bactris gasipaes</v>
      </c>
      <c r="J135" s="10" t="str">
        <f t="shared" si="2"/>
        <v>134 Bactris gasipaes</v>
      </c>
      <c r="K135" s="10" t="str">
        <f t="shared" si="3"/>
        <v>Palma Chontaduro</v>
      </c>
      <c r="L135" s="10" t="str">
        <f t="shared" si="4"/>
        <v>134 Palma Chontaduro</v>
      </c>
      <c r="M135" s="10" t="s">
        <v>35</v>
      </c>
      <c r="N135" s="10" t="s">
        <v>36</v>
      </c>
      <c r="O135" s="10" t="s">
        <v>117</v>
      </c>
      <c r="P135" s="10" t="s">
        <v>426</v>
      </c>
      <c r="Q135" s="13">
        <v>15.0</v>
      </c>
      <c r="R135" s="13" t="s">
        <v>39</v>
      </c>
      <c r="S135" s="13">
        <v>20.0</v>
      </c>
      <c r="T135" s="13" t="s">
        <v>39</v>
      </c>
      <c r="U135" s="13" t="s">
        <v>40</v>
      </c>
      <c r="V135" s="13"/>
      <c r="W135" s="13"/>
      <c r="X135" s="13"/>
    </row>
    <row r="136" ht="14.25" customHeight="1">
      <c r="A136" s="10" t="s">
        <v>30</v>
      </c>
      <c r="B136" s="10" t="s">
        <v>31</v>
      </c>
      <c r="C136" s="10">
        <v>135.0</v>
      </c>
      <c r="D136" s="11" t="s">
        <v>427</v>
      </c>
      <c r="E136" s="11" t="s">
        <v>428</v>
      </c>
      <c r="F136" s="11" t="s">
        <v>116</v>
      </c>
      <c r="G136" s="10">
        <v>135.0</v>
      </c>
      <c r="H136" s="10">
        <f>VLOOKUP(F136,'Generos y Familia'!$A$1:$C$623,2,FALSE)</f>
        <v>14</v>
      </c>
      <c r="I136" s="12" t="str">
        <f t="shared" si="1"/>
        <v>Bactris pilosa</v>
      </c>
      <c r="J136" s="10" t="str">
        <f t="shared" si="2"/>
        <v>135 Bactris pilosa</v>
      </c>
      <c r="K136" s="10" t="str">
        <f t="shared" si="3"/>
        <v>Lata Blanca; Chacarrá</v>
      </c>
      <c r="L136" s="10" t="str">
        <f t="shared" si="4"/>
        <v>135 Lata Blanca; Chacarrá</v>
      </c>
      <c r="M136" s="10" t="s">
        <v>35</v>
      </c>
      <c r="N136" s="10" t="s">
        <v>36</v>
      </c>
      <c r="O136" s="10" t="s">
        <v>117</v>
      </c>
      <c r="P136" s="10" t="s">
        <v>426</v>
      </c>
      <c r="Q136" s="13"/>
      <c r="R136" s="13"/>
      <c r="S136" s="13"/>
      <c r="T136" s="13"/>
      <c r="U136" s="13"/>
      <c r="V136" s="13"/>
      <c r="W136" s="16"/>
      <c r="X136" s="13"/>
    </row>
    <row r="137" ht="14.25" customHeight="1">
      <c r="A137" s="10" t="s">
        <v>30</v>
      </c>
      <c r="B137" s="10" t="s">
        <v>31</v>
      </c>
      <c r="C137" s="10">
        <v>136.0</v>
      </c>
      <c r="D137" s="11" t="s">
        <v>429</v>
      </c>
      <c r="E137" s="11" t="s">
        <v>430</v>
      </c>
      <c r="F137" s="11" t="s">
        <v>431</v>
      </c>
      <c r="G137" s="10">
        <v>136.0</v>
      </c>
      <c r="H137" s="10">
        <f>VLOOKUP(F137,'Generos y Familia'!$A$1:$C$623,2,FALSE)</f>
        <v>70</v>
      </c>
      <c r="I137" s="12" t="str">
        <f t="shared" si="1"/>
        <v>Bambusa vulgaris</v>
      </c>
      <c r="J137" s="10" t="str">
        <f t="shared" si="2"/>
        <v>136 Bambusa vulgaris</v>
      </c>
      <c r="K137" s="10" t="str">
        <f t="shared" si="3"/>
        <v>Bambú; Guadua Amarilla</v>
      </c>
      <c r="L137" s="10" t="str">
        <f t="shared" si="4"/>
        <v>136 Bambú; Guadua Amarilla</v>
      </c>
      <c r="M137" s="10" t="s">
        <v>46</v>
      </c>
      <c r="N137" s="10" t="s">
        <v>36</v>
      </c>
      <c r="O137" s="10" t="s">
        <v>432</v>
      </c>
      <c r="P137" s="10" t="s">
        <v>433</v>
      </c>
      <c r="Q137" s="17" t="s">
        <v>229</v>
      </c>
      <c r="R137" s="14" t="s">
        <v>53</v>
      </c>
      <c r="S137" s="17" t="s">
        <v>434</v>
      </c>
      <c r="T137" s="14"/>
      <c r="U137" s="14" t="s">
        <v>55</v>
      </c>
      <c r="V137" s="14"/>
      <c r="W137" s="17" t="s">
        <v>435</v>
      </c>
      <c r="X137" s="14"/>
    </row>
    <row r="138" ht="14.25" customHeight="1">
      <c r="A138" s="10" t="s">
        <v>30</v>
      </c>
      <c r="B138" s="10" t="s">
        <v>63</v>
      </c>
      <c r="C138" s="10">
        <v>137.0</v>
      </c>
      <c r="D138" s="11" t="s">
        <v>436</v>
      </c>
      <c r="E138" s="11" t="s">
        <v>437</v>
      </c>
      <c r="F138" s="11" t="s">
        <v>34</v>
      </c>
      <c r="G138" s="10">
        <v>137.0</v>
      </c>
      <c r="H138" s="10">
        <f>VLOOKUP(F138,'Generos y Familia'!$A$1:$C$623,2,FALSE)</f>
        <v>27</v>
      </c>
      <c r="I138" s="12" t="str">
        <f t="shared" si="1"/>
        <v>Bauhinia forficata</v>
      </c>
      <c r="J138" s="10" t="str">
        <f t="shared" si="2"/>
        <v>137 Bauhinia forficata</v>
      </c>
      <c r="K138" s="10" t="str">
        <f t="shared" si="3"/>
        <v>Casco Buey</v>
      </c>
      <c r="L138" s="10" t="str">
        <f t="shared" si="4"/>
        <v>137 Casco Buey</v>
      </c>
      <c r="M138" s="10" t="s">
        <v>46</v>
      </c>
      <c r="N138" s="10" t="s">
        <v>36</v>
      </c>
      <c r="O138" s="10" t="s">
        <v>37</v>
      </c>
      <c r="P138" s="10" t="s">
        <v>438</v>
      </c>
      <c r="Q138" s="13"/>
      <c r="R138" s="13"/>
      <c r="S138" s="13"/>
      <c r="T138" s="13"/>
      <c r="U138" s="13"/>
      <c r="V138" s="13"/>
      <c r="W138" s="13"/>
      <c r="X138" s="13"/>
    </row>
    <row r="139" ht="14.25" customHeight="1">
      <c r="A139" s="10" t="s">
        <v>30</v>
      </c>
      <c r="B139" s="10" t="s">
        <v>31</v>
      </c>
      <c r="C139" s="10">
        <v>138.0</v>
      </c>
      <c r="D139" s="11" t="s">
        <v>439</v>
      </c>
      <c r="E139" s="11" t="s">
        <v>440</v>
      </c>
      <c r="F139" s="11" t="s">
        <v>34</v>
      </c>
      <c r="G139" s="10">
        <v>138.0</v>
      </c>
      <c r="H139" s="10">
        <f>VLOOKUP(F139,'Generos y Familia'!$A$1:$C$623,2,FALSE)</f>
        <v>27</v>
      </c>
      <c r="I139" s="12" t="str">
        <f t="shared" si="1"/>
        <v>Bauhinia kalbreyeri</v>
      </c>
      <c r="J139" s="10" t="str">
        <f t="shared" si="2"/>
        <v>138 Bauhinia kalbreyeri</v>
      </c>
      <c r="K139" s="10" t="str">
        <f t="shared" si="3"/>
        <v>Casco de Vaca; Pata de Vaca; Pata de Buey; Casco de Buey</v>
      </c>
      <c r="L139" s="10" t="str">
        <f t="shared" si="4"/>
        <v>138 Casco de Vaca; Pata de Vaca; Pata de Buey; Casco de Buey</v>
      </c>
      <c r="M139" s="10" t="s">
        <v>35</v>
      </c>
      <c r="N139" s="10" t="s">
        <v>36</v>
      </c>
      <c r="O139" s="10" t="s">
        <v>37</v>
      </c>
      <c r="P139" s="10" t="s">
        <v>438</v>
      </c>
      <c r="Q139" s="17" t="s">
        <v>441</v>
      </c>
      <c r="R139" s="14" t="s">
        <v>53</v>
      </c>
      <c r="S139" s="17" t="s">
        <v>442</v>
      </c>
      <c r="T139" s="14" t="s">
        <v>39</v>
      </c>
      <c r="U139" s="14" t="s">
        <v>40</v>
      </c>
      <c r="V139" s="14">
        <v>0.65</v>
      </c>
      <c r="W139" s="17" t="s">
        <v>443</v>
      </c>
      <c r="X139" s="14" t="s">
        <v>190</v>
      </c>
    </row>
    <row r="140" ht="14.25" customHeight="1">
      <c r="A140" s="10" t="s">
        <v>30</v>
      </c>
      <c r="B140" s="10" t="s">
        <v>63</v>
      </c>
      <c r="C140" s="10">
        <v>139.0</v>
      </c>
      <c r="D140" s="11" t="s">
        <v>444</v>
      </c>
      <c r="E140" s="11" t="s">
        <v>445</v>
      </c>
      <c r="F140" s="11" t="s">
        <v>34</v>
      </c>
      <c r="G140" s="10">
        <v>139.0</v>
      </c>
      <c r="H140" s="10">
        <f>VLOOKUP(F140,'Generos y Familia'!$A$1:$C$623,2,FALSE)</f>
        <v>27</v>
      </c>
      <c r="I140" s="12" t="str">
        <f t="shared" si="1"/>
        <v>Bauhinia monandra</v>
      </c>
      <c r="J140" s="10" t="str">
        <f t="shared" si="2"/>
        <v>139 Bauhinia monandra</v>
      </c>
      <c r="K140" s="10" t="str">
        <f t="shared" si="3"/>
        <v>Casco Buey; Casco de Vaca</v>
      </c>
      <c r="L140" s="10" t="str">
        <f t="shared" si="4"/>
        <v>139 Casco Buey; Casco de Vaca</v>
      </c>
      <c r="M140" s="10" t="s">
        <v>46</v>
      </c>
      <c r="N140" s="10" t="s">
        <v>36</v>
      </c>
      <c r="O140" s="10" t="s">
        <v>37</v>
      </c>
      <c r="P140" s="10" t="s">
        <v>438</v>
      </c>
      <c r="Q140" s="13"/>
      <c r="R140" s="13"/>
      <c r="S140" s="13"/>
      <c r="T140" s="13"/>
      <c r="U140" s="13"/>
      <c r="V140" s="13"/>
      <c r="W140" s="16"/>
      <c r="X140" s="13"/>
    </row>
    <row r="141" ht="14.25" customHeight="1">
      <c r="A141" s="10" t="s">
        <v>30</v>
      </c>
      <c r="B141" s="10" t="s">
        <v>31</v>
      </c>
      <c r="C141" s="10">
        <v>140.0</v>
      </c>
      <c r="D141" s="11" t="s">
        <v>446</v>
      </c>
      <c r="E141" s="11" t="s">
        <v>447</v>
      </c>
      <c r="F141" s="11" t="s">
        <v>34</v>
      </c>
      <c r="G141" s="10">
        <v>140.0</v>
      </c>
      <c r="H141" s="10">
        <f>VLOOKUP(F141,'Generos y Familia'!$A$1:$C$623,2,FALSE)</f>
        <v>27</v>
      </c>
      <c r="I141" s="12" t="str">
        <f t="shared" si="1"/>
        <v>Bauhinia picta</v>
      </c>
      <c r="J141" s="10" t="str">
        <f t="shared" si="2"/>
        <v>140 Bauhinia picta</v>
      </c>
      <c r="K141" s="10" t="str">
        <f t="shared" si="3"/>
        <v>Casco de Vaca</v>
      </c>
      <c r="L141" s="10" t="str">
        <f t="shared" si="4"/>
        <v>140 Casco de Vaca</v>
      </c>
      <c r="M141" s="10" t="s">
        <v>35</v>
      </c>
      <c r="N141" s="10" t="s">
        <v>36</v>
      </c>
      <c r="O141" s="10" t="s">
        <v>37</v>
      </c>
      <c r="P141" s="10" t="s">
        <v>438</v>
      </c>
      <c r="Q141" s="17" t="s">
        <v>448</v>
      </c>
      <c r="R141" s="14" t="s">
        <v>39</v>
      </c>
      <c r="S141" s="17" t="s">
        <v>442</v>
      </c>
      <c r="T141" s="14" t="s">
        <v>39</v>
      </c>
      <c r="U141" s="14" t="s">
        <v>40</v>
      </c>
      <c r="V141" s="14">
        <v>0.65</v>
      </c>
      <c r="W141" s="18" t="s">
        <v>443</v>
      </c>
      <c r="X141" s="14" t="s">
        <v>190</v>
      </c>
    </row>
    <row r="142" ht="14.25" customHeight="1">
      <c r="A142" s="10" t="s">
        <v>30</v>
      </c>
      <c r="B142" s="10" t="s">
        <v>31</v>
      </c>
      <c r="C142" s="10">
        <v>141.0</v>
      </c>
      <c r="D142" s="11" t="s">
        <v>449</v>
      </c>
      <c r="E142" s="11" t="s">
        <v>450</v>
      </c>
      <c r="F142" s="11" t="s">
        <v>34</v>
      </c>
      <c r="G142" s="10">
        <v>141.0</v>
      </c>
      <c r="H142" s="10">
        <f>VLOOKUP(F142,'Generos y Familia'!$A$1:$C$623,2,FALSE)</f>
        <v>27</v>
      </c>
      <c r="I142" s="12" t="str">
        <f t="shared" si="1"/>
        <v>Bauhinia purpurea</v>
      </c>
      <c r="J142" s="10" t="str">
        <f t="shared" si="2"/>
        <v>141 Bauhinia purpurea</v>
      </c>
      <c r="K142" s="10" t="str">
        <f t="shared" si="3"/>
        <v>Pata de Vaca; Patevaca; Patebuey; Casco de Vaca; Casco de Buey</v>
      </c>
      <c r="L142" s="10" t="str">
        <f t="shared" si="4"/>
        <v>141 Pata de Vaca; Patevaca; Patebuey; Casco de Vaca; Casco de Buey</v>
      </c>
      <c r="M142" s="10" t="s">
        <v>46</v>
      </c>
      <c r="N142" s="10" t="s">
        <v>36</v>
      </c>
      <c r="O142" s="10" t="s">
        <v>37</v>
      </c>
      <c r="P142" s="10" t="s">
        <v>438</v>
      </c>
      <c r="Q142" s="17" t="s">
        <v>451</v>
      </c>
      <c r="R142" s="14" t="s">
        <v>53</v>
      </c>
      <c r="S142" s="17" t="s">
        <v>442</v>
      </c>
      <c r="T142" s="14" t="s">
        <v>53</v>
      </c>
      <c r="U142" s="14" t="s">
        <v>55</v>
      </c>
      <c r="V142" s="14">
        <v>0.65</v>
      </c>
      <c r="W142" s="18" t="s">
        <v>443</v>
      </c>
      <c r="X142" s="14" t="s">
        <v>190</v>
      </c>
    </row>
    <row r="143" ht="14.25" customHeight="1">
      <c r="A143" s="10" t="s">
        <v>30</v>
      </c>
      <c r="B143" s="10" t="s">
        <v>31</v>
      </c>
      <c r="C143" s="10">
        <v>142.0</v>
      </c>
      <c r="D143" s="11" t="s">
        <v>452</v>
      </c>
      <c r="E143" s="11" t="s">
        <v>453</v>
      </c>
      <c r="F143" s="11" t="s">
        <v>34</v>
      </c>
      <c r="G143" s="10">
        <v>142.0</v>
      </c>
      <c r="H143" s="10">
        <f>VLOOKUP(F143,'Generos y Familia'!$A$1:$C$623,2,FALSE)</f>
        <v>27</v>
      </c>
      <c r="I143" s="12" t="str">
        <f t="shared" si="1"/>
        <v>Bauhinia sp</v>
      </c>
      <c r="J143" s="10" t="str">
        <f t="shared" si="2"/>
        <v>142 Bauhinia sp</v>
      </c>
      <c r="K143" s="10" t="str">
        <f t="shared" si="3"/>
        <v>Hernandiacea; Casco de Vaca</v>
      </c>
      <c r="L143" s="10" t="str">
        <f t="shared" si="4"/>
        <v>142 Hernandiacea; Casco de Vaca</v>
      </c>
      <c r="M143" s="10" t="s">
        <v>46</v>
      </c>
      <c r="N143" s="10"/>
      <c r="O143" s="10" t="s">
        <v>37</v>
      </c>
      <c r="P143" s="10" t="s">
        <v>438</v>
      </c>
      <c r="Q143" s="13" t="s">
        <v>454</v>
      </c>
      <c r="R143" s="13" t="s">
        <v>53</v>
      </c>
      <c r="S143" s="13"/>
      <c r="T143" s="13"/>
      <c r="U143" s="13"/>
      <c r="V143" s="13"/>
      <c r="W143" s="13"/>
      <c r="X143" s="14" t="s">
        <v>41</v>
      </c>
    </row>
    <row r="144" ht="14.25" customHeight="1">
      <c r="A144" s="10" t="s">
        <v>30</v>
      </c>
      <c r="B144" s="10" t="s">
        <v>31</v>
      </c>
      <c r="C144" s="10">
        <v>143.0</v>
      </c>
      <c r="D144" s="11" t="s">
        <v>455</v>
      </c>
      <c r="E144" s="11" t="s">
        <v>456</v>
      </c>
      <c r="F144" s="11" t="s">
        <v>34</v>
      </c>
      <c r="G144" s="10">
        <v>143.0</v>
      </c>
      <c r="H144" s="10">
        <f>VLOOKUP(F144,'Generos y Familia'!$A$1:$C$623,2,FALSE)</f>
        <v>27</v>
      </c>
      <c r="I144" s="12" t="str">
        <f t="shared" si="1"/>
        <v>Bauhinia variegata</v>
      </c>
      <c r="J144" s="10" t="str">
        <f t="shared" si="2"/>
        <v>143 Bauhinia variegata</v>
      </c>
      <c r="K144" s="10" t="str">
        <f t="shared" si="3"/>
        <v>Casco de Vaca; Árbol Orquídea</v>
      </c>
      <c r="L144" s="10" t="str">
        <f t="shared" si="4"/>
        <v>143 Casco de Vaca; Árbol Orquídea</v>
      </c>
      <c r="M144" s="10" t="s">
        <v>46</v>
      </c>
      <c r="N144" s="10" t="s">
        <v>36</v>
      </c>
      <c r="O144" s="10" t="s">
        <v>37</v>
      </c>
      <c r="P144" s="10" t="s">
        <v>438</v>
      </c>
      <c r="Q144" s="17" t="s">
        <v>145</v>
      </c>
      <c r="R144" s="14" t="s">
        <v>39</v>
      </c>
      <c r="S144" s="17" t="s">
        <v>457</v>
      </c>
      <c r="T144" s="14" t="s">
        <v>39</v>
      </c>
      <c r="U144" s="14" t="s">
        <v>40</v>
      </c>
      <c r="V144" s="14">
        <v>0.65</v>
      </c>
      <c r="W144" s="17" t="s">
        <v>458</v>
      </c>
      <c r="X144" s="14"/>
    </row>
    <row r="145" ht="14.25" customHeight="1">
      <c r="A145" s="10" t="s">
        <v>30</v>
      </c>
      <c r="B145" s="10" t="s">
        <v>31</v>
      </c>
      <c r="C145" s="10">
        <v>144.0</v>
      </c>
      <c r="D145" s="11" t="s">
        <v>459</v>
      </c>
      <c r="E145" s="11" t="s">
        <v>460</v>
      </c>
      <c r="F145" s="11" t="s">
        <v>148</v>
      </c>
      <c r="G145" s="10">
        <v>144.0</v>
      </c>
      <c r="H145" s="10">
        <f>VLOOKUP(F145,'Generos y Familia'!$A$1:$C$623,2,FALSE)</f>
        <v>15</v>
      </c>
      <c r="I145" s="12" t="str">
        <f t="shared" si="1"/>
        <v>Beaucarnea recurvata</v>
      </c>
      <c r="J145" s="10" t="str">
        <f t="shared" si="2"/>
        <v>144 Beaucarnea recurvata</v>
      </c>
      <c r="K145" s="10" t="str">
        <f t="shared" si="3"/>
        <v>Palma Pony</v>
      </c>
      <c r="L145" s="10" t="str">
        <f t="shared" si="4"/>
        <v>144 Palma Pony</v>
      </c>
      <c r="M145" s="10" t="s">
        <v>46</v>
      </c>
      <c r="N145" s="10" t="s">
        <v>36</v>
      </c>
      <c r="O145" s="10" t="s">
        <v>117</v>
      </c>
      <c r="P145" s="10" t="s">
        <v>461</v>
      </c>
      <c r="Q145" s="13">
        <v>9.0</v>
      </c>
      <c r="R145" s="13" t="s">
        <v>53</v>
      </c>
      <c r="S145" s="13"/>
      <c r="T145" s="13"/>
      <c r="U145" s="13" t="s">
        <v>40</v>
      </c>
      <c r="V145" s="13"/>
      <c r="W145" s="13"/>
      <c r="X145" s="13"/>
    </row>
    <row r="146" ht="14.25" customHeight="1">
      <c r="A146" s="10" t="s">
        <v>30</v>
      </c>
      <c r="B146" s="10" t="s">
        <v>31</v>
      </c>
      <c r="C146" s="10">
        <v>145.0</v>
      </c>
      <c r="D146" s="11" t="s">
        <v>462</v>
      </c>
      <c r="E146" s="11" t="s">
        <v>463</v>
      </c>
      <c r="F146" s="11" t="s">
        <v>464</v>
      </c>
      <c r="G146" s="10">
        <v>145.0</v>
      </c>
      <c r="H146" s="10">
        <f>VLOOKUP(F146,'Generos y Familia'!$A$1:$C$623,2,FALSE)</f>
        <v>18</v>
      </c>
      <c r="I146" s="12" t="str">
        <f t="shared" si="1"/>
        <v>Begonia coccinea</v>
      </c>
      <c r="J146" s="10" t="str">
        <f t="shared" si="2"/>
        <v>145 Begonia coccinea</v>
      </c>
      <c r="K146" s="10" t="str">
        <f t="shared" si="3"/>
        <v>Begonia Alas de Angel</v>
      </c>
      <c r="L146" s="10" t="str">
        <f t="shared" si="4"/>
        <v>145 Begonia Alas de Angel</v>
      </c>
      <c r="M146" s="10" t="s">
        <v>35</v>
      </c>
      <c r="N146" s="10" t="s">
        <v>36</v>
      </c>
      <c r="O146" s="10" t="s">
        <v>47</v>
      </c>
      <c r="P146" s="10" t="s">
        <v>465</v>
      </c>
      <c r="Q146" s="13"/>
      <c r="R146" s="13"/>
      <c r="S146" s="13"/>
      <c r="T146" s="13"/>
      <c r="U146" s="13"/>
      <c r="V146" s="13"/>
      <c r="W146" s="16"/>
      <c r="X146" s="13"/>
    </row>
    <row r="147" ht="14.25" customHeight="1">
      <c r="A147" s="10" t="s">
        <v>30</v>
      </c>
      <c r="B147" s="10" t="s">
        <v>31</v>
      </c>
      <c r="C147" s="10">
        <v>146.0</v>
      </c>
      <c r="D147" s="11" t="s">
        <v>466</v>
      </c>
      <c r="E147" s="11" t="s">
        <v>467</v>
      </c>
      <c r="F147" s="11" t="s">
        <v>158</v>
      </c>
      <c r="G147" s="10">
        <v>146.0</v>
      </c>
      <c r="H147" s="10">
        <f>VLOOKUP(F147,'Generos y Familia'!$A$1:$C$623,2,FALSE)</f>
        <v>35</v>
      </c>
      <c r="I147" s="12" t="str">
        <f t="shared" si="1"/>
        <v>Beilschmiedia pendula</v>
      </c>
      <c r="J147" s="10" t="str">
        <f t="shared" si="2"/>
        <v>146 Beilschmiedia pendula</v>
      </c>
      <c r="K147" s="10" t="str">
        <f t="shared" si="3"/>
        <v>Laurel Negro; Aguacate Cimarrón</v>
      </c>
      <c r="L147" s="10" t="str">
        <f t="shared" si="4"/>
        <v>146 Laurel Negro; Aguacate Cimarrón</v>
      </c>
      <c r="M147" s="10" t="s">
        <v>35</v>
      </c>
      <c r="N147" s="10" t="s">
        <v>36</v>
      </c>
      <c r="O147" s="10" t="s">
        <v>37</v>
      </c>
      <c r="P147" s="10" t="s">
        <v>468</v>
      </c>
      <c r="Q147" s="13">
        <v>20.0</v>
      </c>
      <c r="R147" s="13" t="s">
        <v>53</v>
      </c>
      <c r="S147" s="13"/>
      <c r="T147" s="13"/>
      <c r="U147" s="13"/>
      <c r="V147" s="13"/>
      <c r="W147" s="16"/>
      <c r="X147" s="13"/>
    </row>
    <row r="148" ht="14.25" customHeight="1">
      <c r="A148" s="10" t="s">
        <v>30</v>
      </c>
      <c r="B148" s="10" t="s">
        <v>31</v>
      </c>
      <c r="C148" s="10">
        <v>147.0</v>
      </c>
      <c r="D148" s="11" t="s">
        <v>469</v>
      </c>
      <c r="E148" s="11" t="s">
        <v>470</v>
      </c>
      <c r="F148" s="11" t="s">
        <v>471</v>
      </c>
      <c r="G148" s="10">
        <v>147.0</v>
      </c>
      <c r="H148" s="10">
        <f>VLOOKUP(F148,'Generos y Familia'!$A$1:$C$623,2,FALSE)</f>
        <v>41</v>
      </c>
      <c r="I148" s="12" t="str">
        <f t="shared" si="1"/>
        <v>Bellucia pentamera</v>
      </c>
      <c r="J148" s="10" t="str">
        <f t="shared" si="2"/>
        <v>147 Bellucia pentamera</v>
      </c>
      <c r="K148" s="10" t="str">
        <f t="shared" si="3"/>
        <v>Coronillo; Guayaba de Mico</v>
      </c>
      <c r="L148" s="10" t="str">
        <f t="shared" si="4"/>
        <v>147 Coronillo; Guayaba de Mico</v>
      </c>
      <c r="M148" s="10" t="s">
        <v>35</v>
      </c>
      <c r="N148" s="10" t="s">
        <v>36</v>
      </c>
      <c r="O148" s="10" t="s">
        <v>37</v>
      </c>
      <c r="P148" s="10" t="s">
        <v>472</v>
      </c>
      <c r="Q148" s="13">
        <v>12.0</v>
      </c>
      <c r="R148" s="13" t="s">
        <v>53</v>
      </c>
      <c r="S148" s="13"/>
      <c r="T148" s="13"/>
      <c r="U148" s="13"/>
      <c r="V148" s="13"/>
      <c r="W148" s="13"/>
      <c r="X148" s="13"/>
    </row>
    <row r="149" ht="14.25" customHeight="1">
      <c r="A149" s="10" t="s">
        <v>30</v>
      </c>
      <c r="B149" s="10" t="s">
        <v>31</v>
      </c>
      <c r="C149" s="10">
        <v>148.0</v>
      </c>
      <c r="D149" s="11" t="s">
        <v>473</v>
      </c>
      <c r="E149" s="11" t="s">
        <v>473</v>
      </c>
      <c r="F149" s="11" t="s">
        <v>471</v>
      </c>
      <c r="G149" s="10">
        <v>148.0</v>
      </c>
      <c r="H149" s="10">
        <f>VLOOKUP(F149,'Generos y Familia'!$A$1:$C$623,2,FALSE)</f>
        <v>41</v>
      </c>
      <c r="I149" s="12" t="str">
        <f t="shared" si="1"/>
        <v>Bellucia sp</v>
      </c>
      <c r="J149" s="10" t="str">
        <f t="shared" si="2"/>
        <v>148 Bellucia sp</v>
      </c>
      <c r="K149" s="10" t="str">
        <f t="shared" si="3"/>
        <v>Bellucia sp</v>
      </c>
      <c r="L149" s="10" t="str">
        <f t="shared" si="4"/>
        <v>148 Bellucia sp</v>
      </c>
      <c r="M149" s="10" t="s">
        <v>35</v>
      </c>
      <c r="N149" s="10" t="s">
        <v>36</v>
      </c>
      <c r="O149" s="10" t="s">
        <v>37</v>
      </c>
      <c r="P149" s="10" t="s">
        <v>472</v>
      </c>
      <c r="Q149" s="13"/>
      <c r="R149" s="13"/>
      <c r="S149" s="13"/>
      <c r="T149" s="13"/>
      <c r="U149" s="13"/>
      <c r="V149" s="13"/>
      <c r="W149" s="13"/>
      <c r="X149" s="13"/>
    </row>
    <row r="150" ht="14.25" customHeight="1">
      <c r="A150" s="10" t="s">
        <v>30</v>
      </c>
      <c r="B150" s="10" t="s">
        <v>31</v>
      </c>
      <c r="C150" s="10">
        <v>149.0</v>
      </c>
      <c r="D150" s="11" t="s">
        <v>474</v>
      </c>
      <c r="E150" s="11" t="s">
        <v>475</v>
      </c>
      <c r="F150" s="11" t="s">
        <v>214</v>
      </c>
      <c r="G150" s="10">
        <v>149.0</v>
      </c>
      <c r="H150" s="10">
        <f>VLOOKUP(F150,'Generos y Familia'!$A$1:$C$623,2,FALSE)</f>
        <v>84</v>
      </c>
      <c r="I150" s="12" t="str">
        <f t="shared" si="1"/>
        <v>Billia rosea</v>
      </c>
      <c r="J150" s="10" t="str">
        <f t="shared" si="2"/>
        <v>149 Billia rosea</v>
      </c>
      <c r="K150" s="10" t="str">
        <f t="shared" si="3"/>
        <v>Bilia; Cucharo; Cariseco</v>
      </c>
      <c r="L150" s="10" t="str">
        <f t="shared" si="4"/>
        <v>149 Bilia; Cucharo; Cariseco</v>
      </c>
      <c r="M150" s="10" t="s">
        <v>35</v>
      </c>
      <c r="N150" s="10" t="s">
        <v>36</v>
      </c>
      <c r="O150" s="10" t="s">
        <v>37</v>
      </c>
      <c r="P150" s="10" t="s">
        <v>476</v>
      </c>
      <c r="Q150" s="17" t="s">
        <v>54</v>
      </c>
      <c r="R150" s="14" t="s">
        <v>39</v>
      </c>
      <c r="S150" s="17" t="s">
        <v>457</v>
      </c>
      <c r="T150" s="14" t="s">
        <v>39</v>
      </c>
      <c r="U150" s="14" t="s">
        <v>73</v>
      </c>
      <c r="V150" s="14">
        <v>0.69</v>
      </c>
      <c r="W150" s="17" t="s">
        <v>477</v>
      </c>
      <c r="X150" s="14"/>
    </row>
    <row r="151" ht="14.25" customHeight="1">
      <c r="A151" s="10" t="s">
        <v>30</v>
      </c>
      <c r="B151" s="10" t="s">
        <v>31</v>
      </c>
      <c r="C151" s="10">
        <v>150.0</v>
      </c>
      <c r="D151" s="11" t="s">
        <v>478</v>
      </c>
      <c r="E151" s="11" t="s">
        <v>479</v>
      </c>
      <c r="F151" s="11" t="s">
        <v>480</v>
      </c>
      <c r="G151" s="10">
        <v>150.0</v>
      </c>
      <c r="H151" s="10">
        <f>VLOOKUP(F151,'Generos y Familia'!$A$1:$C$623,2,FALSE)</f>
        <v>64</v>
      </c>
      <c r="I151" s="12" t="str">
        <f t="shared" si="1"/>
        <v>Bischofia javanica</v>
      </c>
      <c r="J151" s="10" t="str">
        <f t="shared" si="2"/>
        <v>150 Bischofia javanica</v>
      </c>
      <c r="K151" s="10" t="str">
        <f t="shared" si="3"/>
        <v>Biscofia; Toog; Cedro de Java</v>
      </c>
      <c r="L151" s="10" t="str">
        <f t="shared" si="4"/>
        <v>150 Biscofia; Toog; Cedro de Java</v>
      </c>
      <c r="M151" s="10" t="s">
        <v>46</v>
      </c>
      <c r="N151" s="10" t="s">
        <v>36</v>
      </c>
      <c r="O151" s="10" t="s">
        <v>37</v>
      </c>
      <c r="P151" s="10" t="s">
        <v>481</v>
      </c>
      <c r="Q151" s="17" t="s">
        <v>54</v>
      </c>
      <c r="R151" s="14" t="s">
        <v>39</v>
      </c>
      <c r="S151" s="17" t="s">
        <v>457</v>
      </c>
      <c r="T151" s="14" t="s">
        <v>39</v>
      </c>
      <c r="U151" s="14" t="s">
        <v>55</v>
      </c>
      <c r="V151" s="14">
        <v>0.6</v>
      </c>
      <c r="W151" s="17" t="s">
        <v>482</v>
      </c>
      <c r="X151" s="14"/>
    </row>
    <row r="152" ht="14.25" customHeight="1">
      <c r="A152" s="10" t="s">
        <v>30</v>
      </c>
      <c r="B152" s="10" t="s">
        <v>31</v>
      </c>
      <c r="C152" s="10">
        <v>151.0</v>
      </c>
      <c r="D152" s="11" t="s">
        <v>483</v>
      </c>
      <c r="E152" s="11" t="s">
        <v>484</v>
      </c>
      <c r="F152" s="11" t="s">
        <v>116</v>
      </c>
      <c r="G152" s="10">
        <v>151.0</v>
      </c>
      <c r="H152" s="10">
        <f>VLOOKUP(F152,'Generos y Familia'!$A$1:$C$623,2,FALSE)</f>
        <v>14</v>
      </c>
      <c r="I152" s="12" t="str">
        <f t="shared" si="1"/>
        <v>Bismarckia nobilis</v>
      </c>
      <c r="J152" s="10" t="str">
        <f t="shared" si="2"/>
        <v>151 Bismarckia nobilis</v>
      </c>
      <c r="K152" s="10" t="str">
        <f t="shared" si="3"/>
        <v>Palma Bismarck Plateada</v>
      </c>
      <c r="L152" s="10" t="str">
        <f t="shared" si="4"/>
        <v>151 Palma Bismarck Plateada</v>
      </c>
      <c r="M152" s="10" t="s">
        <v>46</v>
      </c>
      <c r="N152" s="10" t="s">
        <v>36</v>
      </c>
      <c r="O152" s="10" t="s">
        <v>117</v>
      </c>
      <c r="P152" s="10" t="s">
        <v>485</v>
      </c>
      <c r="Q152" s="17" t="s">
        <v>54</v>
      </c>
      <c r="R152" s="14" t="s">
        <v>39</v>
      </c>
      <c r="S152" s="17" t="s">
        <v>486</v>
      </c>
      <c r="T152" s="14" t="s">
        <v>39</v>
      </c>
      <c r="U152" s="14" t="s">
        <v>55</v>
      </c>
      <c r="V152" s="14"/>
      <c r="W152" s="17" t="s">
        <v>487</v>
      </c>
      <c r="X152" s="14"/>
    </row>
    <row r="153" ht="14.25" customHeight="1">
      <c r="A153" s="10" t="s">
        <v>30</v>
      </c>
      <c r="B153" s="10" t="s">
        <v>31</v>
      </c>
      <c r="C153" s="10">
        <v>152.0</v>
      </c>
      <c r="D153" s="11" t="s">
        <v>488</v>
      </c>
      <c r="E153" s="11" t="s">
        <v>489</v>
      </c>
      <c r="F153" s="11" t="s">
        <v>490</v>
      </c>
      <c r="G153" s="10">
        <v>152.0</v>
      </c>
      <c r="H153" s="10">
        <f>VLOOKUP(F153,'Generos y Familia'!$A$1:$C$623,2,FALSE)</f>
        <v>21</v>
      </c>
      <c r="I153" s="12" t="str">
        <f t="shared" si="1"/>
        <v>Bixa orellana</v>
      </c>
      <c r="J153" s="10" t="str">
        <f t="shared" si="2"/>
        <v>152 Bixa orellana</v>
      </c>
      <c r="K153" s="10" t="str">
        <f t="shared" si="3"/>
        <v>Achiote; Achote; Bija</v>
      </c>
      <c r="L153" s="10" t="str">
        <f t="shared" si="4"/>
        <v>152 Achiote; Achote; Bija</v>
      </c>
      <c r="M153" s="10" t="s">
        <v>35</v>
      </c>
      <c r="N153" s="10" t="s">
        <v>36</v>
      </c>
      <c r="O153" s="10" t="s">
        <v>47</v>
      </c>
      <c r="P153" s="10" t="s">
        <v>491</v>
      </c>
      <c r="Q153" s="17" t="s">
        <v>379</v>
      </c>
      <c r="R153" s="14" t="s">
        <v>39</v>
      </c>
      <c r="S153" s="17" t="s">
        <v>54</v>
      </c>
      <c r="T153" s="14" t="s">
        <v>39</v>
      </c>
      <c r="U153" s="14" t="s">
        <v>73</v>
      </c>
      <c r="V153" s="14">
        <v>0.36</v>
      </c>
      <c r="W153" s="18" t="s">
        <v>492</v>
      </c>
      <c r="X153" s="14"/>
    </row>
    <row r="154" ht="14.25" customHeight="1">
      <c r="A154" s="10" t="s">
        <v>30</v>
      </c>
      <c r="B154" s="10" t="s">
        <v>31</v>
      </c>
      <c r="C154" s="10">
        <v>153.0</v>
      </c>
      <c r="D154" s="11" t="s">
        <v>493</v>
      </c>
      <c r="E154" s="11" t="s">
        <v>494</v>
      </c>
      <c r="F154" s="11" t="s">
        <v>214</v>
      </c>
      <c r="G154" s="10">
        <v>153.0</v>
      </c>
      <c r="H154" s="10">
        <f>VLOOKUP(F154,'Generos y Familia'!$A$1:$C$623,2,FALSE)</f>
        <v>84</v>
      </c>
      <c r="I154" s="12" t="str">
        <f t="shared" si="1"/>
        <v>Blighia sapida</v>
      </c>
      <c r="J154" s="10" t="str">
        <f t="shared" si="2"/>
        <v>153 Blighia sapida</v>
      </c>
      <c r="K154" s="10" t="str">
        <f t="shared" si="3"/>
        <v>Bien Me Sabe; Huevo de Gato</v>
      </c>
      <c r="L154" s="10" t="str">
        <f t="shared" si="4"/>
        <v>153 Bien Me Sabe; Huevo de Gato</v>
      </c>
      <c r="M154" s="10" t="s">
        <v>46</v>
      </c>
      <c r="N154" s="10" t="s">
        <v>36</v>
      </c>
      <c r="O154" s="10" t="s">
        <v>37</v>
      </c>
      <c r="P154" s="10" t="s">
        <v>495</v>
      </c>
      <c r="Q154" s="13">
        <v>15.0</v>
      </c>
      <c r="R154" s="13" t="s">
        <v>39</v>
      </c>
      <c r="S154" s="13">
        <v>50.0</v>
      </c>
      <c r="T154" s="13" t="s">
        <v>39</v>
      </c>
      <c r="U154" s="13" t="s">
        <v>40</v>
      </c>
      <c r="V154" s="13">
        <v>0.76</v>
      </c>
      <c r="W154" s="16"/>
      <c r="X154" s="13"/>
    </row>
    <row r="155" ht="14.25" customHeight="1">
      <c r="A155" s="10" t="s">
        <v>30</v>
      </c>
      <c r="B155" s="10" t="s">
        <v>31</v>
      </c>
      <c r="C155" s="10">
        <v>154.0</v>
      </c>
      <c r="D155" s="11" t="s">
        <v>496</v>
      </c>
      <c r="E155" s="11" t="s">
        <v>497</v>
      </c>
      <c r="F155" s="11" t="s">
        <v>498</v>
      </c>
      <c r="G155" s="10">
        <v>154.0</v>
      </c>
      <c r="H155" s="10">
        <f>VLOOKUP(F155,'Generos y Familia'!$A$1:$C$623,2,FALSE)</f>
        <v>58</v>
      </c>
      <c r="I155" s="12" t="str">
        <f t="shared" si="1"/>
        <v>Bocconia integrifolia</v>
      </c>
      <c r="J155" s="10" t="str">
        <f t="shared" si="2"/>
        <v>154 Bocconia integrifolia</v>
      </c>
      <c r="K155" s="10" t="str">
        <f t="shared" si="3"/>
        <v>Trompeto; Albacarrín; Sarno; Llora Sangre</v>
      </c>
      <c r="L155" s="10" t="str">
        <f t="shared" si="4"/>
        <v>154 Trompeto; Albacarrín; Sarno; Llora Sangre</v>
      </c>
      <c r="M155" s="10" t="s">
        <v>35</v>
      </c>
      <c r="N155" s="10" t="s">
        <v>36</v>
      </c>
      <c r="O155" s="10" t="s">
        <v>47</v>
      </c>
      <c r="P155" s="10" t="s">
        <v>499</v>
      </c>
      <c r="Q155" s="13"/>
      <c r="R155" s="13"/>
      <c r="S155" s="13"/>
      <c r="T155" s="13"/>
      <c r="U155" s="13"/>
      <c r="V155" s="13"/>
      <c r="W155" s="16"/>
      <c r="X155" s="13"/>
    </row>
    <row r="156" ht="14.25" customHeight="1">
      <c r="A156" s="10" t="s">
        <v>30</v>
      </c>
      <c r="B156" s="10" t="s">
        <v>31</v>
      </c>
      <c r="C156" s="10">
        <v>155.0</v>
      </c>
      <c r="D156" s="11" t="s">
        <v>500</v>
      </c>
      <c r="E156" s="11" t="s">
        <v>501</v>
      </c>
      <c r="F156" s="11" t="s">
        <v>502</v>
      </c>
      <c r="G156" s="10">
        <v>155.0</v>
      </c>
      <c r="H156" s="10">
        <f>VLOOKUP(F156,'Generos y Familia'!$A$1:$C$623,2,FALSE)</f>
        <v>95</v>
      </c>
      <c r="I156" s="12" t="str">
        <f t="shared" si="1"/>
        <v>Boehmeria caudata</v>
      </c>
      <c r="J156" s="10" t="str">
        <f t="shared" si="2"/>
        <v>155 Boehmeria caudata</v>
      </c>
      <c r="K156" s="10" t="str">
        <f t="shared" si="3"/>
        <v>Zanca de Mula; Ortiguillo</v>
      </c>
      <c r="L156" s="10" t="str">
        <f t="shared" si="4"/>
        <v>155 Zanca de Mula; Ortiguillo</v>
      </c>
      <c r="M156" s="10" t="s">
        <v>35</v>
      </c>
      <c r="N156" s="10" t="s">
        <v>36</v>
      </c>
      <c r="O156" s="10" t="s">
        <v>47</v>
      </c>
      <c r="P156" s="10" t="s">
        <v>503</v>
      </c>
      <c r="Q156" s="13"/>
      <c r="R156" s="13"/>
      <c r="S156" s="13"/>
      <c r="T156" s="13"/>
      <c r="U156" s="13"/>
      <c r="V156" s="13"/>
      <c r="W156" s="16"/>
      <c r="X156" s="13"/>
    </row>
    <row r="157" ht="14.25" customHeight="1">
      <c r="A157" s="10" t="s">
        <v>30</v>
      </c>
      <c r="B157" s="10" t="s">
        <v>31</v>
      </c>
      <c r="C157" s="10">
        <v>156.0</v>
      </c>
      <c r="D157" s="11" t="s">
        <v>504</v>
      </c>
      <c r="E157" s="11" t="s">
        <v>505</v>
      </c>
      <c r="F157" s="11" t="s">
        <v>502</v>
      </c>
      <c r="G157" s="10">
        <v>156.0</v>
      </c>
      <c r="H157" s="10">
        <f>VLOOKUP(F157,'Generos y Familia'!$A$1:$C$623,2,FALSE)</f>
        <v>95</v>
      </c>
      <c r="I157" s="12" t="str">
        <f t="shared" si="1"/>
        <v>Boehmeria japonica</v>
      </c>
      <c r="J157" s="10" t="str">
        <f t="shared" si="2"/>
        <v>156 Boehmeria japonica</v>
      </c>
      <c r="K157" s="10" t="str">
        <f t="shared" si="3"/>
        <v>Zorrumbo; Cola de Gato</v>
      </c>
      <c r="L157" s="10" t="str">
        <f t="shared" si="4"/>
        <v>156 Zorrumbo; Cola de Gato</v>
      </c>
      <c r="M157" s="10" t="s">
        <v>46</v>
      </c>
      <c r="N157" s="10" t="s">
        <v>28</v>
      </c>
      <c r="O157" s="10" t="s">
        <v>47</v>
      </c>
      <c r="P157" s="10" t="s">
        <v>503</v>
      </c>
      <c r="Q157" s="13"/>
      <c r="R157" s="13"/>
      <c r="S157" s="13"/>
      <c r="T157" s="13"/>
      <c r="U157" s="13"/>
      <c r="V157" s="13"/>
      <c r="W157" s="13"/>
      <c r="X157" s="13"/>
    </row>
    <row r="158" ht="14.25" customHeight="1">
      <c r="A158" s="10" t="s">
        <v>30</v>
      </c>
      <c r="B158" s="10" t="s">
        <v>31</v>
      </c>
      <c r="C158" s="10">
        <v>157.0</v>
      </c>
      <c r="D158" s="11" t="s">
        <v>506</v>
      </c>
      <c r="E158" s="11" t="s">
        <v>507</v>
      </c>
      <c r="F158" s="11" t="s">
        <v>502</v>
      </c>
      <c r="G158" s="10">
        <v>157.0</v>
      </c>
      <c r="H158" s="10">
        <f>VLOOKUP(F158,'Generos y Familia'!$A$1:$C$623,2,FALSE)</f>
        <v>95</v>
      </c>
      <c r="I158" s="12" t="str">
        <f t="shared" si="1"/>
        <v>Boehmeria virgata</v>
      </c>
      <c r="J158" s="10" t="str">
        <f t="shared" si="2"/>
        <v>157 Boehmeria virgata</v>
      </c>
      <c r="K158" s="10" t="str">
        <f t="shared" si="3"/>
        <v>Boehmeria Virgata</v>
      </c>
      <c r="L158" s="10" t="str">
        <f t="shared" si="4"/>
        <v>157 Boehmeria Virgata</v>
      </c>
      <c r="M158" s="10" t="s">
        <v>46</v>
      </c>
      <c r="N158" s="10" t="s">
        <v>28</v>
      </c>
      <c r="O158" s="10" t="s">
        <v>47</v>
      </c>
      <c r="P158" s="10" t="s">
        <v>503</v>
      </c>
      <c r="Q158" s="13"/>
      <c r="R158" s="13"/>
      <c r="S158" s="13"/>
      <c r="T158" s="13"/>
      <c r="U158" s="13"/>
      <c r="V158" s="13"/>
      <c r="W158" s="13"/>
      <c r="X158" s="13"/>
    </row>
    <row r="159" ht="14.25" customHeight="1">
      <c r="A159" s="10" t="s">
        <v>30</v>
      </c>
      <c r="B159" s="10" t="s">
        <v>63</v>
      </c>
      <c r="C159" s="10">
        <v>158.0</v>
      </c>
      <c r="D159" s="11" t="s">
        <v>508</v>
      </c>
      <c r="E159" s="11" t="s">
        <v>509</v>
      </c>
      <c r="F159" s="11" t="s">
        <v>45</v>
      </c>
      <c r="G159" s="10">
        <v>158.0</v>
      </c>
      <c r="H159" s="10">
        <f>VLOOKUP(F159,'Generos y Familia'!$A$1:$C$623,2,FALSE)</f>
        <v>40</v>
      </c>
      <c r="I159" s="12" t="str">
        <f t="shared" si="1"/>
        <v>Bombax ceiba</v>
      </c>
      <c r="J159" s="10" t="str">
        <f t="shared" si="2"/>
        <v>158 Bombax ceiba</v>
      </c>
      <c r="K159" s="10" t="str">
        <f t="shared" si="3"/>
        <v>Cedro Caqueta; Ceiba Tolua; Algodonero Rojo</v>
      </c>
      <c r="L159" s="10" t="str">
        <f t="shared" si="4"/>
        <v>158 Cedro Caqueta; Ceiba Tolua; Algodonero Rojo</v>
      </c>
      <c r="M159" s="10" t="s">
        <v>35</v>
      </c>
      <c r="N159" s="10" t="s">
        <v>36</v>
      </c>
      <c r="O159" s="10" t="s">
        <v>37</v>
      </c>
      <c r="P159" s="10" t="s">
        <v>510</v>
      </c>
      <c r="Q159" s="13"/>
      <c r="R159" s="13"/>
      <c r="S159" s="13"/>
      <c r="T159" s="13"/>
      <c r="U159" s="13"/>
      <c r="V159" s="13"/>
      <c r="W159" s="13"/>
      <c r="X159" s="13"/>
    </row>
    <row r="160" ht="14.25" customHeight="1">
      <c r="A160" s="10" t="s">
        <v>30</v>
      </c>
      <c r="B160" s="10" t="s">
        <v>31</v>
      </c>
      <c r="C160" s="10">
        <v>159.0</v>
      </c>
      <c r="D160" s="11" t="s">
        <v>511</v>
      </c>
      <c r="E160" s="11" t="s">
        <v>512</v>
      </c>
      <c r="F160" s="11" t="s">
        <v>310</v>
      </c>
      <c r="G160" s="10">
        <v>159.0</v>
      </c>
      <c r="H160" s="10">
        <f>VLOOKUP(F160,'Generos y Familia'!$A$1:$C$623,2,FALSE)</f>
        <v>79</v>
      </c>
      <c r="I160" s="12" t="str">
        <f t="shared" si="1"/>
        <v>Alibertia patinoi</v>
      </c>
      <c r="J160" s="10" t="str">
        <f t="shared" si="2"/>
        <v>159 Alibertia patinoi</v>
      </c>
      <c r="K160" s="10" t="str">
        <f t="shared" si="3"/>
        <v>Borojó</v>
      </c>
      <c r="L160" s="10" t="str">
        <f t="shared" si="4"/>
        <v>159 Borojó</v>
      </c>
      <c r="M160" s="10" t="s">
        <v>35</v>
      </c>
      <c r="N160" s="10" t="s">
        <v>36</v>
      </c>
      <c r="O160" s="10" t="s">
        <v>37</v>
      </c>
      <c r="P160" s="10" t="s">
        <v>513</v>
      </c>
      <c r="Q160" s="13">
        <v>5.0</v>
      </c>
      <c r="R160" s="13" t="s">
        <v>53</v>
      </c>
      <c r="S160" s="13"/>
      <c r="T160" s="13"/>
      <c r="U160" s="13" t="s">
        <v>40</v>
      </c>
      <c r="V160" s="13"/>
      <c r="W160" s="13"/>
      <c r="X160" s="13"/>
    </row>
    <row r="161" ht="14.25" customHeight="1">
      <c r="A161" s="10" t="s">
        <v>30</v>
      </c>
      <c r="B161" s="10" t="s">
        <v>31</v>
      </c>
      <c r="C161" s="10">
        <v>160.0</v>
      </c>
      <c r="D161" s="11" t="s">
        <v>514</v>
      </c>
      <c r="E161" s="11" t="s">
        <v>515</v>
      </c>
      <c r="F161" s="11" t="s">
        <v>516</v>
      </c>
      <c r="G161" s="10">
        <v>160.0</v>
      </c>
      <c r="H161" s="10">
        <f>VLOOKUP(F161,'Generos y Familia'!$A$1:$C$623,2,FALSE)</f>
        <v>50</v>
      </c>
      <c r="I161" s="12" t="str">
        <f t="shared" si="1"/>
        <v>Bougainvillea glabra</v>
      </c>
      <c r="J161" s="10" t="str">
        <f t="shared" si="2"/>
        <v>160 Bougainvillea glabra</v>
      </c>
      <c r="K161" s="10" t="str">
        <f t="shared" si="3"/>
        <v>Curazao; Veranera</v>
      </c>
      <c r="L161" s="10" t="str">
        <f t="shared" si="4"/>
        <v>160 Curazao; Veranera</v>
      </c>
      <c r="M161" s="10" t="s">
        <v>46</v>
      </c>
      <c r="N161" s="10" t="s">
        <v>36</v>
      </c>
      <c r="O161" s="10" t="s">
        <v>47</v>
      </c>
      <c r="P161" s="10" t="s">
        <v>517</v>
      </c>
      <c r="Q161" s="17" t="s">
        <v>379</v>
      </c>
      <c r="R161" s="14" t="s">
        <v>105</v>
      </c>
      <c r="S161" s="17" t="s">
        <v>54</v>
      </c>
      <c r="T161" s="14" t="s">
        <v>518</v>
      </c>
      <c r="U161" s="14" t="s">
        <v>55</v>
      </c>
      <c r="V161" s="14"/>
      <c r="W161" s="17"/>
      <c r="X161" s="14"/>
    </row>
    <row r="162" ht="14.25" customHeight="1">
      <c r="A162" s="10" t="s">
        <v>30</v>
      </c>
      <c r="B162" s="10" t="s">
        <v>31</v>
      </c>
      <c r="C162" s="10">
        <v>161.0</v>
      </c>
      <c r="D162" s="11" t="s">
        <v>519</v>
      </c>
      <c r="E162" s="11" t="s">
        <v>519</v>
      </c>
      <c r="F162" s="11" t="s">
        <v>362</v>
      </c>
      <c r="G162" s="10">
        <v>161.0</v>
      </c>
      <c r="H162" s="10">
        <f>VLOOKUP(F162,'Generos y Familia'!$A$1:$C$623,2,FALSE)</f>
        <v>17</v>
      </c>
      <c r="I162" s="12" t="str">
        <f t="shared" si="1"/>
        <v>Brachylaena sp</v>
      </c>
      <c r="J162" s="10" t="str">
        <f t="shared" si="2"/>
        <v>161 Brachylaena sp</v>
      </c>
      <c r="K162" s="10" t="str">
        <f t="shared" si="3"/>
        <v>Brachylaena sp</v>
      </c>
      <c r="L162" s="10" t="str">
        <f t="shared" si="4"/>
        <v>161 Brachylaena sp</v>
      </c>
      <c r="M162" s="10" t="s">
        <v>46</v>
      </c>
      <c r="N162" s="10"/>
      <c r="O162" s="10" t="s">
        <v>37</v>
      </c>
      <c r="P162" s="10" t="s">
        <v>520</v>
      </c>
      <c r="Q162" s="13"/>
      <c r="R162" s="13"/>
      <c r="S162" s="13"/>
      <c r="T162" s="13"/>
      <c r="U162" s="13"/>
      <c r="V162" s="13"/>
      <c r="W162" s="16"/>
      <c r="X162" s="13"/>
    </row>
    <row r="163" ht="14.25" customHeight="1">
      <c r="A163" s="10" t="s">
        <v>30</v>
      </c>
      <c r="B163" s="10" t="s">
        <v>31</v>
      </c>
      <c r="C163" s="10">
        <v>162.0</v>
      </c>
      <c r="D163" s="11" t="s">
        <v>521</v>
      </c>
      <c r="E163" s="11" t="s">
        <v>522</v>
      </c>
      <c r="F163" s="11" t="s">
        <v>523</v>
      </c>
      <c r="G163" s="10">
        <v>162.0</v>
      </c>
      <c r="H163" s="10">
        <f>VLOOKUP(F163,'Generos y Familia'!$A$1:$C$623,2,FALSE)</f>
        <v>26</v>
      </c>
      <c r="I163" s="12" t="str">
        <f t="shared" si="1"/>
        <v>Brasiliopuntia brasiliensis</v>
      </c>
      <c r="J163" s="10" t="str">
        <f t="shared" si="2"/>
        <v>162 Brasiliopuntia brasiliensis</v>
      </c>
      <c r="K163" s="10" t="str">
        <f t="shared" si="3"/>
        <v>Chumbera Brasileña</v>
      </c>
      <c r="L163" s="10" t="str">
        <f t="shared" si="4"/>
        <v>162 Chumbera Brasileña</v>
      </c>
      <c r="M163" s="10" t="s">
        <v>46</v>
      </c>
      <c r="N163" s="10" t="s">
        <v>36</v>
      </c>
      <c r="O163" s="10" t="s">
        <v>524</v>
      </c>
      <c r="P163" s="10" t="s">
        <v>525</v>
      </c>
      <c r="Q163" s="13"/>
      <c r="R163" s="13"/>
      <c r="S163" s="13" t="s">
        <v>526</v>
      </c>
      <c r="T163" s="13"/>
      <c r="U163" s="13"/>
      <c r="V163" s="13"/>
      <c r="W163" s="16"/>
      <c r="X163" s="13"/>
    </row>
    <row r="164" ht="14.25" customHeight="1">
      <c r="A164" s="10" t="s">
        <v>30</v>
      </c>
      <c r="B164" s="10" t="s">
        <v>31</v>
      </c>
      <c r="C164" s="10">
        <v>163.0</v>
      </c>
      <c r="D164" s="11" t="s">
        <v>527</v>
      </c>
      <c r="E164" s="11" t="s">
        <v>528</v>
      </c>
      <c r="F164" s="11" t="s">
        <v>116</v>
      </c>
      <c r="G164" s="10">
        <v>163.0</v>
      </c>
      <c r="H164" s="10">
        <f>VLOOKUP(F164,'Generos y Familia'!$A$1:$C$623,2,FALSE)</f>
        <v>14</v>
      </c>
      <c r="I164" s="12" t="str">
        <f t="shared" si="1"/>
        <v>Brassiophoenix schumanii</v>
      </c>
      <c r="J164" s="10" t="str">
        <f t="shared" si="2"/>
        <v>163 Brassiophoenix schumanii</v>
      </c>
      <c r="K164" s="10" t="str">
        <f t="shared" si="3"/>
        <v>Palma Brasiofenix</v>
      </c>
      <c r="L164" s="10" t="str">
        <f t="shared" si="4"/>
        <v>163 Palma Brasiofenix</v>
      </c>
      <c r="M164" s="10" t="s">
        <v>46</v>
      </c>
      <c r="N164" s="10" t="s">
        <v>36</v>
      </c>
      <c r="O164" s="10" t="s">
        <v>117</v>
      </c>
      <c r="P164" s="10" t="s">
        <v>529</v>
      </c>
      <c r="Q164" s="13"/>
      <c r="R164" s="13"/>
      <c r="S164" s="13"/>
      <c r="T164" s="13"/>
      <c r="U164" s="13"/>
      <c r="V164" s="13"/>
      <c r="W164" s="13"/>
      <c r="X164" s="13"/>
    </row>
    <row r="165" ht="14.25" customHeight="1">
      <c r="A165" s="10" t="s">
        <v>30</v>
      </c>
      <c r="B165" s="10" t="s">
        <v>31</v>
      </c>
      <c r="C165" s="10">
        <v>164.0</v>
      </c>
      <c r="D165" s="11" t="s">
        <v>530</v>
      </c>
      <c r="E165" s="11" t="s">
        <v>531</v>
      </c>
      <c r="F165" s="11" t="s">
        <v>310</v>
      </c>
      <c r="G165" s="10">
        <v>164.0</v>
      </c>
      <c r="H165" s="10">
        <f>VLOOKUP(F165,'Generos y Familia'!$A$1:$C$623,2,FALSE)</f>
        <v>79</v>
      </c>
      <c r="I165" s="12" t="str">
        <f t="shared" si="1"/>
        <v>Breonia chinensis</v>
      </c>
      <c r="J165" s="10" t="str">
        <f t="shared" si="2"/>
        <v>164 Breonia chinensis</v>
      </c>
      <c r="K165" s="10" t="str">
        <f t="shared" si="3"/>
        <v>Breonia</v>
      </c>
      <c r="L165" s="10" t="str">
        <f t="shared" si="4"/>
        <v>164 Breonia</v>
      </c>
      <c r="M165" s="10" t="s">
        <v>46</v>
      </c>
      <c r="N165" s="10" t="s">
        <v>28</v>
      </c>
      <c r="O165" s="10" t="s">
        <v>47</v>
      </c>
      <c r="P165" s="10" t="s">
        <v>531</v>
      </c>
      <c r="Q165" s="13"/>
      <c r="R165" s="13"/>
      <c r="S165" s="13"/>
      <c r="T165" s="13"/>
      <c r="U165" s="13"/>
      <c r="V165" s="13"/>
      <c r="W165" s="16"/>
      <c r="X165" s="13"/>
    </row>
    <row r="166" ht="14.25" customHeight="1">
      <c r="A166" s="10" t="s">
        <v>30</v>
      </c>
      <c r="B166" s="10" t="s">
        <v>31</v>
      </c>
      <c r="C166" s="10">
        <v>165.0</v>
      </c>
      <c r="D166" s="11" t="s">
        <v>532</v>
      </c>
      <c r="E166" s="11" t="s">
        <v>533</v>
      </c>
      <c r="F166" s="11" t="s">
        <v>480</v>
      </c>
      <c r="G166" s="10">
        <v>165.0</v>
      </c>
      <c r="H166" s="10">
        <f>VLOOKUP(F166,'Generos y Familia'!$A$1:$C$623,2,FALSE)</f>
        <v>64</v>
      </c>
      <c r="I166" s="12" t="str">
        <f t="shared" si="1"/>
        <v>Breynia disticha</v>
      </c>
      <c r="J166" s="10" t="str">
        <f t="shared" si="2"/>
        <v>165 Breynia disticha</v>
      </c>
      <c r="K166" s="10" t="str">
        <f t="shared" si="3"/>
        <v>Nivosa; Carnaval</v>
      </c>
      <c r="L166" s="10" t="str">
        <f t="shared" si="4"/>
        <v>165 Nivosa; Carnaval</v>
      </c>
      <c r="M166" s="10" t="s">
        <v>46</v>
      </c>
      <c r="N166" s="10" t="s">
        <v>36</v>
      </c>
      <c r="O166" s="10" t="s">
        <v>47</v>
      </c>
      <c r="P166" s="10" t="s">
        <v>534</v>
      </c>
      <c r="Q166" s="13">
        <v>2.0</v>
      </c>
      <c r="R166" s="13" t="s">
        <v>53</v>
      </c>
      <c r="S166" s="13"/>
      <c r="T166" s="13"/>
      <c r="U166" s="13" t="s">
        <v>40</v>
      </c>
      <c r="V166" s="13"/>
      <c r="W166" s="13"/>
      <c r="X166" s="13"/>
    </row>
    <row r="167" ht="14.25" customHeight="1">
      <c r="A167" s="10" t="s">
        <v>30</v>
      </c>
      <c r="B167" s="10" t="s">
        <v>31</v>
      </c>
      <c r="C167" s="10">
        <v>166.0</v>
      </c>
      <c r="D167" s="11" t="s">
        <v>535</v>
      </c>
      <c r="E167" s="11" t="s">
        <v>536</v>
      </c>
      <c r="F167" s="11" t="s">
        <v>365</v>
      </c>
      <c r="G167" s="10">
        <v>166.0</v>
      </c>
      <c r="H167" s="10">
        <f>VLOOKUP(F167,'Generos y Familia'!$A$1:$C$623,2,FALSE)</f>
        <v>43</v>
      </c>
      <c r="I167" s="12" t="str">
        <f t="shared" si="1"/>
        <v>Brosimum alicastrum</v>
      </c>
      <c r="J167" s="10" t="str">
        <f t="shared" si="2"/>
        <v>166 Brosimum alicastrum</v>
      </c>
      <c r="K167" s="10" t="str">
        <f t="shared" si="3"/>
        <v>Sande; Ramón; Nogal Maya</v>
      </c>
      <c r="L167" s="10" t="str">
        <f t="shared" si="4"/>
        <v>166 Sande; Ramón; Nogal Maya</v>
      </c>
      <c r="M167" s="10" t="s">
        <v>46</v>
      </c>
      <c r="N167" s="10" t="s">
        <v>36</v>
      </c>
      <c r="O167" s="10" t="s">
        <v>37</v>
      </c>
      <c r="P167" s="10" t="s">
        <v>537</v>
      </c>
      <c r="Q167" s="13"/>
      <c r="R167" s="13"/>
      <c r="S167" s="13"/>
      <c r="T167" s="13"/>
      <c r="U167" s="13"/>
      <c r="V167" s="13"/>
      <c r="W167" s="16"/>
      <c r="X167" s="13"/>
    </row>
    <row r="168" ht="14.25" customHeight="1">
      <c r="A168" s="10" t="s">
        <v>30</v>
      </c>
      <c r="B168" s="10" t="s">
        <v>31</v>
      </c>
      <c r="C168" s="10">
        <v>167.0</v>
      </c>
      <c r="D168" s="11" t="s">
        <v>538</v>
      </c>
      <c r="E168" s="11" t="s">
        <v>539</v>
      </c>
      <c r="F168" s="11" t="s">
        <v>365</v>
      </c>
      <c r="G168" s="10">
        <v>167.0</v>
      </c>
      <c r="H168" s="10">
        <f>VLOOKUP(F168,'Generos y Familia'!$A$1:$C$623,2,FALSE)</f>
        <v>43</v>
      </c>
      <c r="I168" s="12" t="str">
        <f t="shared" si="1"/>
        <v>Broussonetia papyrifera</v>
      </c>
      <c r="J168" s="10" t="str">
        <f t="shared" si="2"/>
        <v>167 Broussonetia papyrifera</v>
      </c>
      <c r="K168" s="10" t="str">
        <f t="shared" si="3"/>
        <v>Morera de Papel</v>
      </c>
      <c r="L168" s="10" t="str">
        <f t="shared" si="4"/>
        <v>167 Morera de Papel</v>
      </c>
      <c r="M168" s="10" t="s">
        <v>46</v>
      </c>
      <c r="N168" s="10" t="s">
        <v>36</v>
      </c>
      <c r="O168" s="10" t="s">
        <v>37</v>
      </c>
      <c r="P168" s="10" t="s">
        <v>540</v>
      </c>
      <c r="Q168" s="17" t="s">
        <v>145</v>
      </c>
      <c r="R168" s="14" t="s">
        <v>105</v>
      </c>
      <c r="S168" s="17" t="s">
        <v>290</v>
      </c>
      <c r="T168" s="14"/>
      <c r="U168" s="14" t="s">
        <v>40</v>
      </c>
      <c r="V168" s="14"/>
      <c r="W168" s="18" t="s">
        <v>541</v>
      </c>
      <c r="X168" s="14"/>
    </row>
    <row r="169" ht="14.25" customHeight="1">
      <c r="A169" s="10" t="s">
        <v>30</v>
      </c>
      <c r="B169" s="10" t="s">
        <v>31</v>
      </c>
      <c r="C169" s="10">
        <v>168.0</v>
      </c>
      <c r="D169" s="11" t="s">
        <v>542</v>
      </c>
      <c r="E169" s="11" t="s">
        <v>543</v>
      </c>
      <c r="F169" s="11" t="s">
        <v>34</v>
      </c>
      <c r="G169" s="10">
        <v>168.0</v>
      </c>
      <c r="H169" s="10">
        <f>VLOOKUP(F169,'Generos y Familia'!$A$1:$C$623,2,FALSE)</f>
        <v>27</v>
      </c>
      <c r="I169" s="12" t="str">
        <f t="shared" si="1"/>
        <v>Brownea ariza</v>
      </c>
      <c r="J169" s="10" t="str">
        <f t="shared" si="2"/>
        <v>168 Brownea ariza</v>
      </c>
      <c r="K169" s="10" t="str">
        <f t="shared" si="3"/>
        <v>Arizá; Palo Cruz</v>
      </c>
      <c r="L169" s="10" t="str">
        <f t="shared" si="4"/>
        <v>168 Arizá; Palo Cruz</v>
      </c>
      <c r="M169" s="10" t="s">
        <v>35</v>
      </c>
      <c r="N169" s="10" t="s">
        <v>36</v>
      </c>
      <c r="O169" s="10" t="s">
        <v>37</v>
      </c>
      <c r="P169" s="10" t="s">
        <v>544</v>
      </c>
      <c r="Q169" s="17" t="s">
        <v>379</v>
      </c>
      <c r="R169" s="14" t="s">
        <v>39</v>
      </c>
      <c r="S169" s="17" t="s">
        <v>442</v>
      </c>
      <c r="T169" s="14" t="s">
        <v>39</v>
      </c>
      <c r="U169" s="14" t="s">
        <v>73</v>
      </c>
      <c r="V169" s="14">
        <v>0.5</v>
      </c>
      <c r="W169" s="17" t="s">
        <v>545</v>
      </c>
      <c r="X169" s="14" t="s">
        <v>190</v>
      </c>
    </row>
    <row r="170" ht="14.25" customHeight="1">
      <c r="A170" s="10" t="s">
        <v>30</v>
      </c>
      <c r="B170" s="10" t="s">
        <v>31</v>
      </c>
      <c r="C170" s="10">
        <v>169.0</v>
      </c>
      <c r="D170" s="11" t="s">
        <v>546</v>
      </c>
      <c r="E170" s="11" t="s">
        <v>547</v>
      </c>
      <c r="F170" s="11" t="s">
        <v>34</v>
      </c>
      <c r="G170" s="10">
        <v>169.0</v>
      </c>
      <c r="H170" s="10">
        <f>VLOOKUP(F170,'Generos y Familia'!$A$1:$C$623,2,FALSE)</f>
        <v>27</v>
      </c>
      <c r="I170" s="12" t="str">
        <f t="shared" si="1"/>
        <v>Brownea grandiceps</v>
      </c>
      <c r="J170" s="10" t="str">
        <f t="shared" si="2"/>
        <v>169 Brownea grandiceps</v>
      </c>
      <c r="K170" s="10" t="str">
        <f t="shared" si="3"/>
        <v>Arizá Grandiceps</v>
      </c>
      <c r="L170" s="10" t="str">
        <f t="shared" si="4"/>
        <v>169 Arizá Grandiceps</v>
      </c>
      <c r="M170" s="10" t="s">
        <v>35</v>
      </c>
      <c r="N170" s="10" t="s">
        <v>36</v>
      </c>
      <c r="O170" s="10" t="s">
        <v>37</v>
      </c>
      <c r="P170" s="10" t="s">
        <v>544</v>
      </c>
      <c r="Q170" s="13">
        <v>8.0</v>
      </c>
      <c r="R170" s="13" t="s">
        <v>39</v>
      </c>
      <c r="S170" s="13">
        <v>30.0</v>
      </c>
      <c r="T170" s="13" t="s">
        <v>39</v>
      </c>
      <c r="U170" s="13" t="s">
        <v>40</v>
      </c>
      <c r="V170" s="13"/>
      <c r="W170" s="16"/>
      <c r="X170" s="13"/>
    </row>
    <row r="171" ht="14.25" customHeight="1">
      <c r="A171" s="10" t="s">
        <v>30</v>
      </c>
      <c r="B171" s="10" t="s">
        <v>31</v>
      </c>
      <c r="C171" s="10">
        <v>170.0</v>
      </c>
      <c r="D171" s="11" t="s">
        <v>548</v>
      </c>
      <c r="E171" s="11" t="s">
        <v>549</v>
      </c>
      <c r="F171" s="11" t="s">
        <v>34</v>
      </c>
      <c r="G171" s="10">
        <v>170.0</v>
      </c>
      <c r="H171" s="10">
        <f>VLOOKUP(F171,'Generos y Familia'!$A$1:$C$623,2,FALSE)</f>
        <v>27</v>
      </c>
      <c r="I171" s="12" t="str">
        <f t="shared" si="1"/>
        <v>Brownea sp</v>
      </c>
      <c r="J171" s="10" t="str">
        <f t="shared" si="2"/>
        <v>170 Brownea sp</v>
      </c>
      <c r="K171" s="10" t="str">
        <f t="shared" si="3"/>
        <v>Arizá Blanco</v>
      </c>
      <c r="L171" s="10" t="str">
        <f t="shared" si="4"/>
        <v>170 Arizá Blanco</v>
      </c>
      <c r="M171" s="10" t="s">
        <v>35</v>
      </c>
      <c r="N171" s="10" t="s">
        <v>36</v>
      </c>
      <c r="O171" s="10" t="s">
        <v>37</v>
      </c>
      <c r="P171" s="10" t="s">
        <v>544</v>
      </c>
      <c r="Q171" s="17" t="s">
        <v>550</v>
      </c>
      <c r="R171" s="14" t="s">
        <v>39</v>
      </c>
      <c r="S171" s="17" t="s">
        <v>541</v>
      </c>
      <c r="T171" s="14" t="s">
        <v>39</v>
      </c>
      <c r="U171" s="14" t="s">
        <v>40</v>
      </c>
      <c r="V171" s="14">
        <v>0.5</v>
      </c>
      <c r="W171" s="18" t="s">
        <v>545</v>
      </c>
      <c r="X171" s="14" t="s">
        <v>190</v>
      </c>
    </row>
    <row r="172" ht="14.25" customHeight="1">
      <c r="A172" s="10" t="s">
        <v>30</v>
      </c>
      <c r="B172" s="10" t="s">
        <v>31</v>
      </c>
      <c r="C172" s="10">
        <v>171.0</v>
      </c>
      <c r="D172" s="11" t="s">
        <v>551</v>
      </c>
      <c r="E172" s="11" t="s">
        <v>552</v>
      </c>
      <c r="F172" s="11" t="s">
        <v>34</v>
      </c>
      <c r="G172" s="10">
        <v>171.0</v>
      </c>
      <c r="H172" s="10">
        <f>VLOOKUP(F172,'Generos y Familia'!$A$1:$C$623,2,FALSE)</f>
        <v>27</v>
      </c>
      <c r="I172" s="12" t="str">
        <f t="shared" si="1"/>
        <v>Brownea stenantha</v>
      </c>
      <c r="J172" s="10" t="str">
        <f t="shared" si="2"/>
        <v>171 Brownea stenantha</v>
      </c>
      <c r="K172" s="10" t="str">
        <f t="shared" si="3"/>
        <v>Arizá; Florisanto; Clavellino</v>
      </c>
      <c r="L172" s="10" t="str">
        <f t="shared" si="4"/>
        <v>171 Arizá; Florisanto; Clavellino</v>
      </c>
      <c r="M172" s="10" t="s">
        <v>35</v>
      </c>
      <c r="N172" s="10" t="s">
        <v>36</v>
      </c>
      <c r="O172" s="10" t="s">
        <v>37</v>
      </c>
      <c r="P172" s="10" t="s">
        <v>544</v>
      </c>
      <c r="Q172" s="13">
        <v>20.0</v>
      </c>
      <c r="R172" s="13" t="s">
        <v>39</v>
      </c>
      <c r="S172" s="13">
        <v>40.0</v>
      </c>
      <c r="T172" s="13" t="s">
        <v>39</v>
      </c>
      <c r="U172" s="13" t="s">
        <v>40</v>
      </c>
      <c r="V172" s="13"/>
      <c r="W172" s="13"/>
      <c r="X172" s="13"/>
    </row>
    <row r="173" ht="14.25" customHeight="1">
      <c r="A173" s="10" t="s">
        <v>30</v>
      </c>
      <c r="B173" s="10" t="s">
        <v>31</v>
      </c>
      <c r="C173" s="10">
        <v>172.0</v>
      </c>
      <c r="D173" s="11" t="s">
        <v>553</v>
      </c>
      <c r="E173" s="11" t="s">
        <v>554</v>
      </c>
      <c r="F173" s="11" t="s">
        <v>34</v>
      </c>
      <c r="G173" s="10">
        <v>172.0</v>
      </c>
      <c r="H173" s="10">
        <f>VLOOKUP(F173,'Generos y Familia'!$A$1:$C$623,2,FALSE)</f>
        <v>27</v>
      </c>
      <c r="I173" s="12" t="str">
        <f t="shared" si="1"/>
        <v>Browneopsis excelsa</v>
      </c>
      <c r="J173" s="10" t="str">
        <f t="shared" si="2"/>
        <v>172 Browneopsis excelsa</v>
      </c>
      <c r="K173" s="10" t="str">
        <f t="shared" si="3"/>
        <v>Cruceto; Palo de Cruz</v>
      </c>
      <c r="L173" s="10" t="str">
        <f t="shared" si="4"/>
        <v>172 Cruceto; Palo de Cruz</v>
      </c>
      <c r="M173" s="10" t="s">
        <v>35</v>
      </c>
      <c r="N173" s="10" t="s">
        <v>36</v>
      </c>
      <c r="O173" s="10" t="s">
        <v>37</v>
      </c>
      <c r="P173" s="10" t="s">
        <v>555</v>
      </c>
      <c r="Q173" s="13"/>
      <c r="R173" s="13"/>
      <c r="S173" s="13"/>
      <c r="T173" s="13"/>
      <c r="U173" s="13"/>
      <c r="V173" s="13"/>
      <c r="W173" s="13"/>
      <c r="X173" s="13"/>
    </row>
    <row r="174" ht="14.25" customHeight="1">
      <c r="A174" s="10" t="s">
        <v>30</v>
      </c>
      <c r="B174" s="10" t="s">
        <v>31</v>
      </c>
      <c r="C174" s="10">
        <v>173.0</v>
      </c>
      <c r="D174" s="11" t="s">
        <v>556</v>
      </c>
      <c r="E174" s="11" t="s">
        <v>557</v>
      </c>
      <c r="F174" s="11" t="s">
        <v>103</v>
      </c>
      <c r="G174" s="10">
        <v>173.0</v>
      </c>
      <c r="H174" s="10">
        <f>VLOOKUP(F174,'Generos y Familia'!$A$1:$C$623,2,FALSE)</f>
        <v>89</v>
      </c>
      <c r="I174" s="12" t="str">
        <f t="shared" si="1"/>
        <v>Brugmansia arborea</v>
      </c>
      <c r="J174" s="10" t="str">
        <f t="shared" si="2"/>
        <v>173 Brugmansia arborea</v>
      </c>
      <c r="K174" s="10" t="str">
        <f t="shared" si="3"/>
        <v>Borrachero; Floripondio; Trompeta de Ángel</v>
      </c>
      <c r="L174" s="10" t="str">
        <f t="shared" si="4"/>
        <v>173 Borrachero; Floripondio; Trompeta de Ángel</v>
      </c>
      <c r="M174" s="10" t="s">
        <v>35</v>
      </c>
      <c r="N174" s="10" t="s">
        <v>36</v>
      </c>
      <c r="O174" s="10" t="s">
        <v>47</v>
      </c>
      <c r="P174" s="10" t="s">
        <v>558</v>
      </c>
      <c r="Q174" s="17" t="s">
        <v>559</v>
      </c>
      <c r="R174" s="19" t="s">
        <v>105</v>
      </c>
      <c r="S174" s="17" t="s">
        <v>54</v>
      </c>
      <c r="T174" s="14"/>
      <c r="U174" s="14" t="s">
        <v>55</v>
      </c>
      <c r="V174" s="14"/>
      <c r="W174" s="18" t="s">
        <v>70</v>
      </c>
      <c r="X174" s="14"/>
    </row>
    <row r="175" ht="14.25" customHeight="1">
      <c r="A175" s="10" t="s">
        <v>30</v>
      </c>
      <c r="B175" s="10" t="s">
        <v>31</v>
      </c>
      <c r="C175" s="10">
        <v>174.0</v>
      </c>
      <c r="D175" s="11" t="s">
        <v>560</v>
      </c>
      <c r="E175" s="11" t="s">
        <v>558</v>
      </c>
      <c r="F175" s="11" t="s">
        <v>103</v>
      </c>
      <c r="G175" s="10">
        <v>174.0</v>
      </c>
      <c r="H175" s="10">
        <f>VLOOKUP(F175,'Generos y Familia'!$A$1:$C$623,2,FALSE)</f>
        <v>89</v>
      </c>
      <c r="I175" s="12" t="str">
        <f t="shared" si="1"/>
        <v>Brugmansia sp</v>
      </c>
      <c r="J175" s="10" t="str">
        <f t="shared" si="2"/>
        <v>174 Brugmansia sp</v>
      </c>
      <c r="K175" s="10" t="str">
        <f t="shared" si="3"/>
        <v>Brugmansia</v>
      </c>
      <c r="L175" s="10" t="str">
        <f t="shared" si="4"/>
        <v>174 Brugmansia</v>
      </c>
      <c r="M175" s="10" t="s">
        <v>35</v>
      </c>
      <c r="N175" s="10" t="s">
        <v>36</v>
      </c>
      <c r="O175" s="10" t="s">
        <v>47</v>
      </c>
      <c r="P175" s="10" t="s">
        <v>558</v>
      </c>
      <c r="Q175" s="17" t="s">
        <v>559</v>
      </c>
      <c r="R175" s="14"/>
      <c r="S175" s="17" t="s">
        <v>54</v>
      </c>
      <c r="T175" s="14"/>
      <c r="U175" s="14" t="s">
        <v>55</v>
      </c>
      <c r="V175" s="14"/>
      <c r="W175" s="17" t="s">
        <v>70</v>
      </c>
      <c r="X175" s="14"/>
    </row>
    <row r="176" ht="14.25" customHeight="1">
      <c r="A176" s="10" t="s">
        <v>30</v>
      </c>
      <c r="B176" s="10" t="s">
        <v>31</v>
      </c>
      <c r="C176" s="10">
        <v>175.0</v>
      </c>
      <c r="D176" s="11" t="s">
        <v>561</v>
      </c>
      <c r="E176" s="11" t="s">
        <v>562</v>
      </c>
      <c r="F176" s="11" t="s">
        <v>103</v>
      </c>
      <c r="G176" s="10">
        <v>175.0</v>
      </c>
      <c r="H176" s="10">
        <f>VLOOKUP(F176,'Generos y Familia'!$A$1:$C$623,2,FALSE)</f>
        <v>89</v>
      </c>
      <c r="I176" s="12" t="str">
        <f t="shared" si="1"/>
        <v>Brunfelsia grandiflora</v>
      </c>
      <c r="J176" s="10" t="str">
        <f t="shared" si="2"/>
        <v>175 Brunfelsia grandiflora</v>
      </c>
      <c r="K176" s="10" t="str">
        <f t="shared" si="3"/>
        <v>Borrachero; Chiric Sanango; Chacruco; Picudo</v>
      </c>
      <c r="L176" s="10" t="str">
        <f t="shared" si="4"/>
        <v>175 Borrachero; Chiric Sanango; Chacruco; Picudo</v>
      </c>
      <c r="M176" s="10" t="s">
        <v>35</v>
      </c>
      <c r="N176" s="10" t="s">
        <v>36</v>
      </c>
      <c r="O176" s="10" t="s">
        <v>47</v>
      </c>
      <c r="P176" s="10" t="s">
        <v>563</v>
      </c>
      <c r="Q176" s="13">
        <v>3.0</v>
      </c>
      <c r="R176" s="13" t="s">
        <v>53</v>
      </c>
      <c r="S176" s="13"/>
      <c r="T176" s="13"/>
      <c r="U176" s="13" t="s">
        <v>55</v>
      </c>
      <c r="V176" s="13"/>
      <c r="W176" s="13"/>
      <c r="X176" s="13"/>
    </row>
    <row r="177" ht="14.25" customHeight="1">
      <c r="A177" s="10" t="s">
        <v>30</v>
      </c>
      <c r="B177" s="10" t="s">
        <v>31</v>
      </c>
      <c r="C177" s="10">
        <v>176.0</v>
      </c>
      <c r="D177" s="11" t="s">
        <v>564</v>
      </c>
      <c r="E177" s="11" t="s">
        <v>565</v>
      </c>
      <c r="F177" s="11" t="s">
        <v>103</v>
      </c>
      <c r="G177" s="10">
        <v>176.0</v>
      </c>
      <c r="H177" s="10">
        <f>VLOOKUP(F177,'Generos y Familia'!$A$1:$C$623,2,FALSE)</f>
        <v>89</v>
      </c>
      <c r="I177" s="12" t="str">
        <f t="shared" si="1"/>
        <v>Brunfelsia pauciflora</v>
      </c>
      <c r="J177" s="10" t="str">
        <f t="shared" si="2"/>
        <v>176 Brunfelsia pauciflora</v>
      </c>
      <c r="K177" s="10" t="str">
        <f t="shared" si="3"/>
        <v>Francesino</v>
      </c>
      <c r="L177" s="10" t="str">
        <f t="shared" si="4"/>
        <v>176 Francesino</v>
      </c>
      <c r="M177" s="10" t="s">
        <v>46</v>
      </c>
      <c r="N177" s="10" t="s">
        <v>36</v>
      </c>
      <c r="O177" s="10" t="s">
        <v>47</v>
      </c>
      <c r="P177" s="10" t="s">
        <v>563</v>
      </c>
      <c r="Q177" s="17" t="s">
        <v>421</v>
      </c>
      <c r="R177" s="14" t="s">
        <v>39</v>
      </c>
      <c r="S177" s="17" t="s">
        <v>145</v>
      </c>
      <c r="T177" s="14" t="s">
        <v>39</v>
      </c>
      <c r="U177" s="14" t="s">
        <v>55</v>
      </c>
      <c r="V177" s="14"/>
      <c r="W177" s="17" t="s">
        <v>566</v>
      </c>
      <c r="X177" s="14"/>
    </row>
    <row r="178" ht="14.25" customHeight="1">
      <c r="A178" s="10" t="s">
        <v>30</v>
      </c>
      <c r="B178" s="10" t="s">
        <v>31</v>
      </c>
      <c r="C178" s="10">
        <v>177.0</v>
      </c>
      <c r="D178" s="11" t="s">
        <v>567</v>
      </c>
      <c r="E178" s="11" t="s">
        <v>568</v>
      </c>
      <c r="F178" s="11" t="s">
        <v>103</v>
      </c>
      <c r="G178" s="10">
        <v>177.0</v>
      </c>
      <c r="H178" s="10">
        <f>VLOOKUP(F178,'Generos y Familia'!$A$1:$C$623,2,FALSE)</f>
        <v>89</v>
      </c>
      <c r="I178" s="12" t="str">
        <f t="shared" si="1"/>
        <v>Brunfelsia sp</v>
      </c>
      <c r="J178" s="10" t="str">
        <f t="shared" si="2"/>
        <v>177 Brunfelsia sp</v>
      </c>
      <c r="K178" s="10" t="str">
        <f t="shared" si="3"/>
        <v>Francesina</v>
      </c>
      <c r="L178" s="10" t="str">
        <f t="shared" si="4"/>
        <v>177 Francesina</v>
      </c>
      <c r="M178" s="10" t="s">
        <v>46</v>
      </c>
      <c r="N178" s="10" t="s">
        <v>36</v>
      </c>
      <c r="O178" s="10" t="s">
        <v>47</v>
      </c>
      <c r="P178" s="10" t="s">
        <v>563</v>
      </c>
      <c r="Q178" s="17" t="s">
        <v>421</v>
      </c>
      <c r="R178" s="14"/>
      <c r="S178" s="17" t="s">
        <v>145</v>
      </c>
      <c r="T178" s="14"/>
      <c r="U178" s="14" t="s">
        <v>55</v>
      </c>
      <c r="V178" s="14"/>
      <c r="W178" s="17" t="s">
        <v>566</v>
      </c>
      <c r="X178" s="14"/>
    </row>
    <row r="179" ht="14.25" customHeight="1">
      <c r="A179" s="10" t="s">
        <v>30</v>
      </c>
      <c r="B179" s="10" t="s">
        <v>31</v>
      </c>
      <c r="C179" s="10">
        <v>178.0</v>
      </c>
      <c r="D179" s="11" t="s">
        <v>569</v>
      </c>
      <c r="E179" s="11" t="s">
        <v>570</v>
      </c>
      <c r="F179" s="11" t="s">
        <v>103</v>
      </c>
      <c r="G179" s="10">
        <v>178.0</v>
      </c>
      <c r="H179" s="10">
        <f>VLOOKUP(F179,'Generos y Familia'!$A$1:$C$623,2,FALSE)</f>
        <v>89</v>
      </c>
      <c r="I179" s="12" t="str">
        <f t="shared" si="1"/>
        <v>Brunfelsia undulata</v>
      </c>
      <c r="J179" s="10" t="str">
        <f t="shared" si="2"/>
        <v>178 Brunfelsia undulata</v>
      </c>
      <c r="K179" s="10" t="str">
        <f t="shared" si="3"/>
        <v>Huele Noche</v>
      </c>
      <c r="L179" s="10" t="str">
        <f t="shared" si="4"/>
        <v>178 Huele Noche</v>
      </c>
      <c r="M179" s="10" t="s">
        <v>46</v>
      </c>
      <c r="N179" s="10" t="s">
        <v>36</v>
      </c>
      <c r="O179" s="10" t="s">
        <v>47</v>
      </c>
      <c r="P179" s="10" t="s">
        <v>563</v>
      </c>
      <c r="Q179" s="13"/>
      <c r="R179" s="13"/>
      <c r="S179" s="13"/>
      <c r="T179" s="13"/>
      <c r="U179" s="13"/>
      <c r="V179" s="13"/>
      <c r="W179" s="13"/>
      <c r="X179" s="13"/>
    </row>
    <row r="180" ht="14.25" customHeight="1">
      <c r="A180" s="10" t="s">
        <v>30</v>
      </c>
      <c r="B180" s="10" t="s">
        <v>63</v>
      </c>
      <c r="C180" s="10">
        <v>179.0</v>
      </c>
      <c r="D180" s="11" t="s">
        <v>571</v>
      </c>
      <c r="E180" s="11" t="s">
        <v>568</v>
      </c>
      <c r="F180" s="11" t="s">
        <v>103</v>
      </c>
      <c r="G180" s="10">
        <v>179.0</v>
      </c>
      <c r="H180" s="10">
        <f>VLOOKUP(F180,'Generos y Familia'!$A$1:$C$623,2,FALSE)</f>
        <v>89</v>
      </c>
      <c r="I180" s="12" t="str">
        <f t="shared" si="1"/>
        <v>Brunfelsia uniflora</v>
      </c>
      <c r="J180" s="10" t="str">
        <f t="shared" si="2"/>
        <v>179 Brunfelsia uniflora</v>
      </c>
      <c r="K180" s="10" t="str">
        <f t="shared" si="3"/>
        <v>Francesina</v>
      </c>
      <c r="L180" s="10" t="str">
        <f t="shared" si="4"/>
        <v>179 Francesina</v>
      </c>
      <c r="M180" s="10" t="s">
        <v>35</v>
      </c>
      <c r="N180" s="10" t="s">
        <v>36</v>
      </c>
      <c r="O180" s="10" t="s">
        <v>47</v>
      </c>
      <c r="P180" s="10" t="s">
        <v>563</v>
      </c>
      <c r="Q180" s="17" t="s">
        <v>153</v>
      </c>
      <c r="R180" s="14"/>
      <c r="S180" s="17" t="s">
        <v>145</v>
      </c>
      <c r="T180" s="14"/>
      <c r="U180" s="14" t="s">
        <v>55</v>
      </c>
      <c r="V180" s="14"/>
      <c r="W180" s="18" t="s">
        <v>566</v>
      </c>
      <c r="X180" s="14"/>
    </row>
    <row r="181" ht="14.25" customHeight="1">
      <c r="A181" s="10" t="s">
        <v>30</v>
      </c>
      <c r="B181" s="10" t="s">
        <v>31</v>
      </c>
      <c r="C181" s="10">
        <v>180.0</v>
      </c>
      <c r="D181" s="11" t="s">
        <v>572</v>
      </c>
      <c r="E181" s="11" t="s">
        <v>573</v>
      </c>
      <c r="F181" s="11" t="s">
        <v>574</v>
      </c>
      <c r="G181" s="10">
        <v>180.0</v>
      </c>
      <c r="H181" s="10">
        <f>VLOOKUP(F181,'Generos y Familia'!$A$1:$C$623,2,FALSE)</f>
        <v>39</v>
      </c>
      <c r="I181" s="12" t="str">
        <f t="shared" si="1"/>
        <v>Terminalia pulcherrima</v>
      </c>
      <c r="J181" s="10" t="str">
        <f t="shared" si="2"/>
        <v>180 Terminalia pulcherrima</v>
      </c>
      <c r="K181" s="10" t="str">
        <f t="shared" si="3"/>
        <v>Acabí; Guayabillo; Granadillo</v>
      </c>
      <c r="L181" s="10" t="str">
        <f t="shared" si="4"/>
        <v>180 Acabí; Guayabillo; Granadillo</v>
      </c>
      <c r="M181" s="10" t="s">
        <v>35</v>
      </c>
      <c r="N181" s="10" t="s">
        <v>36</v>
      </c>
      <c r="O181" s="10" t="s">
        <v>47</v>
      </c>
      <c r="P181" s="10" t="s">
        <v>575</v>
      </c>
      <c r="Q181" s="13"/>
      <c r="R181" s="13"/>
      <c r="S181" s="13" t="s">
        <v>576</v>
      </c>
      <c r="T181" s="13"/>
      <c r="U181" s="13"/>
      <c r="V181" s="13"/>
      <c r="W181" s="13"/>
      <c r="X181" s="13"/>
    </row>
    <row r="182" ht="14.25" customHeight="1">
      <c r="A182" s="10" t="s">
        <v>30</v>
      </c>
      <c r="B182" s="10" t="s">
        <v>31</v>
      </c>
      <c r="C182" s="10">
        <v>181.0</v>
      </c>
      <c r="D182" s="11" t="s">
        <v>577</v>
      </c>
      <c r="E182" s="11" t="s">
        <v>578</v>
      </c>
      <c r="F182" s="11" t="s">
        <v>574</v>
      </c>
      <c r="G182" s="10">
        <v>181.0</v>
      </c>
      <c r="H182" s="10">
        <f>VLOOKUP(F182,'Generos y Familia'!$A$1:$C$623,2,FALSE)</f>
        <v>39</v>
      </c>
      <c r="I182" s="12" t="str">
        <f t="shared" si="1"/>
        <v>Terminalia tetraphylla</v>
      </c>
      <c r="J182" s="10" t="str">
        <f t="shared" si="2"/>
        <v>181 Terminalia tetraphylla</v>
      </c>
      <c r="K182" s="10" t="str">
        <f t="shared" si="3"/>
        <v>Muli; Capacho</v>
      </c>
      <c r="L182" s="10" t="str">
        <f t="shared" si="4"/>
        <v>181 Muli; Capacho</v>
      </c>
      <c r="M182" s="10" t="s">
        <v>35</v>
      </c>
      <c r="N182" s="10" t="s">
        <v>36</v>
      </c>
      <c r="O182" s="10" t="s">
        <v>37</v>
      </c>
      <c r="P182" s="10" t="s">
        <v>575</v>
      </c>
      <c r="Q182" s="13"/>
      <c r="R182" s="13"/>
      <c r="S182" s="13" t="s">
        <v>579</v>
      </c>
      <c r="T182" s="13"/>
      <c r="U182" s="13"/>
      <c r="V182" s="13"/>
      <c r="W182" s="13"/>
      <c r="X182" s="13"/>
    </row>
    <row r="183" ht="14.25" customHeight="1">
      <c r="A183" s="10" t="s">
        <v>30</v>
      </c>
      <c r="B183" s="10" t="s">
        <v>31</v>
      </c>
      <c r="C183" s="10">
        <v>182.0</v>
      </c>
      <c r="D183" s="11" t="s">
        <v>580</v>
      </c>
      <c r="E183" s="11" t="s">
        <v>581</v>
      </c>
      <c r="F183" s="11" t="s">
        <v>574</v>
      </c>
      <c r="G183" s="10">
        <v>182.0</v>
      </c>
      <c r="H183" s="10">
        <f>VLOOKUP(F183,'Generos y Familia'!$A$1:$C$623,2,FALSE)</f>
        <v>39</v>
      </c>
      <c r="I183" s="12" t="str">
        <f t="shared" si="1"/>
        <v>Terminalia buceras</v>
      </c>
      <c r="J183" s="10" t="str">
        <f t="shared" si="2"/>
        <v>182 Terminalia buceras</v>
      </c>
      <c r="K183" s="10" t="str">
        <f t="shared" si="3"/>
        <v>Olivo Negro; Júcaro de Playa</v>
      </c>
      <c r="L183" s="10" t="str">
        <f t="shared" si="4"/>
        <v>182 Olivo Negro; Júcaro de Playa</v>
      </c>
      <c r="M183" s="10" t="s">
        <v>35</v>
      </c>
      <c r="N183" s="10" t="s">
        <v>36</v>
      </c>
      <c r="O183" s="10" t="s">
        <v>37</v>
      </c>
      <c r="P183" s="10" t="s">
        <v>575</v>
      </c>
      <c r="Q183" s="13"/>
      <c r="R183" s="13"/>
      <c r="S183" s="13"/>
      <c r="T183" s="13"/>
      <c r="U183" s="13"/>
      <c r="V183" s="13"/>
      <c r="W183" s="13"/>
      <c r="X183" s="13"/>
    </row>
    <row r="184" ht="14.25" customHeight="1">
      <c r="A184" s="10" t="s">
        <v>30</v>
      </c>
      <c r="B184" s="10" t="s">
        <v>31</v>
      </c>
      <c r="C184" s="10">
        <v>183.0</v>
      </c>
      <c r="D184" s="11" t="s">
        <v>582</v>
      </c>
      <c r="E184" s="11" t="s">
        <v>583</v>
      </c>
      <c r="F184" s="11" t="s">
        <v>584</v>
      </c>
      <c r="G184" s="10">
        <v>183.0</v>
      </c>
      <c r="H184" s="10">
        <f>VLOOKUP(F184,'Generos y Familia'!$A$1:$C$623,2,FALSE)</f>
        <v>86</v>
      </c>
      <c r="I184" s="12" t="str">
        <f t="shared" si="1"/>
        <v>Buddleja davidii</v>
      </c>
      <c r="J184" s="10" t="str">
        <f t="shared" si="2"/>
        <v>183 Buddleja davidii</v>
      </c>
      <c r="K184" s="10" t="str">
        <f t="shared" si="3"/>
        <v>Budelia; Butleya; Arbusto de las Mariposas; Ramillete</v>
      </c>
      <c r="L184" s="10" t="str">
        <f t="shared" si="4"/>
        <v>183 Budelia; Butleya; Arbusto de las Mariposas; Ramillete</v>
      </c>
      <c r="M184" s="10" t="s">
        <v>46</v>
      </c>
      <c r="N184" s="10" t="s">
        <v>36</v>
      </c>
      <c r="O184" s="10" t="s">
        <v>47</v>
      </c>
      <c r="P184" s="10" t="s">
        <v>585</v>
      </c>
      <c r="Q184" s="13">
        <v>5.0</v>
      </c>
      <c r="R184" s="13" t="s">
        <v>53</v>
      </c>
      <c r="S184" s="13"/>
      <c r="T184" s="13"/>
      <c r="U184" s="13" t="s">
        <v>55</v>
      </c>
      <c r="V184" s="13"/>
      <c r="W184" s="13"/>
      <c r="X184" s="13"/>
    </row>
    <row r="185" ht="14.25" customHeight="1">
      <c r="A185" s="10" t="s">
        <v>30</v>
      </c>
      <c r="B185" s="10" t="s">
        <v>31</v>
      </c>
      <c r="C185" s="10">
        <v>184.0</v>
      </c>
      <c r="D185" s="11" t="s">
        <v>586</v>
      </c>
      <c r="E185" s="11" t="s">
        <v>587</v>
      </c>
      <c r="F185" s="11" t="s">
        <v>588</v>
      </c>
      <c r="G185" s="10">
        <v>184.0</v>
      </c>
      <c r="H185" s="10">
        <f>VLOOKUP(F185,'Generos y Familia'!$A$1:$C$623,2,FALSE)</f>
        <v>102</v>
      </c>
      <c r="I185" s="12" t="str">
        <f t="shared" si="1"/>
        <v>Bulnesia arborea</v>
      </c>
      <c r="J185" s="10" t="str">
        <f t="shared" si="2"/>
        <v>184 Bulnesia arborea</v>
      </c>
      <c r="K185" s="10" t="str">
        <f t="shared" si="3"/>
        <v>Guayacán de Bola</v>
      </c>
      <c r="L185" s="10" t="str">
        <f t="shared" si="4"/>
        <v>184 Guayacán de Bola</v>
      </c>
      <c r="M185" s="10" t="s">
        <v>35</v>
      </c>
      <c r="N185" s="10" t="s">
        <v>36</v>
      </c>
      <c r="O185" s="10" t="s">
        <v>37</v>
      </c>
      <c r="P185" s="10" t="s">
        <v>589</v>
      </c>
      <c r="Q185" s="13">
        <v>20.0</v>
      </c>
      <c r="R185" s="13" t="s">
        <v>39</v>
      </c>
      <c r="S185" s="13">
        <v>50.0</v>
      </c>
      <c r="T185" s="13" t="s">
        <v>39</v>
      </c>
      <c r="U185" s="13" t="s">
        <v>40</v>
      </c>
      <c r="V185" s="13">
        <v>0.94</v>
      </c>
      <c r="W185" s="16"/>
      <c r="X185" s="13"/>
    </row>
    <row r="186" ht="14.25" customHeight="1">
      <c r="A186" s="10" t="s">
        <v>30</v>
      </c>
      <c r="B186" s="10" t="s">
        <v>31</v>
      </c>
      <c r="C186" s="10">
        <v>185.0</v>
      </c>
      <c r="D186" s="11" t="s">
        <v>590</v>
      </c>
      <c r="E186" s="11" t="s">
        <v>591</v>
      </c>
      <c r="F186" s="11" t="s">
        <v>588</v>
      </c>
      <c r="G186" s="10">
        <v>185.0</v>
      </c>
      <c r="H186" s="10">
        <f>VLOOKUP(F186,'Generos y Familia'!$A$1:$C$623,2,FALSE)</f>
        <v>102</v>
      </c>
      <c r="I186" s="12" t="str">
        <f t="shared" si="1"/>
        <v>Plectrocarpa carrapo</v>
      </c>
      <c r="J186" s="10" t="str">
        <f t="shared" si="2"/>
        <v>185 Plectrocarpa carrapo</v>
      </c>
      <c r="K186" s="10" t="str">
        <f t="shared" si="3"/>
        <v>Guayacán; Guayacán de Bola; Guayacán Caparro</v>
      </c>
      <c r="L186" s="10" t="str">
        <f t="shared" si="4"/>
        <v>185 Guayacán; Guayacán de Bola; Guayacán Caparro</v>
      </c>
      <c r="M186" s="10" t="s">
        <v>35</v>
      </c>
      <c r="N186" s="10" t="s">
        <v>36</v>
      </c>
      <c r="O186" s="10" t="s">
        <v>37</v>
      </c>
      <c r="P186" s="10" t="s">
        <v>592</v>
      </c>
      <c r="Q186" s="13"/>
      <c r="R186" s="13"/>
      <c r="S186" s="13" t="s">
        <v>593</v>
      </c>
      <c r="T186" s="13"/>
      <c r="U186" s="13"/>
      <c r="V186" s="13"/>
      <c r="W186" s="16"/>
      <c r="X186" s="13"/>
    </row>
    <row r="187" ht="14.25" customHeight="1">
      <c r="A187" s="10" t="s">
        <v>30</v>
      </c>
      <c r="B187" s="10" t="s">
        <v>31</v>
      </c>
      <c r="C187" s="10">
        <v>186.0</v>
      </c>
      <c r="D187" s="11" t="s">
        <v>594</v>
      </c>
      <c r="E187" s="11" t="s">
        <v>595</v>
      </c>
      <c r="F187" s="11" t="s">
        <v>596</v>
      </c>
      <c r="G187" s="10">
        <v>186.0</v>
      </c>
      <c r="H187" s="10">
        <f>VLOOKUP(F187,'Generos y Familia'!$A$1:$C$623,2,FALSE)</f>
        <v>39</v>
      </c>
      <c r="I187" s="12" t="str">
        <f t="shared" si="1"/>
        <v>Bunchosia armeniaca</v>
      </c>
      <c r="J187" s="10" t="str">
        <f t="shared" si="2"/>
        <v>186 Bunchosia armeniaca</v>
      </c>
      <c r="K187" s="10" t="str">
        <f t="shared" si="3"/>
        <v>Confite; Ciruelo</v>
      </c>
      <c r="L187" s="10" t="str">
        <f t="shared" si="4"/>
        <v>186 Confite; Ciruelo</v>
      </c>
      <c r="M187" s="10" t="s">
        <v>35</v>
      </c>
      <c r="N187" s="10" t="s">
        <v>36</v>
      </c>
      <c r="O187" s="10" t="s">
        <v>47</v>
      </c>
      <c r="P187" s="10" t="s">
        <v>597</v>
      </c>
      <c r="Q187" s="17" t="s">
        <v>559</v>
      </c>
      <c r="R187" s="14" t="s">
        <v>39</v>
      </c>
      <c r="S187" s="17" t="s">
        <v>145</v>
      </c>
      <c r="T187" s="14" t="s">
        <v>39</v>
      </c>
      <c r="U187" s="14" t="s">
        <v>55</v>
      </c>
      <c r="V187" s="14"/>
      <c r="W187" s="17" t="s">
        <v>54</v>
      </c>
      <c r="X187" s="14"/>
    </row>
    <row r="188" ht="14.25" customHeight="1">
      <c r="A188" s="10" t="s">
        <v>30</v>
      </c>
      <c r="B188" s="10" t="s">
        <v>31</v>
      </c>
      <c r="C188" s="10">
        <v>187.0</v>
      </c>
      <c r="D188" s="11" t="s">
        <v>598</v>
      </c>
      <c r="E188" s="11" t="s">
        <v>599</v>
      </c>
      <c r="F188" s="11" t="s">
        <v>596</v>
      </c>
      <c r="G188" s="10">
        <v>187.0</v>
      </c>
      <c r="H188" s="10">
        <f>VLOOKUP(F188,'Generos y Familia'!$A$1:$C$623,2,FALSE)</f>
        <v>39</v>
      </c>
      <c r="I188" s="12" t="str">
        <f t="shared" si="1"/>
        <v>Bunchosia nitida</v>
      </c>
      <c r="J188" s="10" t="str">
        <f t="shared" si="2"/>
        <v>187 Bunchosia nitida</v>
      </c>
      <c r="K188" s="10" t="str">
        <f t="shared" si="3"/>
        <v>Ciruela de Fraile; Ciruelo Cimarrón; Cereza</v>
      </c>
      <c r="L188" s="10" t="str">
        <f t="shared" si="4"/>
        <v>187 Ciruela de Fraile; Ciruelo Cimarrón; Cereza</v>
      </c>
      <c r="M188" s="10" t="s">
        <v>35</v>
      </c>
      <c r="N188" s="10" t="s">
        <v>36</v>
      </c>
      <c r="O188" s="10" t="s">
        <v>37</v>
      </c>
      <c r="P188" s="10" t="s">
        <v>597</v>
      </c>
      <c r="Q188" s="13"/>
      <c r="R188" s="13"/>
      <c r="S188" s="13"/>
      <c r="T188" s="13"/>
      <c r="U188" s="13"/>
      <c r="V188" s="13"/>
      <c r="W188" s="13"/>
      <c r="X188" s="13"/>
    </row>
    <row r="189" ht="14.25" customHeight="1">
      <c r="A189" s="10" t="s">
        <v>30</v>
      </c>
      <c r="B189" s="10" t="s">
        <v>31</v>
      </c>
      <c r="C189" s="10">
        <v>188.0</v>
      </c>
      <c r="D189" s="11" t="s">
        <v>600</v>
      </c>
      <c r="E189" s="11" t="s">
        <v>601</v>
      </c>
      <c r="F189" s="11" t="s">
        <v>602</v>
      </c>
      <c r="G189" s="10">
        <v>188.0</v>
      </c>
      <c r="H189" s="10">
        <f>VLOOKUP(F189,'Generos y Familia'!$A$1:$C$623,2,FALSE)</f>
        <v>24</v>
      </c>
      <c r="I189" s="12" t="str">
        <f t="shared" si="1"/>
        <v>Bursera graveolens</v>
      </c>
      <c r="J189" s="10" t="str">
        <f t="shared" si="2"/>
        <v>188 Bursera graveolens</v>
      </c>
      <c r="K189" s="10" t="str">
        <f t="shared" si="3"/>
        <v>Carano; Crespín; Palo Santo; Aceitilla</v>
      </c>
      <c r="L189" s="10" t="str">
        <f t="shared" si="4"/>
        <v>188 Carano; Crespín; Palo Santo; Aceitilla</v>
      </c>
      <c r="M189" s="10" t="s">
        <v>35</v>
      </c>
      <c r="N189" s="10" t="s">
        <v>36</v>
      </c>
      <c r="O189" s="10" t="s">
        <v>37</v>
      </c>
      <c r="P189" s="10" t="s">
        <v>603</v>
      </c>
      <c r="Q189" s="13"/>
      <c r="R189" s="13"/>
      <c r="S189" s="13"/>
      <c r="T189" s="13"/>
      <c r="U189" s="13"/>
      <c r="V189" s="13"/>
      <c r="W189" s="13"/>
      <c r="X189" s="13"/>
    </row>
    <row r="190" ht="14.25" customHeight="1">
      <c r="A190" s="10" t="s">
        <v>30</v>
      </c>
      <c r="B190" s="10" t="s">
        <v>31</v>
      </c>
      <c r="C190" s="10">
        <v>189.0</v>
      </c>
      <c r="D190" s="11" t="s">
        <v>604</v>
      </c>
      <c r="E190" s="11" t="s">
        <v>605</v>
      </c>
      <c r="F190" s="11" t="s">
        <v>602</v>
      </c>
      <c r="G190" s="10">
        <v>189.0</v>
      </c>
      <c r="H190" s="10">
        <f>VLOOKUP(F190,'Generos y Familia'!$A$1:$C$623,2,FALSE)</f>
        <v>24</v>
      </c>
      <c r="I190" s="12" t="str">
        <f t="shared" si="1"/>
        <v>Bursera simaruba</v>
      </c>
      <c r="J190" s="10" t="str">
        <f t="shared" si="2"/>
        <v>189 Bursera simaruba</v>
      </c>
      <c r="K190" s="10" t="str">
        <f t="shared" si="3"/>
        <v>Indio Desnudo; Almacigo; Resbala Monos</v>
      </c>
      <c r="L190" s="10" t="str">
        <f t="shared" si="4"/>
        <v>189 Indio Desnudo; Almacigo; Resbala Monos</v>
      </c>
      <c r="M190" s="10" t="s">
        <v>35</v>
      </c>
      <c r="N190" s="10" t="s">
        <v>36</v>
      </c>
      <c r="O190" s="10" t="s">
        <v>37</v>
      </c>
      <c r="P190" s="10" t="s">
        <v>603</v>
      </c>
      <c r="Q190" s="13">
        <v>30.0</v>
      </c>
      <c r="R190" s="13" t="s">
        <v>39</v>
      </c>
      <c r="S190" s="13">
        <v>70.0</v>
      </c>
      <c r="T190" s="13" t="s">
        <v>39</v>
      </c>
      <c r="U190" s="13" t="s">
        <v>40</v>
      </c>
      <c r="V190" s="13">
        <v>0.32</v>
      </c>
      <c r="W190" s="13"/>
      <c r="X190" s="13"/>
    </row>
    <row r="191" ht="14.25" customHeight="1">
      <c r="A191" s="10" t="s">
        <v>30</v>
      </c>
      <c r="B191" s="10" t="s">
        <v>63</v>
      </c>
      <c r="C191" s="10">
        <v>190.0</v>
      </c>
      <c r="D191" s="11" t="s">
        <v>606</v>
      </c>
      <c r="E191" s="11" t="s">
        <v>607</v>
      </c>
      <c r="F191" s="11" t="s">
        <v>602</v>
      </c>
      <c r="G191" s="10">
        <v>190.0</v>
      </c>
      <c r="H191" s="10">
        <f>VLOOKUP(F191,'Generos y Familia'!$A$1:$C$623,2,FALSE)</f>
        <v>24</v>
      </c>
      <c r="I191" s="12" t="str">
        <f t="shared" si="1"/>
        <v>Bursera tomentosa</v>
      </c>
      <c r="J191" s="10" t="str">
        <f t="shared" si="2"/>
        <v>190 Bursera tomentosa</v>
      </c>
      <c r="K191" s="10" t="str">
        <f t="shared" si="3"/>
        <v>Palosanto; Tatamaco; Bijo</v>
      </c>
      <c r="L191" s="10" t="str">
        <f t="shared" si="4"/>
        <v>190 Palosanto; Tatamaco; Bijo</v>
      </c>
      <c r="M191" s="10" t="s">
        <v>35</v>
      </c>
      <c r="N191" s="10" t="s">
        <v>28</v>
      </c>
      <c r="O191" s="10" t="s">
        <v>37</v>
      </c>
      <c r="P191" s="10" t="s">
        <v>603</v>
      </c>
      <c r="Q191" s="13">
        <v>10.0</v>
      </c>
      <c r="R191" s="13" t="s">
        <v>53</v>
      </c>
      <c r="S191" s="13"/>
      <c r="T191" s="13"/>
      <c r="U191" s="13" t="s">
        <v>55</v>
      </c>
      <c r="V191" s="13"/>
      <c r="W191" s="13"/>
      <c r="X191" s="13"/>
    </row>
    <row r="192" ht="14.25" customHeight="1">
      <c r="A192" s="10" t="s">
        <v>30</v>
      </c>
      <c r="B192" s="10" t="s">
        <v>31</v>
      </c>
      <c r="C192" s="10">
        <v>191.0</v>
      </c>
      <c r="D192" s="11" t="s">
        <v>608</v>
      </c>
      <c r="E192" s="11" t="s">
        <v>609</v>
      </c>
      <c r="F192" s="11" t="s">
        <v>610</v>
      </c>
      <c r="G192" s="10">
        <v>191.0</v>
      </c>
      <c r="H192" s="10">
        <f>VLOOKUP(F192,'Generos y Familia'!$A$1:$C$623,2,FALSE)</f>
        <v>25</v>
      </c>
      <c r="I192" s="12" t="str">
        <f t="shared" si="1"/>
        <v>Buxus sempervirens</v>
      </c>
      <c r="J192" s="10" t="str">
        <f t="shared" si="2"/>
        <v>191 Buxus sempervirens</v>
      </c>
      <c r="K192" s="10" t="str">
        <f t="shared" si="3"/>
        <v>Boj; Palma de Boj</v>
      </c>
      <c r="L192" s="10" t="str">
        <f t="shared" si="4"/>
        <v>191 Boj; Palma de Boj</v>
      </c>
      <c r="M192" s="10" t="s">
        <v>46</v>
      </c>
      <c r="N192" s="10" t="s">
        <v>36</v>
      </c>
      <c r="O192" s="10" t="s">
        <v>47</v>
      </c>
      <c r="P192" s="10" t="s">
        <v>611</v>
      </c>
      <c r="Q192" s="17" t="s">
        <v>612</v>
      </c>
      <c r="R192" s="14" t="s">
        <v>53</v>
      </c>
      <c r="S192" s="17" t="s">
        <v>54</v>
      </c>
      <c r="T192" s="14"/>
      <c r="U192" s="14" t="s">
        <v>73</v>
      </c>
      <c r="V192" s="14">
        <v>0.79</v>
      </c>
      <c r="W192" s="18"/>
      <c r="X192" s="14"/>
    </row>
    <row r="193" ht="14.25" customHeight="1">
      <c r="A193" s="10" t="s">
        <v>30</v>
      </c>
      <c r="B193" s="10" t="s">
        <v>31</v>
      </c>
      <c r="C193" s="10">
        <v>192.0</v>
      </c>
      <c r="D193" s="11" t="s">
        <v>613</v>
      </c>
      <c r="E193" s="11" t="s">
        <v>614</v>
      </c>
      <c r="F193" s="11" t="s">
        <v>596</v>
      </c>
      <c r="G193" s="10">
        <v>192.0</v>
      </c>
      <c r="H193" s="10">
        <f>VLOOKUP(F193,'Generos y Familia'!$A$1:$C$623,2,FALSE)</f>
        <v>39</v>
      </c>
      <c r="I193" s="12" t="str">
        <f t="shared" si="1"/>
        <v>Byrsonima arthropoda</v>
      </c>
      <c r="J193" s="10" t="str">
        <f t="shared" si="2"/>
        <v>192 Byrsonima arthropoda</v>
      </c>
      <c r="K193" s="10" t="str">
        <f t="shared" si="3"/>
        <v>Nances Y Nanches</v>
      </c>
      <c r="L193" s="10" t="str">
        <f t="shared" si="4"/>
        <v>192 Nances Y Nanches</v>
      </c>
      <c r="M193" s="10" t="s">
        <v>35</v>
      </c>
      <c r="N193" s="10" t="s">
        <v>36</v>
      </c>
      <c r="O193" s="10" t="s">
        <v>37</v>
      </c>
      <c r="P193" s="10" t="s">
        <v>615</v>
      </c>
      <c r="Q193" s="13"/>
      <c r="R193" s="13"/>
      <c r="S193" s="13"/>
      <c r="T193" s="13"/>
      <c r="U193" s="13"/>
      <c r="V193" s="13"/>
      <c r="W193" s="13"/>
      <c r="X193" s="13"/>
    </row>
    <row r="194" ht="14.25" customHeight="1">
      <c r="A194" s="10" t="s">
        <v>30</v>
      </c>
      <c r="B194" s="10" t="s">
        <v>31</v>
      </c>
      <c r="C194" s="10">
        <v>193.0</v>
      </c>
      <c r="D194" s="11" t="s">
        <v>616</v>
      </c>
      <c r="E194" s="11" t="s">
        <v>617</v>
      </c>
      <c r="F194" s="11" t="s">
        <v>596</v>
      </c>
      <c r="G194" s="10">
        <v>193.0</v>
      </c>
      <c r="H194" s="10">
        <f>VLOOKUP(F194,'Generos y Familia'!$A$1:$C$623,2,FALSE)</f>
        <v>39</v>
      </c>
      <c r="I194" s="12" t="str">
        <f t="shared" si="1"/>
        <v>Byrsonima crassifolia</v>
      </c>
      <c r="J194" s="10" t="str">
        <f t="shared" si="2"/>
        <v>193 Byrsonima crassifolia</v>
      </c>
      <c r="K194" s="10" t="str">
        <f t="shared" si="3"/>
        <v>Noro; Paralejo; Nance</v>
      </c>
      <c r="L194" s="10" t="str">
        <f t="shared" si="4"/>
        <v>193 Noro; Paralejo; Nance</v>
      </c>
      <c r="M194" s="10" t="s">
        <v>35</v>
      </c>
      <c r="N194" s="10" t="s">
        <v>36</v>
      </c>
      <c r="O194" s="10" t="s">
        <v>47</v>
      </c>
      <c r="P194" s="10" t="s">
        <v>615</v>
      </c>
      <c r="Q194" s="13">
        <v>8.0</v>
      </c>
      <c r="R194" s="13" t="s">
        <v>39</v>
      </c>
      <c r="S194" s="13">
        <v>15.0</v>
      </c>
      <c r="T194" s="13" t="s">
        <v>39</v>
      </c>
      <c r="U194" s="13" t="s">
        <v>55</v>
      </c>
      <c r="V194" s="13"/>
      <c r="W194" s="13"/>
      <c r="X194" s="13"/>
    </row>
    <row r="195" ht="14.25" customHeight="1">
      <c r="A195" s="10" t="s">
        <v>30</v>
      </c>
      <c r="B195" s="10" t="s">
        <v>31</v>
      </c>
      <c r="C195" s="10">
        <v>194.0</v>
      </c>
      <c r="D195" s="11" t="s">
        <v>618</v>
      </c>
      <c r="E195" s="11" t="s">
        <v>619</v>
      </c>
      <c r="F195" s="11" t="s">
        <v>596</v>
      </c>
      <c r="G195" s="10">
        <v>194.0</v>
      </c>
      <c r="H195" s="10">
        <f>VLOOKUP(F195,'Generos y Familia'!$A$1:$C$623,2,FALSE)</f>
        <v>39</v>
      </c>
      <c r="I195" s="12" t="str">
        <f t="shared" si="1"/>
        <v>Byrsonima spicata</v>
      </c>
      <c r="J195" s="10" t="str">
        <f t="shared" si="2"/>
        <v>194 Byrsonima spicata</v>
      </c>
      <c r="K195" s="10" t="str">
        <f t="shared" si="3"/>
        <v>Noro; Tacasalejo; Doncella</v>
      </c>
      <c r="L195" s="10" t="str">
        <f t="shared" si="4"/>
        <v>194 Noro; Tacasalejo; Doncella</v>
      </c>
      <c r="M195" s="10" t="s">
        <v>35</v>
      </c>
      <c r="N195" s="10" t="s">
        <v>36</v>
      </c>
      <c r="O195" s="10" t="s">
        <v>37</v>
      </c>
      <c r="P195" s="10" t="s">
        <v>615</v>
      </c>
      <c r="Q195" s="13"/>
      <c r="R195" s="13"/>
      <c r="S195" s="13"/>
      <c r="T195" s="13"/>
      <c r="U195" s="13"/>
      <c r="V195" s="13"/>
      <c r="W195" s="13"/>
      <c r="X195" s="13"/>
    </row>
    <row r="196" ht="14.25" customHeight="1">
      <c r="A196" s="10" t="s">
        <v>30</v>
      </c>
      <c r="B196" s="10" t="s">
        <v>31</v>
      </c>
      <c r="C196" s="10">
        <v>195.0</v>
      </c>
      <c r="D196" s="11" t="s">
        <v>620</v>
      </c>
      <c r="E196" s="11" t="s">
        <v>621</v>
      </c>
      <c r="F196" s="11" t="s">
        <v>34</v>
      </c>
      <c r="G196" s="10">
        <v>195.0</v>
      </c>
      <c r="H196" s="10">
        <f>VLOOKUP(F196,'Generos y Familia'!$A$1:$C$623,2,FALSE)</f>
        <v>27</v>
      </c>
      <c r="I196" s="12" t="str">
        <f t="shared" si="1"/>
        <v>Libidibia coriaria</v>
      </c>
      <c r="J196" s="10" t="str">
        <f t="shared" si="2"/>
        <v>195 Libidibia coriaria</v>
      </c>
      <c r="K196" s="10" t="str">
        <f t="shared" si="3"/>
        <v>Dividivi; Agallo; Ichí; Nacascalote</v>
      </c>
      <c r="L196" s="10" t="str">
        <f t="shared" si="4"/>
        <v>195 Dividivi; Agallo; Ichí; Nacascalote</v>
      </c>
      <c r="M196" s="10" t="s">
        <v>35</v>
      </c>
      <c r="N196" s="10" t="s">
        <v>36</v>
      </c>
      <c r="O196" s="10" t="s">
        <v>37</v>
      </c>
      <c r="P196" s="10" t="s">
        <v>622</v>
      </c>
      <c r="Q196" s="13"/>
      <c r="R196" s="13"/>
      <c r="S196" s="13" t="s">
        <v>623</v>
      </c>
      <c r="T196" s="13"/>
      <c r="U196" s="13"/>
      <c r="V196" s="13"/>
      <c r="W196" s="13"/>
      <c r="X196" s="13"/>
    </row>
    <row r="197" ht="14.25" customHeight="1">
      <c r="A197" s="10" t="s">
        <v>30</v>
      </c>
      <c r="B197" s="10" t="s">
        <v>31</v>
      </c>
      <c r="C197" s="10">
        <v>196.0</v>
      </c>
      <c r="D197" s="11" t="s">
        <v>624</v>
      </c>
      <c r="E197" s="11" t="s">
        <v>625</v>
      </c>
      <c r="F197" s="11" t="s">
        <v>34</v>
      </c>
      <c r="G197" s="10">
        <v>196.0</v>
      </c>
      <c r="H197" s="10">
        <f>VLOOKUP(F197,'Generos y Familia'!$A$1:$C$623,2,FALSE)</f>
        <v>27</v>
      </c>
      <c r="I197" s="12" t="str">
        <f t="shared" si="1"/>
        <v>Libidibia punctata</v>
      </c>
      <c r="J197" s="10" t="str">
        <f t="shared" si="2"/>
        <v>196 Libidibia punctata</v>
      </c>
      <c r="K197" s="10" t="str">
        <f t="shared" si="3"/>
        <v>Ébano</v>
      </c>
      <c r="L197" s="10" t="str">
        <f t="shared" si="4"/>
        <v>196 Ébano</v>
      </c>
      <c r="M197" s="10" t="s">
        <v>35</v>
      </c>
      <c r="N197" s="10" t="s">
        <v>36</v>
      </c>
      <c r="O197" s="10" t="s">
        <v>37</v>
      </c>
      <c r="P197" s="10" t="s">
        <v>622</v>
      </c>
      <c r="Q197" s="13"/>
      <c r="R197" s="13"/>
      <c r="S197" s="13" t="s">
        <v>626</v>
      </c>
      <c r="T197" s="13"/>
      <c r="U197" s="13"/>
      <c r="V197" s="13"/>
      <c r="W197" s="16"/>
      <c r="X197" s="13"/>
    </row>
    <row r="198" ht="14.25" customHeight="1">
      <c r="A198" s="10"/>
      <c r="B198" s="10"/>
      <c r="C198" s="11">
        <v>197.0</v>
      </c>
      <c r="D198" s="11" t="s">
        <v>627</v>
      </c>
      <c r="E198" s="11" t="s">
        <v>628</v>
      </c>
      <c r="F198" s="11" t="s">
        <v>34</v>
      </c>
      <c r="G198" s="11">
        <v>197.0</v>
      </c>
      <c r="H198" s="10"/>
      <c r="I198" s="10" t="str">
        <f t="shared" si="1"/>
        <v>Cenostigma pluviosum</v>
      </c>
      <c r="J198" s="10" t="str">
        <f t="shared" si="2"/>
        <v>197 Cenostigma pluviosum</v>
      </c>
      <c r="K198" s="10" t="str">
        <f t="shared" si="3"/>
        <v>Acacia Amarilla; Palo Brasil</v>
      </c>
      <c r="L198" s="10" t="str">
        <f t="shared" si="4"/>
        <v>197 Acacia Amarilla; Palo Brasil</v>
      </c>
      <c r="M198" s="10"/>
      <c r="N198" s="10"/>
      <c r="O198" s="10"/>
      <c r="P198" s="10"/>
      <c r="Q198" s="17"/>
      <c r="R198" s="14"/>
      <c r="S198" s="17"/>
      <c r="T198" s="14"/>
      <c r="U198" s="14"/>
      <c r="V198" s="14"/>
      <c r="W198" s="18"/>
      <c r="X198" s="14"/>
    </row>
    <row r="199" ht="14.25" customHeight="1">
      <c r="A199" s="10" t="s">
        <v>30</v>
      </c>
      <c r="B199" s="10" t="s">
        <v>31</v>
      </c>
      <c r="C199" s="10">
        <v>198.0</v>
      </c>
      <c r="D199" s="11" t="s">
        <v>629</v>
      </c>
      <c r="E199" s="11" t="s">
        <v>630</v>
      </c>
      <c r="F199" s="11" t="s">
        <v>34</v>
      </c>
      <c r="G199" s="10">
        <v>198.0</v>
      </c>
      <c r="H199" s="10">
        <f>VLOOKUP(F199,'Generos y Familia'!$A$1:$C$623,2,FALSE)</f>
        <v>27</v>
      </c>
      <c r="I199" s="12" t="str">
        <f t="shared" si="1"/>
        <v>Caesalpinia pulcherrima</v>
      </c>
      <c r="J199" s="10" t="str">
        <f t="shared" si="2"/>
        <v>198 Caesalpinia pulcherrima</v>
      </c>
      <c r="K199" s="10" t="str">
        <f t="shared" si="3"/>
        <v>Clavellino; Flor de Navidad</v>
      </c>
      <c r="L199" s="10" t="str">
        <f t="shared" si="4"/>
        <v>198 Clavellino; Flor de Navidad</v>
      </c>
      <c r="M199" s="10" t="s">
        <v>46</v>
      </c>
      <c r="N199" s="10" t="s">
        <v>36</v>
      </c>
      <c r="O199" s="10" t="s">
        <v>47</v>
      </c>
      <c r="P199" s="10" t="s">
        <v>631</v>
      </c>
      <c r="Q199" s="17" t="s">
        <v>632</v>
      </c>
      <c r="R199" s="14" t="s">
        <v>39</v>
      </c>
      <c r="S199" s="17" t="s">
        <v>379</v>
      </c>
      <c r="T199" s="14" t="s">
        <v>39</v>
      </c>
      <c r="U199" s="14" t="s">
        <v>55</v>
      </c>
      <c r="V199" s="14">
        <v>0.84</v>
      </c>
      <c r="W199" s="17" t="s">
        <v>633</v>
      </c>
      <c r="X199" s="14"/>
    </row>
    <row r="200" ht="14.25" customHeight="1">
      <c r="A200" s="10" t="s">
        <v>30</v>
      </c>
      <c r="B200" s="10" t="s">
        <v>31</v>
      </c>
      <c r="C200" s="10">
        <v>199.0</v>
      </c>
      <c r="D200" s="11" t="s">
        <v>634</v>
      </c>
      <c r="E200" s="11" t="s">
        <v>630</v>
      </c>
      <c r="F200" s="11" t="s">
        <v>34</v>
      </c>
      <c r="G200" s="10">
        <v>199.0</v>
      </c>
      <c r="H200" s="10">
        <f>VLOOKUP(F200,'Generos y Familia'!$A$1:$C$623,2,FALSE)</f>
        <v>27</v>
      </c>
      <c r="I200" s="12" t="str">
        <f t="shared" si="1"/>
        <v>Caesalpinia sp</v>
      </c>
      <c r="J200" s="10" t="str">
        <f t="shared" si="2"/>
        <v>199 Caesalpinia sp</v>
      </c>
      <c r="K200" s="10" t="str">
        <f t="shared" si="3"/>
        <v>Clavellino; Flor de Navidad</v>
      </c>
      <c r="L200" s="10" t="str">
        <f t="shared" si="4"/>
        <v>199 Clavellino; Flor de Navidad</v>
      </c>
      <c r="M200" s="10" t="s">
        <v>46</v>
      </c>
      <c r="N200" s="10" t="s">
        <v>36</v>
      </c>
      <c r="O200" s="10" t="s">
        <v>47</v>
      </c>
      <c r="P200" s="10" t="s">
        <v>631</v>
      </c>
      <c r="Q200" s="17" t="s">
        <v>345</v>
      </c>
      <c r="R200" s="14"/>
      <c r="S200" s="17" t="s">
        <v>379</v>
      </c>
      <c r="T200" s="14"/>
      <c r="U200" s="14" t="s">
        <v>55</v>
      </c>
      <c r="V200" s="14">
        <v>0.84</v>
      </c>
      <c r="W200" s="18" t="s">
        <v>633</v>
      </c>
      <c r="X200" s="14" t="s">
        <v>190</v>
      </c>
    </row>
    <row r="201" ht="14.25" customHeight="1">
      <c r="A201" s="10" t="s">
        <v>30</v>
      </c>
      <c r="B201" s="10" t="s">
        <v>31</v>
      </c>
      <c r="C201" s="10">
        <v>200.0</v>
      </c>
      <c r="D201" s="11" t="s">
        <v>635</v>
      </c>
      <c r="E201" s="11" t="s">
        <v>636</v>
      </c>
      <c r="F201" s="11" t="s">
        <v>34</v>
      </c>
      <c r="G201" s="10">
        <v>200.0</v>
      </c>
      <c r="H201" s="10">
        <f>VLOOKUP(F201,'Generos y Familia'!$A$1:$C$623,2,FALSE)</f>
        <v>27</v>
      </c>
      <c r="I201" s="12" t="str">
        <f t="shared" si="1"/>
        <v>Tara spinosa</v>
      </c>
      <c r="J201" s="10" t="str">
        <f t="shared" si="2"/>
        <v>200 Tara spinosa</v>
      </c>
      <c r="K201" s="10" t="str">
        <f t="shared" si="3"/>
        <v>Tara; Guarango</v>
      </c>
      <c r="L201" s="10" t="str">
        <f t="shared" si="4"/>
        <v>200 Tara; Guarango</v>
      </c>
      <c r="M201" s="10" t="s">
        <v>35</v>
      </c>
      <c r="N201" s="10" t="s">
        <v>36</v>
      </c>
      <c r="O201" s="10" t="s">
        <v>47</v>
      </c>
      <c r="P201" s="10" t="s">
        <v>637</v>
      </c>
      <c r="Q201" s="17" t="s">
        <v>347</v>
      </c>
      <c r="R201" s="14"/>
      <c r="S201" s="17" t="s">
        <v>229</v>
      </c>
      <c r="T201" s="14"/>
      <c r="U201" s="14" t="s">
        <v>40</v>
      </c>
      <c r="V201" s="14"/>
      <c r="W201" s="18"/>
      <c r="X201" s="14" t="s">
        <v>41</v>
      </c>
    </row>
    <row r="202" ht="14.25" customHeight="1">
      <c r="A202" s="10" t="s">
        <v>30</v>
      </c>
      <c r="B202" s="10" t="s">
        <v>31</v>
      </c>
      <c r="C202" s="10">
        <v>201.0</v>
      </c>
      <c r="D202" s="11" t="s">
        <v>638</v>
      </c>
      <c r="E202" s="11" t="s">
        <v>639</v>
      </c>
      <c r="F202" s="11" t="s">
        <v>34</v>
      </c>
      <c r="G202" s="10">
        <v>201.0</v>
      </c>
      <c r="H202" s="10">
        <f>VLOOKUP(F202,'Generos y Familia'!$A$1:$C$623,2,FALSE)</f>
        <v>27</v>
      </c>
      <c r="I202" s="12" t="str">
        <f t="shared" si="1"/>
        <v>Cajanus cajan</v>
      </c>
      <c r="J202" s="10" t="str">
        <f t="shared" si="2"/>
        <v>201 Cajanus cajan</v>
      </c>
      <c r="K202" s="10" t="str">
        <f t="shared" si="3"/>
        <v>Guandúl</v>
      </c>
      <c r="L202" s="10" t="str">
        <f t="shared" si="4"/>
        <v>201 Guandúl</v>
      </c>
      <c r="M202" s="10" t="s">
        <v>46</v>
      </c>
      <c r="N202" s="10" t="s">
        <v>36</v>
      </c>
      <c r="O202" s="10" t="s">
        <v>47</v>
      </c>
      <c r="P202" s="10" t="s">
        <v>640</v>
      </c>
      <c r="Q202" s="17" t="s">
        <v>153</v>
      </c>
      <c r="R202" s="14"/>
      <c r="S202" s="17" t="s">
        <v>379</v>
      </c>
      <c r="T202" s="14"/>
      <c r="U202" s="14" t="s">
        <v>55</v>
      </c>
      <c r="V202" s="14"/>
      <c r="W202" s="17" t="s">
        <v>641</v>
      </c>
      <c r="X202" s="14"/>
    </row>
    <row r="203" ht="14.25" customHeight="1">
      <c r="A203" s="10" t="s">
        <v>30</v>
      </c>
      <c r="B203" s="10" t="s">
        <v>31</v>
      </c>
      <c r="C203" s="10">
        <v>202.0</v>
      </c>
      <c r="D203" s="11" t="s">
        <v>642</v>
      </c>
      <c r="E203" s="11" t="s">
        <v>643</v>
      </c>
      <c r="F203" s="11" t="s">
        <v>34</v>
      </c>
      <c r="G203" s="10">
        <v>202.0</v>
      </c>
      <c r="H203" s="10">
        <f>VLOOKUP(F203,'Generos y Familia'!$A$1:$C$623,2,FALSE)</f>
        <v>27</v>
      </c>
      <c r="I203" s="12" t="str">
        <f t="shared" si="1"/>
        <v>Calliandra antioquiae</v>
      </c>
      <c r="J203" s="10" t="str">
        <f t="shared" si="2"/>
        <v>202 Calliandra antioquiae</v>
      </c>
      <c r="K203" s="10" t="str">
        <f t="shared" si="3"/>
        <v>Carbonero</v>
      </c>
      <c r="L203" s="10" t="str">
        <f t="shared" si="4"/>
        <v>202 Carbonero</v>
      </c>
      <c r="M203" s="10" t="s">
        <v>35</v>
      </c>
      <c r="N203" s="10" t="s">
        <v>36</v>
      </c>
      <c r="O203" s="10" t="s">
        <v>37</v>
      </c>
      <c r="P203" s="10" t="s">
        <v>644</v>
      </c>
      <c r="Q203" s="13">
        <v>6.0</v>
      </c>
      <c r="R203" s="13" t="s">
        <v>53</v>
      </c>
      <c r="S203" s="13"/>
      <c r="T203" s="13"/>
      <c r="U203" s="13" t="s">
        <v>40</v>
      </c>
      <c r="V203" s="13"/>
      <c r="W203" s="13"/>
      <c r="X203" s="13"/>
    </row>
    <row r="204" ht="14.25" customHeight="1">
      <c r="A204" s="10" t="s">
        <v>30</v>
      </c>
      <c r="B204" s="10" t="s">
        <v>31</v>
      </c>
      <c r="C204" s="10">
        <v>203.0</v>
      </c>
      <c r="D204" s="11" t="s">
        <v>645</v>
      </c>
      <c r="E204" s="11" t="s">
        <v>646</v>
      </c>
      <c r="F204" s="11" t="s">
        <v>34</v>
      </c>
      <c r="G204" s="10">
        <v>203.0</v>
      </c>
      <c r="H204" s="10">
        <f>VLOOKUP(F204,'Generos y Familia'!$A$1:$C$623,2,FALSE)</f>
        <v>27</v>
      </c>
      <c r="I204" s="12" t="str">
        <f t="shared" si="1"/>
        <v>Calliandra selloi</v>
      </c>
      <c r="J204" s="10" t="str">
        <f t="shared" si="2"/>
        <v>203 Calliandra selloi</v>
      </c>
      <c r="K204" s="10" t="str">
        <f t="shared" si="3"/>
        <v>Plumerillo Rosado</v>
      </c>
      <c r="L204" s="10" t="str">
        <f t="shared" si="4"/>
        <v>203 Plumerillo Rosado</v>
      </c>
      <c r="M204" s="10" t="s">
        <v>46</v>
      </c>
      <c r="N204" s="10" t="s">
        <v>28</v>
      </c>
      <c r="O204" s="10" t="s">
        <v>47</v>
      </c>
      <c r="P204" s="10" t="s">
        <v>644</v>
      </c>
      <c r="Q204" s="13"/>
      <c r="R204" s="13"/>
      <c r="S204" s="13" t="s">
        <v>647</v>
      </c>
      <c r="T204" s="13"/>
      <c r="U204" s="13"/>
      <c r="V204" s="13"/>
      <c r="W204" s="13"/>
      <c r="X204" s="13"/>
    </row>
    <row r="205" ht="14.25" customHeight="1">
      <c r="A205" s="10" t="s">
        <v>30</v>
      </c>
      <c r="B205" s="10" t="s">
        <v>31</v>
      </c>
      <c r="C205" s="10">
        <v>204.0</v>
      </c>
      <c r="D205" s="11" t="s">
        <v>648</v>
      </c>
      <c r="E205" s="11" t="s">
        <v>649</v>
      </c>
      <c r="F205" s="11" t="s">
        <v>34</v>
      </c>
      <c r="G205" s="10">
        <v>204.0</v>
      </c>
      <c r="H205" s="10">
        <f>VLOOKUP(F205,'Generos y Familia'!$A$1:$C$623,2,FALSE)</f>
        <v>27</v>
      </c>
      <c r="I205" s="12" t="str">
        <f t="shared" si="1"/>
        <v>Calliandra haematocephala</v>
      </c>
      <c r="J205" s="10" t="str">
        <f t="shared" si="2"/>
        <v>204 Calliandra haematocephala</v>
      </c>
      <c r="K205" s="10" t="str">
        <f t="shared" si="3"/>
        <v>Bellota; Carbonero Rojo</v>
      </c>
      <c r="L205" s="10" t="str">
        <f t="shared" si="4"/>
        <v>204 Bellota; Carbonero Rojo</v>
      </c>
      <c r="M205" s="10" t="s">
        <v>46</v>
      </c>
      <c r="N205" s="10" t="s">
        <v>36</v>
      </c>
      <c r="O205" s="10" t="s">
        <v>47</v>
      </c>
      <c r="P205" s="10" t="s">
        <v>644</v>
      </c>
      <c r="Q205" s="17" t="s">
        <v>153</v>
      </c>
      <c r="R205" s="14" t="s">
        <v>39</v>
      </c>
      <c r="S205" s="17" t="s">
        <v>229</v>
      </c>
      <c r="T205" s="14" t="s">
        <v>39</v>
      </c>
      <c r="U205" s="14" t="s">
        <v>55</v>
      </c>
      <c r="V205" s="14">
        <v>0.79</v>
      </c>
      <c r="W205" s="18" t="s">
        <v>650</v>
      </c>
      <c r="X205" s="14" t="s">
        <v>190</v>
      </c>
    </row>
    <row r="206" ht="14.25" customHeight="1">
      <c r="A206" s="10" t="s">
        <v>30</v>
      </c>
      <c r="B206" s="10" t="s">
        <v>31</v>
      </c>
      <c r="C206" s="10">
        <v>205.0</v>
      </c>
      <c r="D206" s="11" t="s">
        <v>651</v>
      </c>
      <c r="E206" s="11" t="s">
        <v>643</v>
      </c>
      <c r="F206" s="11" t="s">
        <v>34</v>
      </c>
      <c r="G206" s="10">
        <v>205.0</v>
      </c>
      <c r="H206" s="10">
        <f>VLOOKUP(F206,'Generos y Familia'!$A$1:$C$623,2,FALSE)</f>
        <v>27</v>
      </c>
      <c r="I206" s="12" t="str">
        <f t="shared" si="1"/>
        <v>Calliandra magdalenae</v>
      </c>
      <c r="J206" s="10" t="str">
        <f t="shared" si="2"/>
        <v>205 Calliandra magdalenae</v>
      </c>
      <c r="K206" s="10" t="str">
        <f t="shared" si="3"/>
        <v>Carbonero</v>
      </c>
      <c r="L206" s="10" t="str">
        <f t="shared" si="4"/>
        <v>205 Carbonero</v>
      </c>
      <c r="M206" s="10" t="s">
        <v>35</v>
      </c>
      <c r="N206" s="10" t="s">
        <v>36</v>
      </c>
      <c r="O206" s="10" t="s">
        <v>37</v>
      </c>
      <c r="P206" s="10" t="s">
        <v>644</v>
      </c>
      <c r="Q206" s="17" t="s">
        <v>612</v>
      </c>
      <c r="R206" s="14" t="s">
        <v>39</v>
      </c>
      <c r="S206" s="17" t="s">
        <v>106</v>
      </c>
      <c r="T206" s="14" t="s">
        <v>39</v>
      </c>
      <c r="U206" s="14" t="s">
        <v>55</v>
      </c>
      <c r="V206" s="14">
        <v>0.79</v>
      </c>
      <c r="W206" s="17" t="s">
        <v>650</v>
      </c>
      <c r="X206" s="14"/>
    </row>
    <row r="207" ht="14.25" customHeight="1">
      <c r="A207" s="10" t="s">
        <v>30</v>
      </c>
      <c r="B207" s="10" t="s">
        <v>63</v>
      </c>
      <c r="C207" s="10">
        <v>206.0</v>
      </c>
      <c r="D207" s="11" t="s">
        <v>652</v>
      </c>
      <c r="E207" s="11" t="s">
        <v>643</v>
      </c>
      <c r="F207" s="11" t="s">
        <v>34</v>
      </c>
      <c r="G207" s="10">
        <v>206.0</v>
      </c>
      <c r="H207" s="10">
        <f>VLOOKUP(F207,'Generos y Familia'!$A$1:$C$623,2,FALSE)</f>
        <v>27</v>
      </c>
      <c r="I207" s="12" t="str">
        <f t="shared" si="1"/>
        <v>Calliandra medellinensis</v>
      </c>
      <c r="J207" s="10" t="str">
        <f t="shared" si="2"/>
        <v>206 Calliandra medellinensis</v>
      </c>
      <c r="K207" s="10" t="str">
        <f t="shared" si="3"/>
        <v>Carbonero</v>
      </c>
      <c r="L207" s="10" t="str">
        <f t="shared" si="4"/>
        <v>206 Carbonero</v>
      </c>
      <c r="M207" s="10" t="s">
        <v>35</v>
      </c>
      <c r="N207" s="10" t="s">
        <v>36</v>
      </c>
      <c r="O207" s="10" t="s">
        <v>37</v>
      </c>
      <c r="P207" s="10" t="s">
        <v>644</v>
      </c>
      <c r="Q207" s="17" t="s">
        <v>612</v>
      </c>
      <c r="R207" s="14" t="s">
        <v>39</v>
      </c>
      <c r="S207" s="17" t="s">
        <v>229</v>
      </c>
      <c r="T207" s="14" t="s">
        <v>39</v>
      </c>
      <c r="U207" s="14" t="s">
        <v>55</v>
      </c>
      <c r="V207" s="14">
        <v>0.79</v>
      </c>
      <c r="W207" s="18" t="s">
        <v>650</v>
      </c>
      <c r="X207" s="14" t="s">
        <v>190</v>
      </c>
    </row>
    <row r="208" ht="14.25" customHeight="1">
      <c r="A208" s="10" t="s">
        <v>30</v>
      </c>
      <c r="B208" s="10" t="s">
        <v>31</v>
      </c>
      <c r="C208" s="10">
        <v>207.0</v>
      </c>
      <c r="D208" s="11" t="s">
        <v>653</v>
      </c>
      <c r="E208" s="11" t="s">
        <v>643</v>
      </c>
      <c r="F208" s="11" t="s">
        <v>34</v>
      </c>
      <c r="G208" s="10">
        <v>207.0</v>
      </c>
      <c r="H208" s="10">
        <f>VLOOKUP(F208,'Generos y Familia'!$A$1:$C$623,2,FALSE)</f>
        <v>27</v>
      </c>
      <c r="I208" s="12" t="str">
        <f t="shared" si="1"/>
        <v>Calliandra pittieri</v>
      </c>
      <c r="J208" s="10" t="str">
        <f t="shared" si="2"/>
        <v>207 Calliandra pittieri</v>
      </c>
      <c r="K208" s="10" t="str">
        <f t="shared" si="3"/>
        <v>Carbonero</v>
      </c>
      <c r="L208" s="10" t="str">
        <f t="shared" si="4"/>
        <v>207 Carbonero</v>
      </c>
      <c r="M208" s="10" t="s">
        <v>35</v>
      </c>
      <c r="N208" s="10" t="s">
        <v>36</v>
      </c>
      <c r="O208" s="10" t="s">
        <v>37</v>
      </c>
      <c r="P208" s="10" t="s">
        <v>644</v>
      </c>
      <c r="Q208" s="17" t="s">
        <v>338</v>
      </c>
      <c r="R208" s="14" t="s">
        <v>39</v>
      </c>
      <c r="S208" s="17" t="s">
        <v>54</v>
      </c>
      <c r="T208" s="14" t="s">
        <v>39</v>
      </c>
      <c r="U208" s="14" t="s">
        <v>40</v>
      </c>
      <c r="V208" s="14">
        <v>0.79</v>
      </c>
      <c r="W208" s="17" t="s">
        <v>650</v>
      </c>
      <c r="X208" s="14" t="s">
        <v>190</v>
      </c>
    </row>
    <row r="209" ht="14.25" customHeight="1">
      <c r="A209" s="10" t="s">
        <v>30</v>
      </c>
      <c r="B209" s="10" t="s">
        <v>31</v>
      </c>
      <c r="C209" s="10">
        <v>208.0</v>
      </c>
      <c r="D209" s="11" t="s">
        <v>654</v>
      </c>
      <c r="E209" s="11" t="s">
        <v>643</v>
      </c>
      <c r="F209" s="11" t="s">
        <v>34</v>
      </c>
      <c r="G209" s="10">
        <v>208.0</v>
      </c>
      <c r="H209" s="10">
        <f>VLOOKUP(F209,'Generos y Familia'!$A$1:$C$623,2,FALSE)</f>
        <v>27</v>
      </c>
      <c r="I209" s="12" t="str">
        <f t="shared" si="1"/>
        <v>Calliandra sp</v>
      </c>
      <c r="J209" s="10" t="str">
        <f t="shared" si="2"/>
        <v>208 Calliandra sp</v>
      </c>
      <c r="K209" s="10" t="str">
        <f t="shared" si="3"/>
        <v>Carbonero</v>
      </c>
      <c r="L209" s="10" t="str">
        <f t="shared" si="4"/>
        <v>208 Carbonero</v>
      </c>
      <c r="M209" s="10" t="s">
        <v>35</v>
      </c>
      <c r="N209" s="10" t="s">
        <v>36</v>
      </c>
      <c r="O209" s="10" t="s">
        <v>37</v>
      </c>
      <c r="P209" s="10" t="s">
        <v>644</v>
      </c>
      <c r="Q209" s="17" t="s">
        <v>655</v>
      </c>
      <c r="R209" s="14" t="s">
        <v>39</v>
      </c>
      <c r="S209" s="17" t="s">
        <v>180</v>
      </c>
      <c r="T209" s="14"/>
      <c r="U209" s="14" t="s">
        <v>55</v>
      </c>
      <c r="V209" s="14">
        <v>0.79</v>
      </c>
      <c r="W209" s="17" t="s">
        <v>650</v>
      </c>
      <c r="X209" s="14" t="s">
        <v>190</v>
      </c>
    </row>
    <row r="210" ht="14.25" customHeight="1">
      <c r="A210" s="10" t="s">
        <v>30</v>
      </c>
      <c r="B210" s="10" t="s">
        <v>31</v>
      </c>
      <c r="C210" s="10">
        <v>209.0</v>
      </c>
      <c r="D210" s="11" t="s">
        <v>656</v>
      </c>
      <c r="E210" s="11" t="s">
        <v>657</v>
      </c>
      <c r="F210" s="11" t="s">
        <v>34</v>
      </c>
      <c r="G210" s="10">
        <v>209.0</v>
      </c>
      <c r="H210" s="10">
        <f>VLOOKUP(F210,'Generos y Familia'!$A$1:$C$623,2,FALSE)</f>
        <v>27</v>
      </c>
      <c r="I210" s="12" t="str">
        <f t="shared" si="1"/>
        <v>Calliandra surinamensis</v>
      </c>
      <c r="J210" s="10" t="str">
        <f t="shared" si="2"/>
        <v>209 Calliandra surinamensis</v>
      </c>
      <c r="K210" s="10" t="str">
        <f t="shared" si="3"/>
        <v>Pavo Real; Carbonero Rojo; Rabo de Conejo; Saman de Jardín; Surinam</v>
      </c>
      <c r="L210" s="10" t="str">
        <f t="shared" si="4"/>
        <v>209 Pavo Real; Carbonero Rojo; Rabo de Conejo; Saman de Jardín; Surinam</v>
      </c>
      <c r="M210" s="10" t="s">
        <v>35</v>
      </c>
      <c r="N210" s="10" t="s">
        <v>36</v>
      </c>
      <c r="O210" s="10" t="s">
        <v>37</v>
      </c>
      <c r="P210" s="10" t="s">
        <v>644</v>
      </c>
      <c r="Q210" s="13"/>
      <c r="R210" s="13"/>
      <c r="S210" s="13"/>
      <c r="T210" s="13"/>
      <c r="U210" s="13"/>
      <c r="V210" s="13"/>
      <c r="W210" s="16"/>
      <c r="X210" s="13"/>
    </row>
    <row r="211" ht="14.25" customHeight="1">
      <c r="A211" s="10" t="s">
        <v>30</v>
      </c>
      <c r="B211" s="10" t="s">
        <v>31</v>
      </c>
      <c r="C211" s="10">
        <v>210.0</v>
      </c>
      <c r="D211" s="11" t="s">
        <v>658</v>
      </c>
      <c r="E211" s="11" t="s">
        <v>643</v>
      </c>
      <c r="F211" s="11" t="s">
        <v>34</v>
      </c>
      <c r="G211" s="10">
        <v>210.0</v>
      </c>
      <c r="H211" s="10">
        <f>VLOOKUP(F211,'Generos y Familia'!$A$1:$C$623,2,FALSE)</f>
        <v>27</v>
      </c>
      <c r="I211" s="12" t="str">
        <f t="shared" si="1"/>
        <v>Calliandra tergemina</v>
      </c>
      <c r="J211" s="10" t="str">
        <f t="shared" si="2"/>
        <v>210 Calliandra tergemina</v>
      </c>
      <c r="K211" s="10" t="str">
        <f t="shared" si="3"/>
        <v>Carbonero</v>
      </c>
      <c r="L211" s="10" t="str">
        <f t="shared" si="4"/>
        <v>210 Carbonero</v>
      </c>
      <c r="M211" s="10" t="s">
        <v>46</v>
      </c>
      <c r="N211" s="10" t="s">
        <v>36</v>
      </c>
      <c r="O211" s="10" t="s">
        <v>47</v>
      </c>
      <c r="P211" s="10" t="s">
        <v>644</v>
      </c>
      <c r="Q211" s="13">
        <v>2.0</v>
      </c>
      <c r="R211" s="13" t="s">
        <v>53</v>
      </c>
      <c r="S211" s="13"/>
      <c r="T211" s="13"/>
      <c r="U211" s="13" t="s">
        <v>73</v>
      </c>
      <c r="V211" s="13"/>
      <c r="W211" s="16"/>
      <c r="X211" s="13"/>
    </row>
    <row r="212" ht="14.25" customHeight="1">
      <c r="A212" s="10" t="s">
        <v>30</v>
      </c>
      <c r="B212" s="10" t="s">
        <v>63</v>
      </c>
      <c r="C212" s="10">
        <v>211.0</v>
      </c>
      <c r="D212" s="11" t="s">
        <v>659</v>
      </c>
      <c r="E212" s="11" t="s">
        <v>660</v>
      </c>
      <c r="F212" s="11" t="s">
        <v>34</v>
      </c>
      <c r="G212" s="10">
        <v>211.0</v>
      </c>
      <c r="H212" s="10">
        <f>VLOOKUP(F212,'Generos y Familia'!$A$1:$C$623,2,FALSE)</f>
        <v>27</v>
      </c>
      <c r="I212" s="12" t="str">
        <f t="shared" si="1"/>
        <v>Calliandra trinervia</v>
      </c>
      <c r="J212" s="10" t="str">
        <f t="shared" si="2"/>
        <v>211 Calliandra trinervia</v>
      </c>
      <c r="K212" s="10" t="str">
        <f t="shared" si="3"/>
        <v>Carbonero Rojo</v>
      </c>
      <c r="L212" s="10" t="str">
        <f t="shared" si="4"/>
        <v>211 Carbonero Rojo</v>
      </c>
      <c r="M212" s="10" t="s">
        <v>35</v>
      </c>
      <c r="N212" s="10" t="s">
        <v>36</v>
      </c>
      <c r="O212" s="10" t="s">
        <v>37</v>
      </c>
      <c r="P212" s="10" t="s">
        <v>644</v>
      </c>
      <c r="Q212" s="13"/>
      <c r="R212" s="13"/>
      <c r="S212" s="13"/>
      <c r="T212" s="13"/>
      <c r="U212" s="13"/>
      <c r="V212" s="13"/>
      <c r="W212" s="13"/>
      <c r="X212" s="13"/>
    </row>
    <row r="213" ht="14.25" customHeight="1">
      <c r="A213" s="10" t="s">
        <v>30</v>
      </c>
      <c r="B213" s="10" t="s">
        <v>63</v>
      </c>
      <c r="C213" s="10">
        <v>212.0</v>
      </c>
      <c r="D213" s="11" t="s">
        <v>661</v>
      </c>
      <c r="E213" s="11" t="s">
        <v>660</v>
      </c>
      <c r="F213" s="11" t="s">
        <v>34</v>
      </c>
      <c r="G213" s="10">
        <v>212.0</v>
      </c>
      <c r="H213" s="10">
        <f>VLOOKUP(F213,'Generos y Familia'!$A$1:$C$623,2,FALSE)</f>
        <v>27</v>
      </c>
      <c r="I213" s="12" t="str">
        <f t="shared" si="1"/>
        <v>Calliandra tweedii</v>
      </c>
      <c r="J213" s="10" t="str">
        <f t="shared" si="2"/>
        <v>212 Calliandra tweedii</v>
      </c>
      <c r="K213" s="10" t="str">
        <f t="shared" si="3"/>
        <v>Carbonero Rojo</v>
      </c>
      <c r="L213" s="10" t="str">
        <f t="shared" si="4"/>
        <v>212 Carbonero Rojo</v>
      </c>
      <c r="M213" s="10" t="s">
        <v>35</v>
      </c>
      <c r="N213" s="10" t="s">
        <v>36</v>
      </c>
      <c r="O213" s="10" t="s">
        <v>37</v>
      </c>
      <c r="P213" s="10" t="s">
        <v>644</v>
      </c>
      <c r="Q213" s="17" t="s">
        <v>153</v>
      </c>
      <c r="R213" s="14" t="s">
        <v>53</v>
      </c>
      <c r="S213" s="17" t="s">
        <v>229</v>
      </c>
      <c r="T213" s="14"/>
      <c r="U213" s="14" t="s">
        <v>55</v>
      </c>
      <c r="V213" s="14">
        <v>0.79</v>
      </c>
      <c r="W213" s="18" t="s">
        <v>650</v>
      </c>
      <c r="X213" s="14" t="s">
        <v>190</v>
      </c>
    </row>
    <row r="214" ht="14.25" customHeight="1">
      <c r="A214" s="10" t="s">
        <v>30</v>
      </c>
      <c r="B214" s="10" t="s">
        <v>31</v>
      </c>
      <c r="C214" s="10">
        <v>213.0</v>
      </c>
      <c r="D214" s="11" t="s">
        <v>662</v>
      </c>
      <c r="E214" s="11" t="s">
        <v>663</v>
      </c>
      <c r="F214" s="11" t="s">
        <v>136</v>
      </c>
      <c r="G214" s="10">
        <v>213.0</v>
      </c>
      <c r="H214" s="10">
        <f>VLOOKUP(F214,'Generos y Familia'!$A$1:$C$623,2,FALSE)</f>
        <v>34</v>
      </c>
      <c r="I214" s="12" t="str">
        <f t="shared" si="1"/>
        <v>Callicarpa macrophylla</v>
      </c>
      <c r="J214" s="10" t="str">
        <f t="shared" si="2"/>
        <v>213 Callicarpa macrophylla</v>
      </c>
      <c r="K214" s="10" t="str">
        <f t="shared" si="3"/>
        <v>Callicarpa Macrophylla</v>
      </c>
      <c r="L214" s="10" t="str">
        <f t="shared" si="4"/>
        <v>213 Callicarpa Macrophylla</v>
      </c>
      <c r="M214" s="10" t="s">
        <v>46</v>
      </c>
      <c r="N214" s="10" t="s">
        <v>28</v>
      </c>
      <c r="O214" s="10" t="s">
        <v>47</v>
      </c>
      <c r="P214" s="10" t="s">
        <v>664</v>
      </c>
      <c r="Q214" s="13"/>
      <c r="R214" s="13"/>
      <c r="S214" s="13"/>
      <c r="T214" s="13"/>
      <c r="U214" s="13"/>
      <c r="V214" s="13"/>
      <c r="W214" s="13"/>
      <c r="X214" s="13"/>
    </row>
    <row r="215" ht="14.25" customHeight="1">
      <c r="A215" s="10" t="s">
        <v>30</v>
      </c>
      <c r="B215" s="10" t="s">
        <v>63</v>
      </c>
      <c r="C215" s="10">
        <v>214.0</v>
      </c>
      <c r="D215" s="11" t="s">
        <v>665</v>
      </c>
      <c r="E215" s="11" t="s">
        <v>666</v>
      </c>
      <c r="F215" s="11" t="s">
        <v>95</v>
      </c>
      <c r="G215" s="10">
        <v>214.0</v>
      </c>
      <c r="H215" s="10">
        <f>VLOOKUP(F215,'Generos y Familia'!$A$1:$C$623,2,FALSE)</f>
        <v>49</v>
      </c>
      <c r="I215" s="12" t="str">
        <f t="shared" si="1"/>
        <v>Melaleuca citrina</v>
      </c>
      <c r="J215" s="10" t="str">
        <f t="shared" si="2"/>
        <v>214 Melaleuca citrina</v>
      </c>
      <c r="K215" s="10" t="str">
        <f t="shared" si="3"/>
        <v>Calistemon; Eucalipto Ornamental</v>
      </c>
      <c r="L215" s="10" t="str">
        <f t="shared" si="4"/>
        <v>214 Calistemon; Eucalipto Ornamental</v>
      </c>
      <c r="M215" s="10" t="s">
        <v>46</v>
      </c>
      <c r="N215" s="10" t="s">
        <v>36</v>
      </c>
      <c r="O215" s="10" t="s">
        <v>47</v>
      </c>
      <c r="P215" s="10" t="s">
        <v>667</v>
      </c>
      <c r="Q215" s="17" t="s">
        <v>668</v>
      </c>
      <c r="R215" s="14"/>
      <c r="S215" s="17" t="s">
        <v>229</v>
      </c>
      <c r="T215" s="14"/>
      <c r="U215" s="14" t="s">
        <v>40</v>
      </c>
      <c r="V215" s="14"/>
      <c r="W215" s="17"/>
      <c r="X215" s="14" t="s">
        <v>41</v>
      </c>
    </row>
    <row r="216" ht="14.25" customHeight="1">
      <c r="A216" s="10" t="s">
        <v>30</v>
      </c>
      <c r="B216" s="10" t="s">
        <v>31</v>
      </c>
      <c r="C216" s="10">
        <v>215.0</v>
      </c>
      <c r="D216" s="11" t="s">
        <v>669</v>
      </c>
      <c r="E216" s="11" t="s">
        <v>670</v>
      </c>
      <c r="F216" s="11" t="s">
        <v>95</v>
      </c>
      <c r="G216" s="10">
        <v>215.0</v>
      </c>
      <c r="H216" s="10">
        <f>VLOOKUP(F216,'Generos y Familia'!$A$1:$C$623,2,FALSE)</f>
        <v>49</v>
      </c>
      <c r="I216" s="12" t="str">
        <f t="shared" si="1"/>
        <v>Melaleuca glauca</v>
      </c>
      <c r="J216" s="10" t="str">
        <f t="shared" si="2"/>
        <v>215 Melaleuca glauca</v>
      </c>
      <c r="K216" s="10" t="str">
        <f t="shared" si="3"/>
        <v>Escobillón Rojo; Calistemo Rojo</v>
      </c>
      <c r="L216" s="10" t="str">
        <f t="shared" si="4"/>
        <v>215 Escobillón Rojo; Calistemo Rojo</v>
      </c>
      <c r="M216" s="10" t="s">
        <v>46</v>
      </c>
      <c r="N216" s="10" t="s">
        <v>36</v>
      </c>
      <c r="O216" s="10" t="s">
        <v>37</v>
      </c>
      <c r="P216" s="10" t="s">
        <v>667</v>
      </c>
      <c r="Q216" s="17" t="s">
        <v>379</v>
      </c>
      <c r="R216" s="14"/>
      <c r="S216" s="17" t="s">
        <v>54</v>
      </c>
      <c r="T216" s="14"/>
      <c r="U216" s="14" t="s">
        <v>40</v>
      </c>
      <c r="V216" s="14"/>
      <c r="W216" s="17"/>
      <c r="X216" s="14" t="s">
        <v>41</v>
      </c>
    </row>
    <row r="217" ht="14.25" customHeight="1">
      <c r="A217" s="10" t="s">
        <v>30</v>
      </c>
      <c r="B217" s="10" t="s">
        <v>31</v>
      </c>
      <c r="C217" s="10">
        <v>216.0</v>
      </c>
      <c r="D217" s="11" t="s">
        <v>671</v>
      </c>
      <c r="E217" s="11" t="s">
        <v>672</v>
      </c>
      <c r="F217" s="11" t="s">
        <v>673</v>
      </c>
      <c r="G217" s="10">
        <v>216.0</v>
      </c>
      <c r="H217" s="10">
        <f>VLOOKUP(F217,'Generos y Familia'!$A$1:$C$623,2,FALSE)</f>
        <v>45</v>
      </c>
      <c r="I217" s="12" t="str">
        <f t="shared" si="1"/>
        <v>Hesperocyparis glabra</v>
      </c>
      <c r="J217" s="10" t="str">
        <f t="shared" si="2"/>
        <v>216 Hesperocyparis glabra</v>
      </c>
      <c r="K217" s="10" t="str">
        <f t="shared" si="3"/>
        <v>Callitropsis Glabra</v>
      </c>
      <c r="L217" s="10" t="str">
        <f t="shared" si="4"/>
        <v>216 Callitropsis Glabra</v>
      </c>
      <c r="M217" s="10" t="s">
        <v>46</v>
      </c>
      <c r="N217" s="10" t="s">
        <v>28</v>
      </c>
      <c r="O217" s="10" t="s">
        <v>37</v>
      </c>
      <c r="P217" s="10" t="s">
        <v>674</v>
      </c>
      <c r="Q217" s="13"/>
      <c r="R217" s="13"/>
      <c r="S217" s="13" t="s">
        <v>675</v>
      </c>
      <c r="T217" s="13"/>
      <c r="U217" s="13"/>
      <c r="V217" s="13"/>
      <c r="W217" s="13"/>
      <c r="X217" s="13"/>
    </row>
    <row r="218" ht="14.25" customHeight="1">
      <c r="A218" s="10" t="s">
        <v>30</v>
      </c>
      <c r="B218" s="10" t="s">
        <v>31</v>
      </c>
      <c r="C218" s="10">
        <v>217.0</v>
      </c>
      <c r="D218" s="11" t="s">
        <v>676</v>
      </c>
      <c r="E218" s="11" t="s">
        <v>677</v>
      </c>
      <c r="F218" s="11" t="s">
        <v>673</v>
      </c>
      <c r="G218" s="10">
        <v>217.0</v>
      </c>
      <c r="H218" s="10">
        <f>VLOOKUP(F218,'Generos y Familia'!$A$1:$C$623,2,FALSE)</f>
        <v>45</v>
      </c>
      <c r="I218" s="12" t="str">
        <f t="shared" si="1"/>
        <v>Calocedrus decurrens</v>
      </c>
      <c r="J218" s="10" t="str">
        <f t="shared" si="2"/>
        <v>217 Calocedrus decurrens</v>
      </c>
      <c r="K218" s="10" t="str">
        <f t="shared" si="3"/>
        <v>Cedro Colorado</v>
      </c>
      <c r="L218" s="10" t="str">
        <f t="shared" si="4"/>
        <v>217 Cedro Colorado</v>
      </c>
      <c r="M218" s="10" t="s">
        <v>46</v>
      </c>
      <c r="N218" s="10" t="s">
        <v>28</v>
      </c>
      <c r="O218" s="10" t="s">
        <v>37</v>
      </c>
      <c r="P218" s="10" t="s">
        <v>678</v>
      </c>
      <c r="Q218" s="13"/>
      <c r="R218" s="13"/>
      <c r="S218" s="13"/>
      <c r="T218" s="13"/>
      <c r="U218" s="13"/>
      <c r="V218" s="13"/>
      <c r="W218" s="13"/>
      <c r="X218" s="13"/>
    </row>
    <row r="219" ht="14.25" customHeight="1">
      <c r="A219" s="10" t="s">
        <v>30</v>
      </c>
      <c r="B219" s="10" t="s">
        <v>31</v>
      </c>
      <c r="C219" s="10">
        <v>218.0</v>
      </c>
      <c r="D219" s="11" t="s">
        <v>679</v>
      </c>
      <c r="E219" s="11" t="s">
        <v>680</v>
      </c>
      <c r="F219" s="11" t="s">
        <v>681</v>
      </c>
      <c r="G219" s="10">
        <v>218.0</v>
      </c>
      <c r="H219" s="10">
        <f>VLOOKUP(F219,'Generos y Familia'!$A$1:$C$623,2,FALSE)</f>
        <v>27</v>
      </c>
      <c r="I219" s="12" t="str">
        <f t="shared" si="1"/>
        <v>Calophyllum brasiliense</v>
      </c>
      <c r="J219" s="10" t="str">
        <f t="shared" si="2"/>
        <v>218 Calophyllum brasiliense</v>
      </c>
      <c r="K219" s="10" t="str">
        <f t="shared" si="3"/>
        <v>Aceite María; Aceite</v>
      </c>
      <c r="L219" s="10" t="str">
        <f t="shared" si="4"/>
        <v>218 Aceite María; Aceite</v>
      </c>
      <c r="M219" s="10" t="s">
        <v>35</v>
      </c>
      <c r="N219" s="10" t="s">
        <v>36</v>
      </c>
      <c r="O219" s="10" t="s">
        <v>37</v>
      </c>
      <c r="P219" s="10" t="s">
        <v>682</v>
      </c>
      <c r="Q219" s="17" t="s">
        <v>54</v>
      </c>
      <c r="R219" s="14" t="s">
        <v>39</v>
      </c>
      <c r="S219" s="17" t="s">
        <v>70</v>
      </c>
      <c r="T219" s="14" t="s">
        <v>39</v>
      </c>
      <c r="U219" s="14" t="s">
        <v>73</v>
      </c>
      <c r="V219" s="14">
        <v>0.51</v>
      </c>
      <c r="W219" s="18" t="s">
        <v>683</v>
      </c>
      <c r="X219" s="14"/>
    </row>
    <row r="220" ht="14.25" customHeight="1">
      <c r="A220" s="10" t="s">
        <v>30</v>
      </c>
      <c r="B220" s="10" t="s">
        <v>31</v>
      </c>
      <c r="C220" s="10">
        <v>219.0</v>
      </c>
      <c r="D220" s="11" t="s">
        <v>684</v>
      </c>
      <c r="E220" s="11" t="s">
        <v>685</v>
      </c>
      <c r="F220" s="11" t="s">
        <v>681</v>
      </c>
      <c r="G220" s="10">
        <v>219.0</v>
      </c>
      <c r="H220" s="10">
        <f>VLOOKUP(F220,'Generos y Familia'!$A$1:$C$623,2,FALSE)</f>
        <v>27</v>
      </c>
      <c r="I220" s="12" t="str">
        <f t="shared" si="1"/>
        <v>Calophyllum calaba</v>
      </c>
      <c r="J220" s="10" t="str">
        <f t="shared" si="2"/>
        <v>219 Calophyllum calaba</v>
      </c>
      <c r="K220" s="10" t="str">
        <f t="shared" si="3"/>
        <v>María; Santa María; Mamey Falso</v>
      </c>
      <c r="L220" s="10" t="str">
        <f t="shared" si="4"/>
        <v>219 María; Santa María; Mamey Falso</v>
      </c>
      <c r="M220" s="10" t="s">
        <v>35</v>
      </c>
      <c r="N220" s="10" t="s">
        <v>36</v>
      </c>
      <c r="O220" s="10" t="s">
        <v>37</v>
      </c>
      <c r="P220" s="10" t="s">
        <v>682</v>
      </c>
      <c r="Q220" s="13">
        <v>15.0</v>
      </c>
      <c r="R220" s="13" t="s">
        <v>53</v>
      </c>
      <c r="S220" s="13"/>
      <c r="T220" s="13"/>
      <c r="U220" s="13" t="s">
        <v>73</v>
      </c>
      <c r="V220" s="13"/>
      <c r="W220" s="13"/>
      <c r="X220" s="13"/>
    </row>
    <row r="221" ht="14.25" customHeight="1">
      <c r="A221" s="10" t="s">
        <v>30</v>
      </c>
      <c r="B221" s="10" t="s">
        <v>31</v>
      </c>
      <c r="C221" s="10">
        <v>220.0</v>
      </c>
      <c r="D221" s="11" t="s">
        <v>686</v>
      </c>
      <c r="E221" s="11" t="s">
        <v>687</v>
      </c>
      <c r="F221" s="11" t="s">
        <v>681</v>
      </c>
      <c r="G221" s="10">
        <v>220.0</v>
      </c>
      <c r="H221" s="10">
        <f>VLOOKUP(F221,'Generos y Familia'!$A$1:$C$623,2,FALSE)</f>
        <v>27</v>
      </c>
      <c r="I221" s="12" t="str">
        <f t="shared" si="1"/>
        <v>Calophyllum inophyllum</v>
      </c>
      <c r="J221" s="10" t="str">
        <f t="shared" si="2"/>
        <v>220 Calophyllum inophyllum</v>
      </c>
      <c r="K221" s="10" t="str">
        <f t="shared" si="3"/>
        <v>Aceite</v>
      </c>
      <c r="L221" s="10" t="str">
        <f t="shared" si="4"/>
        <v>220 Aceite</v>
      </c>
      <c r="M221" s="10" t="s">
        <v>46</v>
      </c>
      <c r="N221" s="10" t="s">
        <v>36</v>
      </c>
      <c r="O221" s="10" t="s">
        <v>37</v>
      </c>
      <c r="P221" s="10" t="s">
        <v>682</v>
      </c>
      <c r="Q221" s="17" t="s">
        <v>229</v>
      </c>
      <c r="R221" s="14" t="s">
        <v>39</v>
      </c>
      <c r="S221" s="17" t="s">
        <v>290</v>
      </c>
      <c r="T221" s="14" t="s">
        <v>39</v>
      </c>
      <c r="U221" s="14" t="s">
        <v>40</v>
      </c>
      <c r="V221" s="14" t="s">
        <v>688</v>
      </c>
      <c r="W221" s="18" t="s">
        <v>689</v>
      </c>
      <c r="X221" s="14"/>
    </row>
    <row r="222" ht="14.25" customHeight="1">
      <c r="A222" s="10" t="s">
        <v>30</v>
      </c>
      <c r="B222" s="10" t="s">
        <v>31</v>
      </c>
      <c r="C222" s="10">
        <v>221.0</v>
      </c>
      <c r="D222" s="11" t="s">
        <v>690</v>
      </c>
      <c r="E222" s="11" t="s">
        <v>691</v>
      </c>
      <c r="F222" s="11" t="s">
        <v>681</v>
      </c>
      <c r="G222" s="10">
        <v>221.0</v>
      </c>
      <c r="H222" s="10">
        <f>VLOOKUP(F222,'Generos y Familia'!$A$1:$C$623,2,FALSE)</f>
        <v>27</v>
      </c>
      <c r="I222" s="12" t="str">
        <f t="shared" si="1"/>
        <v>Calophyllum soulattri</v>
      </c>
      <c r="J222" s="10" t="str">
        <f t="shared" si="2"/>
        <v>221 Calophyllum soulattri</v>
      </c>
      <c r="K222" s="10" t="str">
        <f t="shared" si="3"/>
        <v>Calophyllum Soulattri</v>
      </c>
      <c r="L222" s="10" t="str">
        <f t="shared" si="4"/>
        <v>221 Calophyllum Soulattri</v>
      </c>
      <c r="M222" s="10" t="s">
        <v>46</v>
      </c>
      <c r="N222" s="10" t="s">
        <v>28</v>
      </c>
      <c r="O222" s="10" t="s">
        <v>37</v>
      </c>
      <c r="P222" s="10" t="s">
        <v>682</v>
      </c>
      <c r="Q222" s="13"/>
      <c r="R222" s="13"/>
      <c r="S222" s="13"/>
      <c r="T222" s="13"/>
      <c r="U222" s="13"/>
      <c r="V222" s="13"/>
      <c r="W222" s="16"/>
      <c r="X222" s="13"/>
    </row>
    <row r="223" ht="14.25" customHeight="1">
      <c r="A223" s="10" t="s">
        <v>30</v>
      </c>
      <c r="B223" s="10" t="s">
        <v>31</v>
      </c>
      <c r="C223" s="10">
        <v>222.0</v>
      </c>
      <c r="D223" s="11" t="s">
        <v>692</v>
      </c>
      <c r="E223" s="11" t="s">
        <v>693</v>
      </c>
      <c r="F223" s="11" t="s">
        <v>310</v>
      </c>
      <c r="G223" s="10">
        <v>222.0</v>
      </c>
      <c r="H223" s="10">
        <f>VLOOKUP(F223,'Generos y Familia'!$A$1:$C$623,2,FALSE)</f>
        <v>79</v>
      </c>
      <c r="I223" s="12" t="str">
        <f t="shared" si="1"/>
        <v>Calycophyllum candidissimum</v>
      </c>
      <c r="J223" s="10" t="str">
        <f t="shared" si="2"/>
        <v>222 Calycophyllum candidissimum</v>
      </c>
      <c r="K223" s="10" t="str">
        <f t="shared" si="3"/>
        <v>Guayabo Alazano; Dágame; Canelo</v>
      </c>
      <c r="L223" s="10" t="str">
        <f t="shared" si="4"/>
        <v>222 Guayabo Alazano; Dágame; Canelo</v>
      </c>
      <c r="M223" s="10" t="s">
        <v>35</v>
      </c>
      <c r="N223" s="10" t="s">
        <v>36</v>
      </c>
      <c r="O223" s="10" t="s">
        <v>37</v>
      </c>
      <c r="P223" s="10" t="s">
        <v>694</v>
      </c>
      <c r="Q223" s="13"/>
      <c r="R223" s="13"/>
      <c r="S223" s="13"/>
      <c r="T223" s="13"/>
      <c r="U223" s="13"/>
      <c r="V223" s="13"/>
      <c r="W223" s="16"/>
      <c r="X223" s="13"/>
    </row>
    <row r="224" ht="14.25" customHeight="1">
      <c r="A224" s="10" t="s">
        <v>30</v>
      </c>
      <c r="B224" s="10" t="s">
        <v>31</v>
      </c>
      <c r="C224" s="10">
        <v>223.0</v>
      </c>
      <c r="D224" s="11" t="s">
        <v>695</v>
      </c>
      <c r="E224" s="11" t="s">
        <v>696</v>
      </c>
      <c r="F224" s="11" t="s">
        <v>95</v>
      </c>
      <c r="G224" s="10">
        <v>223.0</v>
      </c>
      <c r="H224" s="10">
        <f>VLOOKUP(F224,'Generos y Familia'!$A$1:$C$623,2,FALSE)</f>
        <v>49</v>
      </c>
      <c r="I224" s="12" t="str">
        <f t="shared" si="1"/>
        <v>Calyptranthes sp</v>
      </c>
      <c r="J224" s="10" t="str">
        <f t="shared" si="2"/>
        <v>223 Calyptranthes sp</v>
      </c>
      <c r="K224" s="10" t="str">
        <f t="shared" si="3"/>
        <v>Calytranthes sp</v>
      </c>
      <c r="L224" s="10" t="str">
        <f t="shared" si="4"/>
        <v>223 Calytranthes sp</v>
      </c>
      <c r="M224" s="10" t="s">
        <v>46</v>
      </c>
      <c r="N224" s="10" t="s">
        <v>28</v>
      </c>
      <c r="O224" s="10" t="s">
        <v>47</v>
      </c>
      <c r="P224" s="10" t="s">
        <v>697</v>
      </c>
      <c r="Q224" s="13"/>
      <c r="R224" s="13"/>
      <c r="S224" s="13"/>
      <c r="T224" s="13"/>
      <c r="U224" s="13"/>
      <c r="V224" s="13"/>
      <c r="W224" s="13"/>
      <c r="X224" s="13"/>
    </row>
    <row r="225" ht="14.25" customHeight="1">
      <c r="A225" s="10" t="s">
        <v>30</v>
      </c>
      <c r="B225" s="10" t="s">
        <v>31</v>
      </c>
      <c r="C225" s="10">
        <v>224.0</v>
      </c>
      <c r="D225" s="11" t="s">
        <v>698</v>
      </c>
      <c r="E225" s="11" t="s">
        <v>699</v>
      </c>
      <c r="F225" s="11" t="s">
        <v>700</v>
      </c>
      <c r="G225" s="10">
        <v>224.0</v>
      </c>
      <c r="H225" s="10">
        <f>VLOOKUP(F225,'Generos y Familia'!$A$1:$C$623,2,FALSE)</f>
        <v>92</v>
      </c>
      <c r="I225" s="12" t="str">
        <f t="shared" si="1"/>
        <v>camellia japonica</v>
      </c>
      <c r="J225" s="10" t="str">
        <f t="shared" si="2"/>
        <v>224 camellia japonica</v>
      </c>
      <c r="K225" s="10" t="str">
        <f t="shared" si="3"/>
        <v>Camelia</v>
      </c>
      <c r="L225" s="10" t="str">
        <f t="shared" si="4"/>
        <v>224 Camelia</v>
      </c>
      <c r="M225" s="10" t="s">
        <v>46</v>
      </c>
      <c r="N225" s="10" t="s">
        <v>28</v>
      </c>
      <c r="O225" s="10" t="s">
        <v>47</v>
      </c>
      <c r="P225" s="10" t="s">
        <v>699</v>
      </c>
      <c r="Q225" s="17" t="s">
        <v>612</v>
      </c>
      <c r="R225" s="14" t="s">
        <v>53</v>
      </c>
      <c r="S225" s="17" t="s">
        <v>145</v>
      </c>
      <c r="T225" s="14"/>
      <c r="U225" s="14" t="s">
        <v>73</v>
      </c>
      <c r="V225" s="14"/>
      <c r="W225" s="17" t="s">
        <v>54</v>
      </c>
      <c r="X225" s="14"/>
    </row>
    <row r="226" ht="14.25" customHeight="1">
      <c r="A226" s="10" t="s">
        <v>30</v>
      </c>
      <c r="B226" s="10" t="s">
        <v>31</v>
      </c>
      <c r="C226" s="10">
        <v>225.0</v>
      </c>
      <c r="D226" s="11" t="s">
        <v>701</v>
      </c>
      <c r="E226" s="11" t="s">
        <v>699</v>
      </c>
      <c r="F226" s="11" t="s">
        <v>700</v>
      </c>
      <c r="G226" s="10">
        <v>225.0</v>
      </c>
      <c r="H226" s="10">
        <f>VLOOKUP(F226,'Generos y Familia'!$A$1:$C$623,2,FALSE)</f>
        <v>92</v>
      </c>
      <c r="I226" s="12" t="str">
        <f t="shared" si="1"/>
        <v>Camellia sp</v>
      </c>
      <c r="J226" s="10" t="str">
        <f t="shared" si="2"/>
        <v>225 Camellia sp</v>
      </c>
      <c r="K226" s="10" t="str">
        <f t="shared" si="3"/>
        <v>Camelia</v>
      </c>
      <c r="L226" s="10" t="str">
        <f t="shared" si="4"/>
        <v>225 Camelia</v>
      </c>
      <c r="M226" s="10" t="s">
        <v>46</v>
      </c>
      <c r="N226" s="10" t="s">
        <v>28</v>
      </c>
      <c r="O226" s="10" t="s">
        <v>47</v>
      </c>
      <c r="P226" s="10" t="s">
        <v>699</v>
      </c>
      <c r="Q226" s="17" t="s">
        <v>612</v>
      </c>
      <c r="R226" s="14"/>
      <c r="S226" s="17" t="s">
        <v>145</v>
      </c>
      <c r="T226" s="14"/>
      <c r="U226" s="14" t="s">
        <v>73</v>
      </c>
      <c r="V226" s="14"/>
      <c r="W226" s="17" t="s">
        <v>54</v>
      </c>
      <c r="X226" s="14"/>
    </row>
    <row r="227" ht="14.25" customHeight="1">
      <c r="A227" s="10" t="s">
        <v>30</v>
      </c>
      <c r="B227" s="10" t="s">
        <v>31</v>
      </c>
      <c r="C227" s="10">
        <v>226.0</v>
      </c>
      <c r="D227" s="11" t="s">
        <v>702</v>
      </c>
      <c r="E227" s="11" t="s">
        <v>703</v>
      </c>
      <c r="F227" s="11" t="s">
        <v>95</v>
      </c>
      <c r="G227" s="10">
        <v>226.0</v>
      </c>
      <c r="H227" s="10">
        <f>VLOOKUP(F227,'Generos y Familia'!$A$1:$C$623,2,FALSE)</f>
        <v>49</v>
      </c>
      <c r="I227" s="12" t="str">
        <f t="shared" si="1"/>
        <v>Campomanesia lineatifolia</v>
      </c>
      <c r="J227" s="10" t="str">
        <f t="shared" si="2"/>
        <v>226 Campomanesia lineatifolia</v>
      </c>
      <c r="K227" s="10" t="str">
        <f t="shared" si="3"/>
        <v>Guayaba de Leche</v>
      </c>
      <c r="L227" s="10" t="str">
        <f t="shared" si="4"/>
        <v>226 Guayaba de Leche</v>
      </c>
      <c r="M227" s="10" t="s">
        <v>35</v>
      </c>
      <c r="N227" s="10" t="s">
        <v>36</v>
      </c>
      <c r="O227" s="10" t="s">
        <v>37</v>
      </c>
      <c r="P227" s="10" t="s">
        <v>704</v>
      </c>
      <c r="Q227" s="13">
        <v>8.0</v>
      </c>
      <c r="R227" s="13" t="s">
        <v>53</v>
      </c>
      <c r="S227" s="13"/>
      <c r="T227" s="13"/>
      <c r="U227" s="13" t="s">
        <v>40</v>
      </c>
      <c r="V227" s="13"/>
      <c r="W227" s="13"/>
      <c r="X227" s="13"/>
    </row>
    <row r="228" ht="14.25" customHeight="1">
      <c r="A228" s="10" t="s">
        <v>30</v>
      </c>
      <c r="B228" s="10" t="s">
        <v>31</v>
      </c>
      <c r="C228" s="10">
        <v>227.0</v>
      </c>
      <c r="D228" s="11" t="s">
        <v>705</v>
      </c>
      <c r="E228" s="11" t="s">
        <v>706</v>
      </c>
      <c r="F228" s="11" t="s">
        <v>286</v>
      </c>
      <c r="G228" s="10">
        <v>227.0</v>
      </c>
      <c r="H228" s="10">
        <f>VLOOKUP(F228,'Generos y Familia'!$A$1:$C$623,2,FALSE)</f>
        <v>8</v>
      </c>
      <c r="I228" s="12" t="str">
        <f t="shared" si="1"/>
        <v>Cananga odorata</v>
      </c>
      <c r="J228" s="10" t="str">
        <f t="shared" si="2"/>
        <v>227 Cananga odorata</v>
      </c>
      <c r="K228" s="10" t="str">
        <f t="shared" si="3"/>
        <v>Cadmio; Ylang Ylang</v>
      </c>
      <c r="L228" s="10" t="str">
        <f t="shared" si="4"/>
        <v>227 Cadmio; Ylang Ylang</v>
      </c>
      <c r="M228" s="10" t="s">
        <v>46</v>
      </c>
      <c r="N228" s="10" t="s">
        <v>36</v>
      </c>
      <c r="O228" s="10" t="s">
        <v>37</v>
      </c>
      <c r="P228" s="10" t="s">
        <v>707</v>
      </c>
      <c r="Q228" s="17" t="s">
        <v>145</v>
      </c>
      <c r="R228" s="14" t="s">
        <v>39</v>
      </c>
      <c r="S228" s="17" t="s">
        <v>70</v>
      </c>
      <c r="T228" s="14" t="s">
        <v>39</v>
      </c>
      <c r="U228" s="14" t="s">
        <v>55</v>
      </c>
      <c r="V228" s="14">
        <v>0.33</v>
      </c>
      <c r="W228" s="17" t="s">
        <v>54</v>
      </c>
      <c r="X228" s="14"/>
    </row>
    <row r="229" ht="14.25" customHeight="1">
      <c r="A229" s="10" t="s">
        <v>30</v>
      </c>
      <c r="B229" s="10" t="s">
        <v>31</v>
      </c>
      <c r="C229" s="10">
        <v>228.0</v>
      </c>
      <c r="D229" s="11" t="s">
        <v>708</v>
      </c>
      <c r="E229" s="11" t="s">
        <v>709</v>
      </c>
      <c r="F229" s="11" t="s">
        <v>710</v>
      </c>
      <c r="G229" s="10">
        <v>228.0</v>
      </c>
      <c r="H229" s="10">
        <f>VLOOKUP(F229,'Generos y Familia'!$A$1:$C$623,2,FALSE)</f>
        <v>29</v>
      </c>
      <c r="I229" s="12" t="str">
        <f t="shared" si="1"/>
        <v>Morisonia odoratissmia</v>
      </c>
      <c r="J229" s="10" t="str">
        <f t="shared" si="2"/>
        <v>228 Morisonia odoratissmia</v>
      </c>
      <c r="K229" s="10" t="str">
        <f t="shared" si="3"/>
        <v>Naranjillo; Naranjuelo</v>
      </c>
      <c r="L229" s="10" t="str">
        <f t="shared" si="4"/>
        <v>228 Naranjillo; Naranjuelo</v>
      </c>
      <c r="M229" s="10" t="s">
        <v>35</v>
      </c>
      <c r="N229" s="10" t="s">
        <v>36</v>
      </c>
      <c r="O229" s="10" t="s">
        <v>47</v>
      </c>
      <c r="P229" s="10" t="s">
        <v>711</v>
      </c>
      <c r="Q229" s="13"/>
      <c r="R229" s="13"/>
      <c r="S229" s="13"/>
      <c r="T229" s="13"/>
      <c r="U229" s="13"/>
      <c r="V229" s="13"/>
      <c r="W229" s="13"/>
      <c r="X229" s="13"/>
    </row>
    <row r="230" ht="14.25" customHeight="1">
      <c r="A230" s="10" t="s">
        <v>30</v>
      </c>
      <c r="B230" s="10" t="s">
        <v>31</v>
      </c>
      <c r="C230" s="10">
        <v>229.0</v>
      </c>
      <c r="D230" s="11" t="s">
        <v>712</v>
      </c>
      <c r="E230" s="11" t="s">
        <v>713</v>
      </c>
      <c r="F230" s="11" t="s">
        <v>103</v>
      </c>
      <c r="G230" s="10">
        <v>229.0</v>
      </c>
      <c r="H230" s="10">
        <f>VLOOKUP(F230,'Generos y Familia'!$A$1:$C$623,2,FALSE)</f>
        <v>89</v>
      </c>
      <c r="I230" s="12" t="str">
        <f t="shared" si="1"/>
        <v>Capsicum frutescens</v>
      </c>
      <c r="J230" s="10" t="str">
        <f t="shared" si="2"/>
        <v>229 Capsicum frutescens</v>
      </c>
      <c r="K230" s="10" t="str">
        <f t="shared" si="3"/>
        <v>Ají</v>
      </c>
      <c r="L230" s="10" t="str">
        <f t="shared" si="4"/>
        <v>229 Ají</v>
      </c>
      <c r="M230" s="10" t="s">
        <v>35</v>
      </c>
      <c r="N230" s="10" t="s">
        <v>36</v>
      </c>
      <c r="O230" s="10" t="s">
        <v>47</v>
      </c>
      <c r="P230" s="10" t="s">
        <v>714</v>
      </c>
      <c r="Q230" s="13"/>
      <c r="R230" s="13"/>
      <c r="S230" s="13"/>
      <c r="T230" s="13"/>
      <c r="U230" s="13"/>
      <c r="V230" s="13"/>
      <c r="W230" s="13"/>
      <c r="X230" s="13"/>
    </row>
    <row r="231" ht="14.25" customHeight="1">
      <c r="A231" s="10" t="s">
        <v>30</v>
      </c>
      <c r="B231" s="10" t="s">
        <v>31</v>
      </c>
      <c r="C231" s="10">
        <v>230.0</v>
      </c>
      <c r="D231" s="11" t="s">
        <v>715</v>
      </c>
      <c r="E231" s="11" t="s">
        <v>713</v>
      </c>
      <c r="F231" s="11" t="s">
        <v>103</v>
      </c>
      <c r="G231" s="10">
        <v>230.0</v>
      </c>
      <c r="H231" s="10">
        <f>VLOOKUP(F231,'Generos y Familia'!$A$1:$C$623,2,FALSE)</f>
        <v>89</v>
      </c>
      <c r="I231" s="12" t="str">
        <f t="shared" si="1"/>
        <v>Capsicum sp</v>
      </c>
      <c r="J231" s="10" t="str">
        <f t="shared" si="2"/>
        <v>230 Capsicum sp</v>
      </c>
      <c r="K231" s="10" t="str">
        <f t="shared" si="3"/>
        <v>Ají</v>
      </c>
      <c r="L231" s="10" t="str">
        <f t="shared" si="4"/>
        <v>230 Ají</v>
      </c>
      <c r="M231" s="10" t="s">
        <v>35</v>
      </c>
      <c r="N231" s="10" t="s">
        <v>36</v>
      </c>
      <c r="O231" s="10" t="s">
        <v>47</v>
      </c>
      <c r="P231" s="10" t="s">
        <v>714</v>
      </c>
      <c r="Q231" s="13"/>
      <c r="R231" s="13"/>
      <c r="S231" s="13"/>
      <c r="T231" s="13"/>
      <c r="U231" s="13"/>
      <c r="V231" s="13"/>
      <c r="W231" s="13"/>
      <c r="X231" s="13"/>
    </row>
    <row r="232" ht="14.25" customHeight="1">
      <c r="A232" s="10" t="s">
        <v>30</v>
      </c>
      <c r="B232" s="10" t="s">
        <v>31</v>
      </c>
      <c r="C232" s="10">
        <v>231.0</v>
      </c>
      <c r="D232" s="11" t="s">
        <v>716</v>
      </c>
      <c r="E232" s="11" t="s">
        <v>717</v>
      </c>
      <c r="F232" s="11" t="s">
        <v>411</v>
      </c>
      <c r="G232" s="10">
        <v>231.0</v>
      </c>
      <c r="H232" s="10">
        <f>VLOOKUP(F232,'Generos y Familia'!$A$1:$C$623,2,FALSE)</f>
        <v>42</v>
      </c>
      <c r="I232" s="12" t="str">
        <f t="shared" si="1"/>
        <v>Carapa guianensis</v>
      </c>
      <c r="J232" s="10" t="str">
        <f t="shared" si="2"/>
        <v>231 Carapa guianensis</v>
      </c>
      <c r="K232" s="10" t="str">
        <f t="shared" si="3"/>
        <v>Cedro Guino</v>
      </c>
      <c r="L232" s="10" t="str">
        <f t="shared" si="4"/>
        <v>231 Cedro Guino</v>
      </c>
      <c r="M232" s="10" t="s">
        <v>35</v>
      </c>
      <c r="N232" s="10" t="s">
        <v>36</v>
      </c>
      <c r="O232" s="10" t="s">
        <v>37</v>
      </c>
      <c r="P232" s="10" t="s">
        <v>718</v>
      </c>
      <c r="Q232" s="13">
        <v>40.0</v>
      </c>
      <c r="R232" s="13" t="s">
        <v>39</v>
      </c>
      <c r="S232" s="13">
        <v>120.0</v>
      </c>
      <c r="T232" s="13" t="s">
        <v>39</v>
      </c>
      <c r="U232" s="13" t="s">
        <v>73</v>
      </c>
      <c r="V232" s="13">
        <v>0.55</v>
      </c>
      <c r="W232" s="16"/>
      <c r="X232" s="13"/>
    </row>
    <row r="233" ht="14.25" customHeight="1">
      <c r="A233" s="10" t="s">
        <v>30</v>
      </c>
      <c r="B233" s="10" t="s">
        <v>31</v>
      </c>
      <c r="C233" s="10">
        <v>232.0</v>
      </c>
      <c r="D233" s="11" t="s">
        <v>719</v>
      </c>
      <c r="E233" s="11" t="s">
        <v>720</v>
      </c>
      <c r="F233" s="11" t="s">
        <v>721</v>
      </c>
      <c r="G233" s="10">
        <v>232.0</v>
      </c>
      <c r="H233" s="10">
        <f>VLOOKUP(F233,'Generos y Familia'!$A$1:$C$623,2,FALSE)</f>
        <v>31</v>
      </c>
      <c r="I233" s="12" t="str">
        <f t="shared" si="1"/>
        <v>Carica papaya</v>
      </c>
      <c r="J233" s="10" t="str">
        <f t="shared" si="2"/>
        <v>232 Carica papaya</v>
      </c>
      <c r="K233" s="10" t="str">
        <f t="shared" si="3"/>
        <v>Papayo</v>
      </c>
      <c r="L233" s="10" t="str">
        <f t="shared" si="4"/>
        <v>232 Papayo</v>
      </c>
      <c r="M233" s="10" t="s">
        <v>35</v>
      </c>
      <c r="N233" s="10" t="s">
        <v>36</v>
      </c>
      <c r="O233" s="10" t="s">
        <v>47</v>
      </c>
      <c r="P233" s="10" t="s">
        <v>722</v>
      </c>
      <c r="Q233" s="17" t="s">
        <v>668</v>
      </c>
      <c r="R233" s="14"/>
      <c r="S233" s="17" t="s">
        <v>145</v>
      </c>
      <c r="T233" s="14"/>
      <c r="U233" s="14" t="s">
        <v>55</v>
      </c>
      <c r="V233" s="14"/>
      <c r="W233" s="17" t="s">
        <v>723</v>
      </c>
      <c r="X233" s="14"/>
    </row>
    <row r="234" ht="14.25" customHeight="1">
      <c r="A234" s="10" t="s">
        <v>30</v>
      </c>
      <c r="B234" s="10" t="s">
        <v>31</v>
      </c>
      <c r="C234" s="10">
        <v>233.0</v>
      </c>
      <c r="D234" s="11" t="s">
        <v>724</v>
      </c>
      <c r="E234" s="11" t="s">
        <v>725</v>
      </c>
      <c r="F234" s="11" t="s">
        <v>721</v>
      </c>
      <c r="G234" s="10">
        <v>233.0</v>
      </c>
      <c r="H234" s="10">
        <f>VLOOKUP(F234,'Generos y Familia'!$A$1:$C$623,2,FALSE)</f>
        <v>31</v>
      </c>
      <c r="I234" s="12" t="str">
        <f t="shared" si="1"/>
        <v>Carica sp</v>
      </c>
      <c r="J234" s="10" t="str">
        <f t="shared" si="2"/>
        <v>233 Carica sp</v>
      </c>
      <c r="K234" s="10" t="str">
        <f t="shared" si="3"/>
        <v>Papauelo Silvestre</v>
      </c>
      <c r="L234" s="10" t="str">
        <f t="shared" si="4"/>
        <v>233 Papauelo Silvestre</v>
      </c>
      <c r="M234" s="10" t="s">
        <v>35</v>
      </c>
      <c r="N234" s="10" t="s">
        <v>36</v>
      </c>
      <c r="O234" s="10" t="s">
        <v>47</v>
      </c>
      <c r="P234" s="10" t="s">
        <v>722</v>
      </c>
      <c r="Q234" s="13"/>
      <c r="R234" s="13"/>
      <c r="S234" s="13"/>
      <c r="T234" s="13"/>
      <c r="U234" s="13"/>
      <c r="V234" s="13"/>
      <c r="W234" s="13"/>
      <c r="X234" s="13"/>
    </row>
    <row r="235" ht="14.25" customHeight="1">
      <c r="A235" s="10" t="s">
        <v>30</v>
      </c>
      <c r="B235" s="10" t="s">
        <v>31</v>
      </c>
      <c r="C235" s="10">
        <v>234.0</v>
      </c>
      <c r="D235" s="11" t="s">
        <v>726</v>
      </c>
      <c r="E235" s="11" t="s">
        <v>727</v>
      </c>
      <c r="F235" s="11" t="s">
        <v>728</v>
      </c>
      <c r="G235" s="10">
        <v>234.0</v>
      </c>
      <c r="H235" s="10">
        <f>VLOOKUP(F235,'Generos y Familia'!$A$1:$C$623,2,FALSE)</f>
        <v>36</v>
      </c>
      <c r="I235" s="12" t="str">
        <f t="shared" si="1"/>
        <v>Cariniana pyriformis</v>
      </c>
      <c r="J235" s="10" t="str">
        <f t="shared" si="2"/>
        <v>234 Cariniana pyriformis</v>
      </c>
      <c r="K235" s="10" t="str">
        <f t="shared" si="3"/>
        <v>Abarco</v>
      </c>
      <c r="L235" s="10" t="str">
        <f t="shared" si="4"/>
        <v>234 Abarco</v>
      </c>
      <c r="M235" s="10" t="s">
        <v>35</v>
      </c>
      <c r="N235" s="10" t="s">
        <v>36</v>
      </c>
      <c r="O235" s="10" t="s">
        <v>37</v>
      </c>
      <c r="P235" s="10" t="s">
        <v>729</v>
      </c>
      <c r="Q235" s="13">
        <v>40.0</v>
      </c>
      <c r="R235" s="13" t="s">
        <v>39</v>
      </c>
      <c r="S235" s="13">
        <v>200.0</v>
      </c>
      <c r="T235" s="13" t="s">
        <v>39</v>
      </c>
      <c r="U235" s="13" t="s">
        <v>73</v>
      </c>
      <c r="V235" s="13">
        <v>0.55</v>
      </c>
      <c r="W235" s="13"/>
      <c r="X235" s="13"/>
    </row>
    <row r="236" ht="14.25" customHeight="1">
      <c r="A236" s="10" t="s">
        <v>30</v>
      </c>
      <c r="B236" s="10" t="s">
        <v>31</v>
      </c>
      <c r="C236" s="10">
        <v>235.0</v>
      </c>
      <c r="D236" s="11" t="s">
        <v>730</v>
      </c>
      <c r="E236" s="11" t="s">
        <v>731</v>
      </c>
      <c r="F236" s="11" t="s">
        <v>206</v>
      </c>
      <c r="G236" s="10">
        <v>235.0</v>
      </c>
      <c r="H236" s="10">
        <f>VLOOKUP(F236,'Generos y Familia'!$A$1:$C$623,2,FALSE)</f>
        <v>9</v>
      </c>
      <c r="I236" s="12" t="str">
        <f t="shared" si="1"/>
        <v>Carissa macrocarpa</v>
      </c>
      <c r="J236" s="10" t="str">
        <f t="shared" si="2"/>
        <v>235 Carissa macrocarpa</v>
      </c>
      <c r="K236" s="10" t="str">
        <f t="shared" si="3"/>
        <v>Espino</v>
      </c>
      <c r="L236" s="10" t="str">
        <f t="shared" si="4"/>
        <v>235 Espino</v>
      </c>
      <c r="M236" s="10" t="s">
        <v>46</v>
      </c>
      <c r="N236" s="10" t="s">
        <v>36</v>
      </c>
      <c r="O236" s="10" t="s">
        <v>47</v>
      </c>
      <c r="P236" s="10" t="s">
        <v>732</v>
      </c>
      <c r="Q236" s="13"/>
      <c r="R236" s="13"/>
      <c r="S236" s="13"/>
      <c r="T236" s="13"/>
      <c r="U236" s="13"/>
      <c r="V236" s="13"/>
      <c r="W236" s="13"/>
      <c r="X236" s="13"/>
    </row>
    <row r="237" ht="14.25" customHeight="1">
      <c r="A237" s="10" t="s">
        <v>30</v>
      </c>
      <c r="B237" s="10" t="s">
        <v>31</v>
      </c>
      <c r="C237" s="10">
        <v>236.0</v>
      </c>
      <c r="D237" s="11" t="s">
        <v>733</v>
      </c>
      <c r="E237" s="11" t="s">
        <v>734</v>
      </c>
      <c r="F237" s="11" t="s">
        <v>735</v>
      </c>
      <c r="G237" s="10">
        <v>236.0</v>
      </c>
      <c r="H237" s="10">
        <f>VLOOKUP(F237,'Generos y Familia'!$A$1:$C$623,2,FALSE)</f>
        <v>48</v>
      </c>
      <c r="I237" s="12" t="str">
        <f t="shared" si="1"/>
        <v>Carludovica palmata</v>
      </c>
      <c r="J237" s="10" t="str">
        <f t="shared" si="2"/>
        <v>236 Carludovica palmata</v>
      </c>
      <c r="K237" s="10" t="str">
        <f t="shared" si="3"/>
        <v>Palma Iraca; Jipijapa</v>
      </c>
      <c r="L237" s="10" t="str">
        <f t="shared" si="4"/>
        <v>236 Palma Iraca; Jipijapa</v>
      </c>
      <c r="M237" s="10" t="s">
        <v>35</v>
      </c>
      <c r="N237" s="10" t="s">
        <v>36</v>
      </c>
      <c r="O237" s="10" t="s">
        <v>117</v>
      </c>
      <c r="P237" s="10" t="s">
        <v>736</v>
      </c>
      <c r="Q237" s="13"/>
      <c r="R237" s="13"/>
      <c r="S237" s="13"/>
      <c r="T237" s="13"/>
      <c r="U237" s="13"/>
      <c r="V237" s="13"/>
      <c r="W237" s="13"/>
      <c r="X237" s="13"/>
    </row>
    <row r="238" ht="14.25" customHeight="1">
      <c r="A238" s="10" t="s">
        <v>30</v>
      </c>
      <c r="B238" s="10" t="s">
        <v>31</v>
      </c>
      <c r="C238" s="10">
        <v>237.0</v>
      </c>
      <c r="D238" s="11" t="s">
        <v>737</v>
      </c>
      <c r="E238" s="11" t="s">
        <v>738</v>
      </c>
      <c r="F238" s="11" t="s">
        <v>203</v>
      </c>
      <c r="G238" s="10">
        <v>237.0</v>
      </c>
      <c r="H238" s="10">
        <f>VLOOKUP(F238,'Generos y Familia'!$A$1:$C$623,2,FALSE)</f>
        <v>32</v>
      </c>
      <c r="I238" s="12" t="str">
        <f t="shared" si="1"/>
        <v>Carya illinoinensis</v>
      </c>
      <c r="J238" s="10" t="str">
        <f t="shared" si="2"/>
        <v>237 Carya illinoinensis</v>
      </c>
      <c r="K238" s="10" t="str">
        <f t="shared" si="3"/>
        <v>Pacano; Pecán; Nuez Pecana</v>
      </c>
      <c r="L238" s="10" t="str">
        <f t="shared" si="4"/>
        <v>237 Pacano; Pecán; Nuez Pecana</v>
      </c>
      <c r="M238" s="10" t="s">
        <v>46</v>
      </c>
      <c r="N238" s="10" t="s">
        <v>28</v>
      </c>
      <c r="O238" s="10" t="s">
        <v>37</v>
      </c>
      <c r="P238" s="10" t="s">
        <v>739</v>
      </c>
      <c r="Q238" s="13"/>
      <c r="R238" s="13"/>
      <c r="S238" s="13"/>
      <c r="T238" s="13"/>
      <c r="U238" s="13"/>
      <c r="V238" s="13"/>
      <c r="W238" s="13"/>
      <c r="X238" s="13"/>
    </row>
    <row r="239" ht="14.25" customHeight="1">
      <c r="A239" s="10" t="s">
        <v>30</v>
      </c>
      <c r="B239" s="10" t="s">
        <v>31</v>
      </c>
      <c r="C239" s="10">
        <v>238.0</v>
      </c>
      <c r="D239" s="11" t="s">
        <v>740</v>
      </c>
      <c r="E239" s="11" t="s">
        <v>741</v>
      </c>
      <c r="F239" s="11" t="s">
        <v>742</v>
      </c>
      <c r="G239" s="10">
        <v>238.0</v>
      </c>
      <c r="H239" s="10">
        <f>VLOOKUP(F239,'Generos y Familia'!$A$1:$C$623,2,FALSE)</f>
        <v>32</v>
      </c>
      <c r="I239" s="12" t="str">
        <f t="shared" si="1"/>
        <v>Caryocar glabrum</v>
      </c>
      <c r="J239" s="10" t="str">
        <f t="shared" si="2"/>
        <v>238 Caryocar glabrum</v>
      </c>
      <c r="K239" s="10" t="str">
        <f t="shared" si="3"/>
        <v>Cagüí; Almendrón</v>
      </c>
      <c r="L239" s="10" t="str">
        <f t="shared" si="4"/>
        <v>238 Cagüí; Almendrón</v>
      </c>
      <c r="M239" s="10" t="s">
        <v>35</v>
      </c>
      <c r="N239" s="10" t="s">
        <v>36</v>
      </c>
      <c r="O239" s="10" t="s">
        <v>37</v>
      </c>
      <c r="P239" s="10" t="s">
        <v>743</v>
      </c>
      <c r="Q239" s="13">
        <v>40.0</v>
      </c>
      <c r="R239" s="13" t="s">
        <v>39</v>
      </c>
      <c r="S239" s="13">
        <v>200.0</v>
      </c>
      <c r="T239" s="13" t="s">
        <v>39</v>
      </c>
      <c r="U239" s="13" t="s">
        <v>73</v>
      </c>
      <c r="V239" s="13">
        <v>0.65</v>
      </c>
      <c r="W239" s="16"/>
      <c r="X239" s="13"/>
    </row>
    <row r="240" ht="14.25" customHeight="1">
      <c r="A240" s="10" t="s">
        <v>30</v>
      </c>
      <c r="B240" s="10" t="s">
        <v>31</v>
      </c>
      <c r="C240" s="10">
        <v>239.0</v>
      </c>
      <c r="D240" s="11" t="s">
        <v>744</v>
      </c>
      <c r="E240" s="11" t="s">
        <v>745</v>
      </c>
      <c r="F240" s="11" t="s">
        <v>158</v>
      </c>
      <c r="G240" s="10">
        <v>239.0</v>
      </c>
      <c r="H240" s="10">
        <f>VLOOKUP(F240,'Generos y Familia'!$A$1:$C$623,2,FALSE)</f>
        <v>35</v>
      </c>
      <c r="I240" s="12" t="str">
        <f t="shared" si="1"/>
        <v>Caryodaphnopsis cogolloi</v>
      </c>
      <c r="J240" s="10" t="str">
        <f t="shared" si="2"/>
        <v>239 Caryodaphnopsis cogolloi</v>
      </c>
      <c r="K240" s="10" t="str">
        <f t="shared" si="3"/>
        <v>Yumbe</v>
      </c>
      <c r="L240" s="10" t="str">
        <f t="shared" si="4"/>
        <v>239 Yumbe</v>
      </c>
      <c r="M240" s="10" t="s">
        <v>35</v>
      </c>
      <c r="N240" s="10" t="s">
        <v>36</v>
      </c>
      <c r="O240" s="10" t="s">
        <v>37</v>
      </c>
      <c r="P240" s="10" t="s">
        <v>746</v>
      </c>
      <c r="Q240" s="13"/>
      <c r="R240" s="13"/>
      <c r="S240" s="13"/>
      <c r="T240" s="13"/>
      <c r="U240" s="13"/>
      <c r="V240" s="13"/>
      <c r="W240" s="16"/>
      <c r="X240" s="13"/>
    </row>
    <row r="241" ht="14.25" customHeight="1">
      <c r="A241" s="10" t="s">
        <v>30</v>
      </c>
      <c r="B241" s="10" t="s">
        <v>31</v>
      </c>
      <c r="C241" s="10">
        <v>240.0</v>
      </c>
      <c r="D241" s="11" t="s">
        <v>747</v>
      </c>
      <c r="E241" s="11" t="s">
        <v>748</v>
      </c>
      <c r="F241" s="11" t="s">
        <v>82</v>
      </c>
      <c r="G241" s="10">
        <v>240.0</v>
      </c>
      <c r="H241" s="10">
        <f>VLOOKUP(F241,'Generos y Familia'!$A$1:$C$623,2,FALSE)</f>
        <v>26</v>
      </c>
      <c r="I241" s="12" t="str">
        <f t="shared" si="1"/>
        <v>Caryodendron orinocense</v>
      </c>
      <c r="J241" s="10" t="str">
        <f t="shared" si="2"/>
        <v>240 Caryodendron orinocense</v>
      </c>
      <c r="K241" s="10" t="str">
        <f t="shared" si="3"/>
        <v>Inchi; Almendro; Tacay</v>
      </c>
      <c r="L241" s="10" t="str">
        <f t="shared" si="4"/>
        <v>240 Inchi; Almendro; Tacay</v>
      </c>
      <c r="M241" s="10" t="s">
        <v>35</v>
      </c>
      <c r="N241" s="10" t="s">
        <v>36</v>
      </c>
      <c r="O241" s="10" t="s">
        <v>37</v>
      </c>
      <c r="P241" s="10" t="s">
        <v>749</v>
      </c>
      <c r="Q241" s="13"/>
      <c r="R241" s="13"/>
      <c r="S241" s="13"/>
      <c r="T241" s="13"/>
      <c r="U241" s="13"/>
      <c r="V241" s="13"/>
      <c r="W241" s="13"/>
      <c r="X241" s="13"/>
    </row>
    <row r="242" ht="14.25" customHeight="1">
      <c r="A242" s="10" t="s">
        <v>30</v>
      </c>
      <c r="B242" s="10" t="s">
        <v>31</v>
      </c>
      <c r="C242" s="10">
        <v>241.0</v>
      </c>
      <c r="D242" s="11" t="s">
        <v>750</v>
      </c>
      <c r="E242" s="11" t="s">
        <v>751</v>
      </c>
      <c r="F242" s="11" t="s">
        <v>116</v>
      </c>
      <c r="G242" s="10">
        <v>241.0</v>
      </c>
      <c r="H242" s="10">
        <f>VLOOKUP(F242,'Generos y Familia'!$A$1:$C$623,2,FALSE)</f>
        <v>14</v>
      </c>
      <c r="I242" s="12" t="str">
        <f t="shared" si="1"/>
        <v>Caryota mitis</v>
      </c>
      <c r="J242" s="10" t="str">
        <f t="shared" si="2"/>
        <v>241 Caryota mitis</v>
      </c>
      <c r="K242" s="10" t="str">
        <f t="shared" si="3"/>
        <v>Palma Mariposa; Cola de Pescado</v>
      </c>
      <c r="L242" s="10" t="str">
        <f t="shared" si="4"/>
        <v>241 Palma Mariposa; Cola de Pescado</v>
      </c>
      <c r="M242" s="10" t="s">
        <v>46</v>
      </c>
      <c r="N242" s="10" t="s">
        <v>36</v>
      </c>
      <c r="O242" s="10" t="s">
        <v>117</v>
      </c>
      <c r="P242" s="10" t="s">
        <v>752</v>
      </c>
      <c r="Q242" s="13">
        <v>10.0</v>
      </c>
      <c r="R242" s="13" t="s">
        <v>39</v>
      </c>
      <c r="S242" s="13">
        <v>15.0</v>
      </c>
      <c r="T242" s="13" t="s">
        <v>39</v>
      </c>
      <c r="U242" s="13" t="s">
        <v>40</v>
      </c>
      <c r="V242" s="13"/>
      <c r="W242" s="13"/>
      <c r="X242" s="13"/>
    </row>
    <row r="243" ht="14.25" customHeight="1">
      <c r="A243" s="10" t="s">
        <v>30</v>
      </c>
      <c r="B243" s="10" t="s">
        <v>31</v>
      </c>
      <c r="C243" s="10">
        <v>242.0</v>
      </c>
      <c r="D243" s="11" t="s">
        <v>753</v>
      </c>
      <c r="E243" s="11" t="s">
        <v>751</v>
      </c>
      <c r="F243" s="11" t="s">
        <v>116</v>
      </c>
      <c r="G243" s="10">
        <v>242.0</v>
      </c>
      <c r="H243" s="10">
        <f>VLOOKUP(F243,'Generos y Familia'!$A$1:$C$623,2,FALSE)</f>
        <v>14</v>
      </c>
      <c r="I243" s="12" t="str">
        <f t="shared" si="1"/>
        <v>Caryota sp</v>
      </c>
      <c r="J243" s="10" t="str">
        <f t="shared" si="2"/>
        <v>242 Caryota sp</v>
      </c>
      <c r="K243" s="10" t="str">
        <f t="shared" si="3"/>
        <v>Palma Mariposa; Cola de Pescado</v>
      </c>
      <c r="L243" s="10" t="str">
        <f t="shared" si="4"/>
        <v>242 Palma Mariposa; Cola de Pescado</v>
      </c>
      <c r="M243" s="10" t="s">
        <v>46</v>
      </c>
      <c r="N243" s="10" t="s">
        <v>36</v>
      </c>
      <c r="O243" s="10" t="s">
        <v>117</v>
      </c>
      <c r="P243" s="10" t="s">
        <v>752</v>
      </c>
      <c r="Q243" s="13"/>
      <c r="R243" s="13"/>
      <c r="S243" s="13"/>
      <c r="T243" s="13"/>
      <c r="U243" s="13"/>
      <c r="V243" s="13"/>
      <c r="W243" s="16"/>
      <c r="X243" s="13"/>
    </row>
    <row r="244" ht="14.25" customHeight="1">
      <c r="A244" s="10" t="s">
        <v>754</v>
      </c>
      <c r="B244" s="10" t="s">
        <v>31</v>
      </c>
      <c r="C244" s="10">
        <v>243.0</v>
      </c>
      <c r="D244" s="11" t="s">
        <v>755</v>
      </c>
      <c r="E244" s="11" t="s">
        <v>756</v>
      </c>
      <c r="F244" s="11" t="s">
        <v>116</v>
      </c>
      <c r="G244" s="10">
        <v>243.0</v>
      </c>
      <c r="H244" s="10">
        <f>VLOOKUP(F244,'Generos y Familia'!$A$1:$C$623,2,FALSE)</f>
        <v>14</v>
      </c>
      <c r="I244" s="12" t="str">
        <f t="shared" si="1"/>
        <v>Caryota urens</v>
      </c>
      <c r="J244" s="10" t="str">
        <f t="shared" si="2"/>
        <v>243 Caryota urens</v>
      </c>
      <c r="K244" s="10" t="str">
        <f t="shared" si="3"/>
        <v>Palma Mariposa; Cola de Pescado (Urens)</v>
      </c>
      <c r="L244" s="10" t="str">
        <f t="shared" si="4"/>
        <v>243 Palma Mariposa; Cola de Pescado (Urens)</v>
      </c>
      <c r="M244" s="10" t="s">
        <v>46</v>
      </c>
      <c r="N244" s="10" t="s">
        <v>36</v>
      </c>
      <c r="O244" s="10" t="s">
        <v>117</v>
      </c>
      <c r="P244" s="10" t="s">
        <v>752</v>
      </c>
      <c r="Q244" s="17" t="s">
        <v>379</v>
      </c>
      <c r="R244" s="14" t="s">
        <v>39</v>
      </c>
      <c r="S244" s="17" t="s">
        <v>290</v>
      </c>
      <c r="T244" s="14" t="s">
        <v>39</v>
      </c>
      <c r="U244" s="14" t="s">
        <v>55</v>
      </c>
      <c r="V244" s="14"/>
      <c r="W244" s="17"/>
      <c r="X244" s="14"/>
    </row>
    <row r="245" ht="14.25" customHeight="1">
      <c r="A245" s="10" t="s">
        <v>754</v>
      </c>
      <c r="B245" s="10" t="s">
        <v>31</v>
      </c>
      <c r="C245" s="10">
        <v>244.0</v>
      </c>
      <c r="D245" s="11" t="s">
        <v>757</v>
      </c>
      <c r="E245" s="11" t="s">
        <v>758</v>
      </c>
      <c r="F245" s="11" t="s">
        <v>206</v>
      </c>
      <c r="G245" s="10">
        <v>244.0</v>
      </c>
      <c r="H245" s="10">
        <f>VLOOKUP(F245,'Generos y Familia'!$A$1:$C$623,2,FALSE)</f>
        <v>9</v>
      </c>
      <c r="I245" s="12" t="str">
        <f t="shared" si="1"/>
        <v>Cascabela gaumeri (Hemsl)</v>
      </c>
      <c r="J245" s="10" t="str">
        <f t="shared" si="2"/>
        <v>244 Cascabela gaumeri (Hemsl)</v>
      </c>
      <c r="K245" s="10" t="str">
        <f t="shared" si="3"/>
        <v>Campanilla</v>
      </c>
      <c r="L245" s="10" t="str">
        <f t="shared" si="4"/>
        <v>244 Campanilla</v>
      </c>
      <c r="M245" s="10" t="s">
        <v>46</v>
      </c>
      <c r="N245" s="10" t="s">
        <v>28</v>
      </c>
      <c r="O245" s="10" t="s">
        <v>37</v>
      </c>
      <c r="P245" s="10" t="s">
        <v>759</v>
      </c>
      <c r="Q245" s="13"/>
      <c r="R245" s="13"/>
      <c r="S245" s="13"/>
      <c r="T245" s="13"/>
      <c r="U245" s="13"/>
      <c r="V245" s="13"/>
      <c r="W245" s="13"/>
      <c r="X245" s="13"/>
    </row>
    <row r="246" ht="14.25" customHeight="1">
      <c r="A246" s="10" t="s">
        <v>754</v>
      </c>
      <c r="B246" s="10" t="s">
        <v>31</v>
      </c>
      <c r="C246" s="10">
        <v>245.0</v>
      </c>
      <c r="D246" s="11" t="s">
        <v>760</v>
      </c>
      <c r="E246" s="11" t="s">
        <v>761</v>
      </c>
      <c r="F246" s="11" t="s">
        <v>762</v>
      </c>
      <c r="G246" s="10">
        <v>245.0</v>
      </c>
      <c r="H246" s="10">
        <f>VLOOKUP(F246,'Generos y Familia'!$A$1:$C$623,2,FALSE)</f>
        <v>82</v>
      </c>
      <c r="I246" s="12" t="str">
        <f t="shared" si="1"/>
        <v>Casearia aculeata</v>
      </c>
      <c r="J246" s="10" t="str">
        <f t="shared" si="2"/>
        <v>245 Casearia aculeata</v>
      </c>
      <c r="K246" s="10" t="str">
        <f t="shared" si="3"/>
        <v>Guapanto; Capulín Corona</v>
      </c>
      <c r="L246" s="10" t="str">
        <f t="shared" si="4"/>
        <v>245 Guapanto; Capulín Corona</v>
      </c>
      <c r="M246" s="10" t="s">
        <v>46</v>
      </c>
      <c r="N246" s="10" t="s">
        <v>36</v>
      </c>
      <c r="O246" s="10" t="s">
        <v>37</v>
      </c>
      <c r="P246" s="10" t="s">
        <v>763</v>
      </c>
      <c r="Q246" s="13"/>
      <c r="R246" s="13"/>
      <c r="S246" s="13"/>
      <c r="T246" s="13"/>
      <c r="U246" s="13"/>
      <c r="V246" s="13"/>
      <c r="W246" s="16"/>
      <c r="X246" s="13"/>
    </row>
    <row r="247" ht="14.25" customHeight="1">
      <c r="A247" s="10" t="s">
        <v>754</v>
      </c>
      <c r="B247" s="10" t="s">
        <v>31</v>
      </c>
      <c r="C247" s="10">
        <v>246.0</v>
      </c>
      <c r="D247" s="11" t="s">
        <v>764</v>
      </c>
      <c r="E247" s="11" t="s">
        <v>765</v>
      </c>
      <c r="F247" s="11" t="s">
        <v>762</v>
      </c>
      <c r="G247" s="10">
        <v>246.0</v>
      </c>
      <c r="H247" s="10">
        <f>VLOOKUP(F247,'Generos y Familia'!$A$1:$C$623,2,FALSE)</f>
        <v>82</v>
      </c>
      <c r="I247" s="12" t="str">
        <f t="shared" si="1"/>
        <v>Casearia corymbosa</v>
      </c>
      <c r="J247" s="10" t="str">
        <f t="shared" si="2"/>
        <v>246 Casearia corymbosa</v>
      </c>
      <c r="K247" s="10" t="str">
        <f t="shared" si="3"/>
        <v>Varablanca; Ondequera</v>
      </c>
      <c r="L247" s="10" t="str">
        <f t="shared" si="4"/>
        <v>246 Varablanca; Ondequera</v>
      </c>
      <c r="M247" s="10" t="s">
        <v>35</v>
      </c>
      <c r="N247" s="10" t="s">
        <v>36</v>
      </c>
      <c r="O247" s="10" t="s">
        <v>37</v>
      </c>
      <c r="P247" s="10" t="s">
        <v>763</v>
      </c>
      <c r="Q247" s="13">
        <v>12.0</v>
      </c>
      <c r="R247" s="13" t="s">
        <v>39</v>
      </c>
      <c r="S247" s="13">
        <v>30.0</v>
      </c>
      <c r="T247" s="13" t="s">
        <v>39</v>
      </c>
      <c r="U247" s="13" t="s">
        <v>55</v>
      </c>
      <c r="V247" s="13"/>
      <c r="W247" s="16"/>
      <c r="X247" s="13"/>
    </row>
    <row r="248" ht="14.25" customHeight="1">
      <c r="A248" s="10" t="s">
        <v>754</v>
      </c>
      <c r="B248" s="10" t="s">
        <v>31</v>
      </c>
      <c r="C248" s="10">
        <v>247.0</v>
      </c>
      <c r="D248" s="11" t="s">
        <v>766</v>
      </c>
      <c r="E248" s="11" t="s">
        <v>766</v>
      </c>
      <c r="F248" s="11" t="s">
        <v>762</v>
      </c>
      <c r="G248" s="10">
        <v>247.0</v>
      </c>
      <c r="H248" s="10">
        <f>VLOOKUP(F248,'Generos y Familia'!$A$1:$C$623,2,FALSE)</f>
        <v>82</v>
      </c>
      <c r="I248" s="12" t="str">
        <f t="shared" si="1"/>
        <v>Casearia sp</v>
      </c>
      <c r="J248" s="10" t="str">
        <f t="shared" si="2"/>
        <v>247 Casearia sp</v>
      </c>
      <c r="K248" s="10" t="str">
        <f t="shared" si="3"/>
        <v>Casearia sp</v>
      </c>
      <c r="L248" s="10" t="str">
        <f t="shared" si="4"/>
        <v>247 Casearia sp</v>
      </c>
      <c r="M248" s="10" t="s">
        <v>46</v>
      </c>
      <c r="N248" s="10" t="s">
        <v>36</v>
      </c>
      <c r="O248" s="10" t="s">
        <v>37</v>
      </c>
      <c r="P248" s="10" t="s">
        <v>763</v>
      </c>
      <c r="Q248" s="13"/>
      <c r="R248" s="13"/>
      <c r="S248" s="13"/>
      <c r="T248" s="13"/>
      <c r="U248" s="13"/>
      <c r="V248" s="13"/>
      <c r="W248" s="13"/>
      <c r="X248" s="13"/>
    </row>
    <row r="249" ht="14.25" customHeight="1">
      <c r="A249" s="10" t="s">
        <v>754</v>
      </c>
      <c r="B249" s="10" t="s">
        <v>31</v>
      </c>
      <c r="C249" s="10">
        <v>248.0</v>
      </c>
      <c r="D249" s="11" t="s">
        <v>767</v>
      </c>
      <c r="E249" s="11" t="s">
        <v>768</v>
      </c>
      <c r="F249" s="11" t="s">
        <v>769</v>
      </c>
      <c r="G249" s="10">
        <v>248.0</v>
      </c>
      <c r="H249" s="10">
        <f>VLOOKUP(F249,'Generos y Familia'!$A$1:$C$623,2,FALSE)</f>
        <v>80</v>
      </c>
      <c r="I249" s="12" t="str">
        <f t="shared" si="1"/>
        <v>Casimiroa edulis</v>
      </c>
      <c r="J249" s="10" t="str">
        <f t="shared" si="2"/>
        <v>248 Casimiroa edulis</v>
      </c>
      <c r="K249" s="10" t="str">
        <f t="shared" si="3"/>
        <v>Zapote Blanco; Mango Matasano</v>
      </c>
      <c r="L249" s="10" t="str">
        <f t="shared" si="4"/>
        <v>248 Zapote Blanco; Mango Matasano</v>
      </c>
      <c r="M249" s="10" t="s">
        <v>46</v>
      </c>
      <c r="N249" s="10" t="s">
        <v>36</v>
      </c>
      <c r="O249" s="10" t="s">
        <v>37</v>
      </c>
      <c r="P249" s="10" t="s">
        <v>770</v>
      </c>
      <c r="Q249" s="17" t="s">
        <v>145</v>
      </c>
      <c r="R249" s="14" t="s">
        <v>39</v>
      </c>
      <c r="S249" s="17" t="s">
        <v>62</v>
      </c>
      <c r="T249" s="14" t="s">
        <v>39</v>
      </c>
      <c r="U249" s="14" t="s">
        <v>40</v>
      </c>
      <c r="V249" s="14"/>
      <c r="W249" s="18"/>
      <c r="X249" s="14"/>
    </row>
    <row r="250" ht="14.25" customHeight="1">
      <c r="A250" s="10" t="s">
        <v>754</v>
      </c>
      <c r="B250" s="10" t="s">
        <v>31</v>
      </c>
      <c r="C250" s="10">
        <v>249.0</v>
      </c>
      <c r="D250" s="11" t="s">
        <v>771</v>
      </c>
      <c r="E250" s="11" t="s">
        <v>772</v>
      </c>
      <c r="F250" s="11" t="s">
        <v>769</v>
      </c>
      <c r="G250" s="10">
        <v>249.0</v>
      </c>
      <c r="H250" s="10">
        <f>VLOOKUP(F250,'Generos y Familia'!$A$1:$C$623,2,FALSE)</f>
        <v>80</v>
      </c>
      <c r="I250" s="12" t="str">
        <f t="shared" si="1"/>
        <v>Casimiroa sapota Oerst</v>
      </c>
      <c r="J250" s="10" t="str">
        <f t="shared" si="2"/>
        <v>249 Casimiroa sapota Oerst</v>
      </c>
      <c r="K250" s="10" t="str">
        <f t="shared" si="3"/>
        <v>Zapote Blanco; Matasano</v>
      </c>
      <c r="L250" s="10" t="str">
        <f t="shared" si="4"/>
        <v>249 Zapote Blanco; Matasano</v>
      </c>
      <c r="M250" s="10" t="s">
        <v>46</v>
      </c>
      <c r="N250" s="10" t="s">
        <v>28</v>
      </c>
      <c r="O250" s="10" t="s">
        <v>37</v>
      </c>
      <c r="P250" s="10" t="s">
        <v>770</v>
      </c>
      <c r="Q250" s="17" t="s">
        <v>379</v>
      </c>
      <c r="R250" s="14"/>
      <c r="S250" s="17" t="s">
        <v>290</v>
      </c>
      <c r="T250" s="14"/>
      <c r="U250" s="14" t="s">
        <v>40</v>
      </c>
      <c r="V250" s="14"/>
      <c r="W250" s="18"/>
      <c r="X250" s="14"/>
    </row>
    <row r="251" ht="14.25" customHeight="1">
      <c r="A251" s="10" t="s">
        <v>754</v>
      </c>
      <c r="B251" s="10" t="s">
        <v>31</v>
      </c>
      <c r="C251" s="10">
        <v>250.0</v>
      </c>
      <c r="D251" s="11" t="s">
        <v>773</v>
      </c>
      <c r="E251" s="11" t="s">
        <v>774</v>
      </c>
      <c r="F251" s="11" t="s">
        <v>34</v>
      </c>
      <c r="G251" s="10">
        <v>250.0</v>
      </c>
      <c r="H251" s="10">
        <f>VLOOKUP(F251,'Generos y Familia'!$A$1:$C$623,2,FALSE)</f>
        <v>27</v>
      </c>
      <c r="I251" s="12" t="str">
        <f t="shared" si="1"/>
        <v>Cassia fistula</v>
      </c>
      <c r="J251" s="10" t="str">
        <f t="shared" si="2"/>
        <v>250 Cassia fistula</v>
      </c>
      <c r="K251" s="10" t="str">
        <f t="shared" si="3"/>
        <v>Lluvia de Oro</v>
      </c>
      <c r="L251" s="10" t="str">
        <f t="shared" si="4"/>
        <v>250 Lluvia de Oro</v>
      </c>
      <c r="M251" s="10" t="s">
        <v>46</v>
      </c>
      <c r="N251" s="10" t="s">
        <v>36</v>
      </c>
      <c r="O251" s="10" t="s">
        <v>37</v>
      </c>
      <c r="P251" s="10" t="s">
        <v>775</v>
      </c>
      <c r="Q251" s="17" t="s">
        <v>145</v>
      </c>
      <c r="R251" s="14" t="s">
        <v>39</v>
      </c>
      <c r="S251" s="17" t="s">
        <v>106</v>
      </c>
      <c r="T251" s="14" t="s">
        <v>39</v>
      </c>
      <c r="U251" s="14" t="s">
        <v>40</v>
      </c>
      <c r="V251" s="14">
        <v>0.8</v>
      </c>
      <c r="W251" s="17"/>
      <c r="X251" s="14"/>
    </row>
    <row r="252" ht="14.25" customHeight="1">
      <c r="A252" s="10" t="s">
        <v>754</v>
      </c>
      <c r="B252" s="10" t="s">
        <v>31</v>
      </c>
      <c r="C252" s="10">
        <v>251.0</v>
      </c>
      <c r="D252" s="11" t="s">
        <v>776</v>
      </c>
      <c r="E252" s="11" t="s">
        <v>777</v>
      </c>
      <c r="F252" s="11" t="s">
        <v>34</v>
      </c>
      <c r="G252" s="10">
        <v>251.0</v>
      </c>
      <c r="H252" s="10">
        <f>VLOOKUP(F252,'Generos y Familia'!$A$1:$C$623,2,FALSE)</f>
        <v>27</v>
      </c>
      <c r="I252" s="12" t="str">
        <f t="shared" si="1"/>
        <v>Cassia grandis</v>
      </c>
      <c r="J252" s="10" t="str">
        <f t="shared" si="2"/>
        <v>251 Cassia grandis</v>
      </c>
      <c r="K252" s="10" t="str">
        <f t="shared" si="3"/>
        <v>Cañafístula; Cañandonga</v>
      </c>
      <c r="L252" s="10" t="str">
        <f t="shared" si="4"/>
        <v>251 Cañafístula; Cañandonga</v>
      </c>
      <c r="M252" s="10" t="s">
        <v>35</v>
      </c>
      <c r="N252" s="10" t="s">
        <v>36</v>
      </c>
      <c r="O252" s="10" t="s">
        <v>37</v>
      </c>
      <c r="P252" s="10" t="s">
        <v>775</v>
      </c>
      <c r="Q252" s="13">
        <v>20.0</v>
      </c>
      <c r="R252" s="13" t="s">
        <v>39</v>
      </c>
      <c r="S252" s="13">
        <v>70.0</v>
      </c>
      <c r="T252" s="13" t="s">
        <v>39</v>
      </c>
      <c r="U252" s="13" t="s">
        <v>55</v>
      </c>
      <c r="V252" s="13"/>
      <c r="W252" s="16"/>
      <c r="X252" s="13"/>
    </row>
    <row r="253" ht="14.25" customHeight="1">
      <c r="A253" s="10" t="s">
        <v>754</v>
      </c>
      <c r="B253" s="10" t="s">
        <v>63</v>
      </c>
      <c r="C253" s="10">
        <v>252.0</v>
      </c>
      <c r="D253" s="11" t="s">
        <v>778</v>
      </c>
      <c r="E253" s="11" t="s">
        <v>779</v>
      </c>
      <c r="F253" s="11" t="s">
        <v>34</v>
      </c>
      <c r="G253" s="10">
        <v>252.0</v>
      </c>
      <c r="H253" s="10">
        <f>VLOOKUP(F253,'Generos y Familia'!$A$1:$C$623,2,FALSE)</f>
        <v>27</v>
      </c>
      <c r="I253" s="12" t="str">
        <f t="shared" si="1"/>
        <v>Cassia javanica</v>
      </c>
      <c r="J253" s="10" t="str">
        <f t="shared" si="2"/>
        <v>252 Cassia javanica</v>
      </c>
      <c r="K253" s="10" t="str">
        <f t="shared" si="3"/>
        <v>Acacia Rosada; Acacia Brasilera</v>
      </c>
      <c r="L253" s="10" t="str">
        <f t="shared" si="4"/>
        <v>252 Acacia Rosada; Acacia Brasilera</v>
      </c>
      <c r="M253" s="10" t="s">
        <v>46</v>
      </c>
      <c r="N253" s="10" t="s">
        <v>36</v>
      </c>
      <c r="O253" s="10" t="s">
        <v>37</v>
      </c>
      <c r="P253" s="10" t="s">
        <v>775</v>
      </c>
      <c r="Q253" s="13">
        <v>12.0</v>
      </c>
      <c r="R253" s="13" t="s">
        <v>39</v>
      </c>
      <c r="S253" s="13">
        <v>40.0</v>
      </c>
      <c r="T253" s="13" t="s">
        <v>39</v>
      </c>
      <c r="U253" s="13" t="s">
        <v>40</v>
      </c>
      <c r="V253" s="13">
        <v>0.62</v>
      </c>
      <c r="W253" s="13"/>
      <c r="X253" s="13"/>
    </row>
    <row r="254" ht="14.25" customHeight="1">
      <c r="A254" s="10" t="s">
        <v>754</v>
      </c>
      <c r="B254" s="10" t="s">
        <v>31</v>
      </c>
      <c r="C254" s="10">
        <v>253.0</v>
      </c>
      <c r="D254" s="11" t="s">
        <v>780</v>
      </c>
      <c r="E254" s="11" t="s">
        <v>781</v>
      </c>
      <c r="F254" s="11" t="s">
        <v>34</v>
      </c>
      <c r="G254" s="10">
        <v>253.0</v>
      </c>
      <c r="H254" s="10">
        <f>VLOOKUP(F254,'Generos y Familia'!$A$1:$C$623,2,FALSE)</f>
        <v>27</v>
      </c>
      <c r="I254" s="12" t="str">
        <f t="shared" si="1"/>
        <v>Senna spectabilis</v>
      </c>
      <c r="J254" s="10" t="str">
        <f t="shared" si="2"/>
        <v>253 Senna spectabilis</v>
      </c>
      <c r="K254" s="10" t="str">
        <f t="shared" si="3"/>
        <v>Velero</v>
      </c>
      <c r="L254" s="10" t="str">
        <f t="shared" si="4"/>
        <v>253 Velero</v>
      </c>
      <c r="M254" s="10" t="s">
        <v>35</v>
      </c>
      <c r="N254" s="10" t="s">
        <v>36</v>
      </c>
      <c r="O254" s="10" t="s">
        <v>37</v>
      </c>
      <c r="P254" s="10" t="s">
        <v>782</v>
      </c>
      <c r="Q254" s="17" t="s">
        <v>338</v>
      </c>
      <c r="R254" s="14" t="s">
        <v>39</v>
      </c>
      <c r="S254" s="17" t="s">
        <v>442</v>
      </c>
      <c r="T254" s="14" t="s">
        <v>39</v>
      </c>
      <c r="U254" s="14" t="s">
        <v>55</v>
      </c>
      <c r="V254" s="14">
        <v>0.48</v>
      </c>
      <c r="W254" s="17"/>
      <c r="X254" s="14"/>
    </row>
    <row r="255" ht="14.25" customHeight="1">
      <c r="A255" s="10" t="s">
        <v>754</v>
      </c>
      <c r="B255" s="10" t="s">
        <v>31</v>
      </c>
      <c r="C255" s="10">
        <v>254.0</v>
      </c>
      <c r="D255" s="11" t="s">
        <v>783</v>
      </c>
      <c r="E255" s="11" t="s">
        <v>784</v>
      </c>
      <c r="F255" s="11" t="s">
        <v>365</v>
      </c>
      <c r="G255" s="10">
        <v>254.0</v>
      </c>
      <c r="H255" s="10">
        <f>VLOOKUP(F255,'Generos y Familia'!$A$1:$C$623,2,FALSE)</f>
        <v>43</v>
      </c>
      <c r="I255" s="12" t="str">
        <f t="shared" si="1"/>
        <v>Castilla elastica</v>
      </c>
      <c r="J255" s="10" t="str">
        <f t="shared" si="2"/>
        <v>254 Castilla elastica</v>
      </c>
      <c r="K255" s="10" t="str">
        <f t="shared" si="3"/>
        <v>Caucho; Hule</v>
      </c>
      <c r="L255" s="10" t="str">
        <f t="shared" si="4"/>
        <v>254 Caucho; Hule</v>
      </c>
      <c r="M255" s="10" t="s">
        <v>46</v>
      </c>
      <c r="N255" s="10" t="s">
        <v>36</v>
      </c>
      <c r="O255" s="10" t="s">
        <v>37</v>
      </c>
      <c r="P255" s="10" t="s">
        <v>785</v>
      </c>
      <c r="Q255" s="13"/>
      <c r="R255" s="13"/>
      <c r="S255" s="13"/>
      <c r="T255" s="13"/>
      <c r="U255" s="13"/>
      <c r="V255" s="13"/>
      <c r="W255" s="13"/>
      <c r="X255" s="13"/>
    </row>
    <row r="256" ht="14.25" customHeight="1">
      <c r="A256" s="10" t="s">
        <v>754</v>
      </c>
      <c r="B256" s="10" t="s">
        <v>31</v>
      </c>
      <c r="C256" s="10">
        <v>255.0</v>
      </c>
      <c r="D256" s="11" t="s">
        <v>786</v>
      </c>
      <c r="E256" s="11" t="s">
        <v>787</v>
      </c>
      <c r="F256" s="11" t="s">
        <v>788</v>
      </c>
      <c r="G256" s="10">
        <v>255.0</v>
      </c>
      <c r="H256" s="10">
        <f>VLOOKUP(F256,'Generos y Familia'!$A$1:$C$623,2,FALSE)</f>
        <v>33</v>
      </c>
      <c r="I256" s="12" t="str">
        <f t="shared" si="1"/>
        <v>Casuarina equisetifolia</v>
      </c>
      <c r="J256" s="10" t="str">
        <f t="shared" si="2"/>
        <v>255 Casuarina equisetifolia</v>
      </c>
      <c r="K256" s="10" t="str">
        <f t="shared" si="3"/>
        <v>Casuariana; Pino Australiano; Pino de París; Agoho de Filipinas</v>
      </c>
      <c r="L256" s="10" t="str">
        <f t="shared" si="4"/>
        <v>255 Casuariana; Pino Australiano; Pino de París; Agoho de Filipinas</v>
      </c>
      <c r="M256" s="10" t="s">
        <v>46</v>
      </c>
      <c r="N256" s="10" t="s">
        <v>36</v>
      </c>
      <c r="O256" s="10" t="s">
        <v>37</v>
      </c>
      <c r="P256" s="10" t="s">
        <v>789</v>
      </c>
      <c r="Q256" s="17" t="s">
        <v>54</v>
      </c>
      <c r="R256" s="14" t="s">
        <v>105</v>
      </c>
      <c r="S256" s="17" t="s">
        <v>457</v>
      </c>
      <c r="T256" s="14"/>
      <c r="U256" s="14" t="s">
        <v>40</v>
      </c>
      <c r="V256" s="14"/>
      <c r="W256" s="17" t="s">
        <v>790</v>
      </c>
      <c r="X256" s="14" t="s">
        <v>41</v>
      </c>
    </row>
    <row r="257" ht="14.25" customHeight="1">
      <c r="A257" s="10" t="s">
        <v>754</v>
      </c>
      <c r="B257" s="10" t="s">
        <v>63</v>
      </c>
      <c r="C257" s="10">
        <v>256.0</v>
      </c>
      <c r="D257" s="11" t="s">
        <v>791</v>
      </c>
      <c r="E257" s="11" t="s">
        <v>792</v>
      </c>
      <c r="F257" s="11" t="s">
        <v>248</v>
      </c>
      <c r="G257" s="10">
        <v>256.0</v>
      </c>
      <c r="H257" s="10">
        <f>VLOOKUP(F257,'Generos y Familia'!$A$1:$C$623,2,FALSE)</f>
        <v>20</v>
      </c>
      <c r="I257" s="12" t="str">
        <f t="shared" si="1"/>
        <v>Catalpa longissima</v>
      </c>
      <c r="J257" s="10" t="str">
        <f t="shared" si="2"/>
        <v>256 Catalpa longissima</v>
      </c>
      <c r="K257" s="10" t="str">
        <f t="shared" si="3"/>
        <v>Crispeta; Catalpa</v>
      </c>
      <c r="L257" s="10" t="str">
        <f t="shared" si="4"/>
        <v>256 Crispeta; Catalpa</v>
      </c>
      <c r="M257" s="10" t="s">
        <v>46</v>
      </c>
      <c r="N257" s="10" t="s">
        <v>36</v>
      </c>
      <c r="O257" s="10" t="s">
        <v>37</v>
      </c>
      <c r="P257" s="10" t="s">
        <v>793</v>
      </c>
      <c r="Q257" s="17" t="s">
        <v>794</v>
      </c>
      <c r="R257" s="14" t="s">
        <v>53</v>
      </c>
      <c r="S257" s="17" t="s">
        <v>70</v>
      </c>
      <c r="T257" s="14"/>
      <c r="U257" s="14" t="s">
        <v>40</v>
      </c>
      <c r="V257" s="14"/>
      <c r="W257" s="17"/>
      <c r="X257" s="14" t="s">
        <v>41</v>
      </c>
    </row>
    <row r="258" ht="14.25" customHeight="1">
      <c r="A258" s="10" t="s">
        <v>754</v>
      </c>
      <c r="B258" s="10" t="s">
        <v>31</v>
      </c>
      <c r="C258" s="10">
        <v>257.0</v>
      </c>
      <c r="D258" s="11" t="s">
        <v>795</v>
      </c>
      <c r="E258" s="11" t="s">
        <v>796</v>
      </c>
      <c r="F258" s="11" t="s">
        <v>45</v>
      </c>
      <c r="G258" s="10">
        <v>257.0</v>
      </c>
      <c r="H258" s="10">
        <f>VLOOKUP(F258,'Generos y Familia'!$A$1:$C$623,2,FALSE)</f>
        <v>40</v>
      </c>
      <c r="I258" s="12" t="str">
        <f t="shared" si="1"/>
        <v>Cavanillesia chicamochae</v>
      </c>
      <c r="J258" s="10" t="str">
        <f t="shared" si="2"/>
        <v>257 Cavanillesia chicamochae</v>
      </c>
      <c r="K258" s="10" t="str">
        <f t="shared" si="3"/>
        <v>Baobab; Barrigón</v>
      </c>
      <c r="L258" s="10" t="str">
        <f t="shared" si="4"/>
        <v>257 Baobab; Barrigón</v>
      </c>
      <c r="M258" s="10" t="s">
        <v>797</v>
      </c>
      <c r="N258" s="10" t="s">
        <v>36</v>
      </c>
      <c r="O258" s="10" t="s">
        <v>37</v>
      </c>
      <c r="P258" s="10" t="s">
        <v>798</v>
      </c>
      <c r="Q258" s="13"/>
      <c r="R258" s="13"/>
      <c r="S258" s="13"/>
      <c r="T258" s="13"/>
      <c r="U258" s="13"/>
      <c r="V258" s="13"/>
      <c r="W258" s="13"/>
      <c r="X258" s="13"/>
    </row>
    <row r="259" ht="14.25" customHeight="1">
      <c r="A259" s="10" t="s">
        <v>754</v>
      </c>
      <c r="B259" s="10" t="s">
        <v>31</v>
      </c>
      <c r="C259" s="10">
        <v>258.0</v>
      </c>
      <c r="D259" s="11" t="s">
        <v>799</v>
      </c>
      <c r="E259" s="11" t="s">
        <v>800</v>
      </c>
      <c r="F259" s="11" t="s">
        <v>45</v>
      </c>
      <c r="G259" s="10">
        <v>258.0</v>
      </c>
      <c r="H259" s="10">
        <f>VLOOKUP(F259,'Generos y Familia'!$A$1:$C$623,2,FALSE)</f>
        <v>40</v>
      </c>
      <c r="I259" s="12" t="str">
        <f t="shared" si="1"/>
        <v>Cavanillesia platanifolia</v>
      </c>
      <c r="J259" s="10" t="str">
        <f t="shared" si="2"/>
        <v>258 Cavanillesia platanifolia</v>
      </c>
      <c r="K259" s="10" t="str">
        <f t="shared" si="3"/>
        <v>Volao; Cuipo; Bonga; Güipo</v>
      </c>
      <c r="L259" s="10" t="str">
        <f t="shared" si="4"/>
        <v>258 Volao; Cuipo; Bonga; Güipo</v>
      </c>
      <c r="M259" s="10" t="s">
        <v>35</v>
      </c>
      <c r="N259" s="10" t="s">
        <v>36</v>
      </c>
      <c r="O259" s="10" t="s">
        <v>37</v>
      </c>
      <c r="P259" s="10" t="s">
        <v>798</v>
      </c>
      <c r="Q259" s="13">
        <v>60.0</v>
      </c>
      <c r="R259" s="13" t="s">
        <v>39</v>
      </c>
      <c r="S259" s="13">
        <v>400.0</v>
      </c>
      <c r="T259" s="13" t="s">
        <v>39</v>
      </c>
      <c r="U259" s="13" t="s">
        <v>40</v>
      </c>
      <c r="V259" s="13">
        <v>0.1</v>
      </c>
      <c r="W259" s="13"/>
      <c r="X259" s="13"/>
    </row>
    <row r="260" ht="14.25" customHeight="1">
      <c r="A260" s="10" t="s">
        <v>754</v>
      </c>
      <c r="B260" s="10" t="s">
        <v>31</v>
      </c>
      <c r="C260" s="10">
        <v>259.0</v>
      </c>
      <c r="D260" s="11" t="s">
        <v>801</v>
      </c>
      <c r="E260" s="11" t="s">
        <v>802</v>
      </c>
      <c r="F260" s="11" t="s">
        <v>803</v>
      </c>
      <c r="G260" s="10">
        <v>259.0</v>
      </c>
      <c r="H260" s="10">
        <f>VLOOKUP(F260,'Generos y Familia'!$A$1:$C$623,2,FALSE)</f>
        <v>23</v>
      </c>
      <c r="I260" s="12" t="str">
        <f t="shared" si="1"/>
        <v>Cavendishia bracteata</v>
      </c>
      <c r="J260" s="10" t="str">
        <f t="shared" si="2"/>
        <v>259 Cavendishia bracteata</v>
      </c>
      <c r="K260" s="10" t="str">
        <f t="shared" si="3"/>
        <v>Uvitos; Uva de Anís; Zarcillo; Colmillo</v>
      </c>
      <c r="L260" s="10" t="str">
        <f t="shared" si="4"/>
        <v>259 Uvitos; Uva de Anís; Zarcillo; Colmillo</v>
      </c>
      <c r="M260" s="10" t="s">
        <v>35</v>
      </c>
      <c r="N260" s="10" t="s">
        <v>36</v>
      </c>
      <c r="O260" s="10" t="s">
        <v>47</v>
      </c>
      <c r="P260" s="10" t="s">
        <v>804</v>
      </c>
      <c r="Q260" s="17" t="s">
        <v>559</v>
      </c>
      <c r="R260" s="14" t="s">
        <v>39</v>
      </c>
      <c r="S260" s="17" t="s">
        <v>229</v>
      </c>
      <c r="T260" s="14" t="s">
        <v>39</v>
      </c>
      <c r="U260" s="14" t="s">
        <v>40</v>
      </c>
      <c r="V260" s="14"/>
      <c r="W260" s="18"/>
      <c r="X260" s="14"/>
    </row>
    <row r="261" ht="14.25" customHeight="1">
      <c r="A261" s="10" t="s">
        <v>754</v>
      </c>
      <c r="B261" s="10" t="s">
        <v>31</v>
      </c>
      <c r="C261" s="10">
        <v>260.0</v>
      </c>
      <c r="D261" s="11" t="s">
        <v>805</v>
      </c>
      <c r="E261" s="11" t="s">
        <v>806</v>
      </c>
      <c r="F261" s="11" t="s">
        <v>803</v>
      </c>
      <c r="G261" s="10">
        <v>260.0</v>
      </c>
      <c r="H261" s="10">
        <f>VLOOKUP(F261,'Generos y Familia'!$A$1:$C$623,2,FALSE)</f>
        <v>23</v>
      </c>
      <c r="I261" s="12" t="str">
        <f t="shared" si="1"/>
        <v>Cavendishia pubescens</v>
      </c>
      <c r="J261" s="10" t="str">
        <f t="shared" si="2"/>
        <v>260 Cavendishia pubescens</v>
      </c>
      <c r="K261" s="10" t="str">
        <f t="shared" si="3"/>
        <v>Uvito; Uvito de Monte</v>
      </c>
      <c r="L261" s="10" t="str">
        <f t="shared" si="4"/>
        <v>260 Uvito; Uvito de Monte</v>
      </c>
      <c r="M261" s="10" t="s">
        <v>35</v>
      </c>
      <c r="N261" s="10" t="s">
        <v>36</v>
      </c>
      <c r="O261" s="10" t="s">
        <v>47</v>
      </c>
      <c r="P261" s="10" t="s">
        <v>804</v>
      </c>
      <c r="Q261" s="17" t="s">
        <v>559</v>
      </c>
      <c r="R261" s="14" t="s">
        <v>39</v>
      </c>
      <c r="S261" s="17" t="s">
        <v>229</v>
      </c>
      <c r="T261" s="14" t="s">
        <v>39</v>
      </c>
      <c r="U261" s="14" t="s">
        <v>40</v>
      </c>
      <c r="V261" s="14"/>
      <c r="W261" s="17"/>
      <c r="X261" s="14"/>
    </row>
    <row r="262" ht="14.25" customHeight="1">
      <c r="A262" s="10" t="s">
        <v>754</v>
      </c>
      <c r="B262" s="10" t="s">
        <v>31</v>
      </c>
      <c r="C262" s="10">
        <v>261.0</v>
      </c>
      <c r="D262" s="11" t="s">
        <v>807</v>
      </c>
      <c r="E262" s="11" t="s">
        <v>808</v>
      </c>
      <c r="F262" s="11" t="s">
        <v>502</v>
      </c>
      <c r="G262" s="10">
        <v>261.0</v>
      </c>
      <c r="H262" s="10">
        <f>VLOOKUP(F262,'Generos y Familia'!$A$1:$C$623,2,FALSE)</f>
        <v>95</v>
      </c>
      <c r="I262" s="12" t="str">
        <f t="shared" si="1"/>
        <v>Cecropia angustifolia</v>
      </c>
      <c r="J262" s="10" t="str">
        <f t="shared" si="2"/>
        <v>261 Cecropia angustifolia</v>
      </c>
      <c r="K262" s="10" t="str">
        <f t="shared" si="3"/>
        <v>Yarumo Negro</v>
      </c>
      <c r="L262" s="10" t="str">
        <f t="shared" si="4"/>
        <v>261 Yarumo Negro</v>
      </c>
      <c r="M262" s="10" t="s">
        <v>35</v>
      </c>
      <c r="N262" s="10" t="s">
        <v>36</v>
      </c>
      <c r="O262" s="10" t="s">
        <v>37</v>
      </c>
      <c r="P262" s="10" t="s">
        <v>809</v>
      </c>
      <c r="Q262" s="17" t="s">
        <v>229</v>
      </c>
      <c r="R262" s="14" t="s">
        <v>53</v>
      </c>
      <c r="S262" s="17" t="s">
        <v>290</v>
      </c>
      <c r="T262" s="14" t="s">
        <v>39</v>
      </c>
      <c r="U262" s="14" t="s">
        <v>40</v>
      </c>
      <c r="V262" s="14">
        <v>0.33</v>
      </c>
      <c r="W262" s="17"/>
      <c r="X262" s="14" t="s">
        <v>190</v>
      </c>
    </row>
    <row r="263" ht="14.25" customHeight="1">
      <c r="A263" s="10" t="s">
        <v>754</v>
      </c>
      <c r="B263" s="10" t="s">
        <v>31</v>
      </c>
      <c r="C263" s="10">
        <v>262.0</v>
      </c>
      <c r="D263" s="11" t="s">
        <v>810</v>
      </c>
      <c r="E263" s="11" t="s">
        <v>811</v>
      </c>
      <c r="F263" s="11" t="s">
        <v>502</v>
      </c>
      <c r="G263" s="10">
        <v>262.0</v>
      </c>
      <c r="H263" s="10">
        <f>VLOOKUP(F263,'Generos y Familia'!$A$1:$C$623,2,FALSE)</f>
        <v>95</v>
      </c>
      <c r="I263" s="12" t="str">
        <f t="shared" si="1"/>
        <v>Cecropia peltata</v>
      </c>
      <c r="J263" s="10" t="str">
        <f t="shared" si="2"/>
        <v>262 Cecropia peltata</v>
      </c>
      <c r="K263" s="10" t="str">
        <f t="shared" si="3"/>
        <v>Yarumo; Guarumo; Yarumo Blanco; Yagrumo</v>
      </c>
      <c r="L263" s="10" t="str">
        <f t="shared" si="4"/>
        <v>262 Yarumo; Guarumo; Yarumo Blanco; Yagrumo</v>
      </c>
      <c r="M263" s="10" t="s">
        <v>35</v>
      </c>
      <c r="N263" s="10" t="s">
        <v>36</v>
      </c>
      <c r="O263" s="10" t="s">
        <v>37</v>
      </c>
      <c r="P263" s="10" t="s">
        <v>809</v>
      </c>
      <c r="Q263" s="17" t="s">
        <v>229</v>
      </c>
      <c r="R263" s="14" t="s">
        <v>53</v>
      </c>
      <c r="S263" s="17" t="s">
        <v>290</v>
      </c>
      <c r="T263" s="14" t="s">
        <v>39</v>
      </c>
      <c r="U263" s="14" t="s">
        <v>40</v>
      </c>
      <c r="V263" s="14">
        <v>0.33</v>
      </c>
      <c r="W263" s="17"/>
      <c r="X263" s="14" t="s">
        <v>190</v>
      </c>
    </row>
    <row r="264" ht="14.25" customHeight="1">
      <c r="A264" s="10" t="s">
        <v>754</v>
      </c>
      <c r="B264" s="10" t="s">
        <v>31</v>
      </c>
      <c r="C264" s="10">
        <v>263.0</v>
      </c>
      <c r="D264" s="11" t="s">
        <v>812</v>
      </c>
      <c r="E264" s="11" t="s">
        <v>813</v>
      </c>
      <c r="F264" s="11" t="s">
        <v>502</v>
      </c>
      <c r="G264" s="10">
        <v>263.0</v>
      </c>
      <c r="H264" s="10">
        <f>VLOOKUP(F264,'Generos y Familia'!$A$1:$C$623,2,FALSE)</f>
        <v>95</v>
      </c>
      <c r="I264" s="12" t="str">
        <f t="shared" si="1"/>
        <v>Cecropia telenitida</v>
      </c>
      <c r="J264" s="10" t="str">
        <f t="shared" si="2"/>
        <v>263 Cecropia telenitida</v>
      </c>
      <c r="K264" s="10" t="str">
        <f t="shared" si="3"/>
        <v>Yarumo Blanco</v>
      </c>
      <c r="L264" s="10" t="str">
        <f t="shared" si="4"/>
        <v>263 Yarumo Blanco</v>
      </c>
      <c r="M264" s="10" t="s">
        <v>35</v>
      </c>
      <c r="N264" s="10" t="s">
        <v>36</v>
      </c>
      <c r="O264" s="10" t="s">
        <v>37</v>
      </c>
      <c r="P264" s="10" t="s">
        <v>809</v>
      </c>
      <c r="Q264" s="17" t="s">
        <v>106</v>
      </c>
      <c r="R264" s="14" t="s">
        <v>39</v>
      </c>
      <c r="S264" s="17" t="s">
        <v>290</v>
      </c>
      <c r="T264" s="14" t="s">
        <v>39</v>
      </c>
      <c r="U264" s="14" t="s">
        <v>55</v>
      </c>
      <c r="V264" s="14">
        <v>0.33</v>
      </c>
      <c r="W264" s="17"/>
      <c r="X264" s="14" t="s">
        <v>190</v>
      </c>
    </row>
    <row r="265" ht="14.25" customHeight="1">
      <c r="A265" s="10" t="s">
        <v>754</v>
      </c>
      <c r="B265" s="10" t="s">
        <v>31</v>
      </c>
      <c r="C265" s="10">
        <v>264.0</v>
      </c>
      <c r="D265" s="11" t="s">
        <v>814</v>
      </c>
      <c r="E265" s="11" t="s">
        <v>815</v>
      </c>
      <c r="F265" s="11" t="s">
        <v>411</v>
      </c>
      <c r="G265" s="10">
        <v>264.0</v>
      </c>
      <c r="H265" s="10">
        <f>VLOOKUP(F265,'Generos y Familia'!$A$1:$C$623,2,FALSE)</f>
        <v>42</v>
      </c>
      <c r="I265" s="12" t="str">
        <f t="shared" si="1"/>
        <v>Cedrela montana</v>
      </c>
      <c r="J265" s="10" t="str">
        <f t="shared" si="2"/>
        <v>264 Cedrela montana</v>
      </c>
      <c r="K265" s="10" t="str">
        <f t="shared" si="3"/>
        <v>Cedro de Tierra Fría; Cedro de Montaña</v>
      </c>
      <c r="L265" s="10" t="str">
        <f t="shared" si="4"/>
        <v>264 Cedro de Tierra Fría; Cedro de Montaña</v>
      </c>
      <c r="M265" s="10" t="s">
        <v>35</v>
      </c>
      <c r="N265" s="10" t="s">
        <v>36</v>
      </c>
      <c r="O265" s="10" t="s">
        <v>37</v>
      </c>
      <c r="P265" s="10" t="s">
        <v>816</v>
      </c>
      <c r="Q265" s="17" t="s">
        <v>817</v>
      </c>
      <c r="R265" s="14" t="s">
        <v>39</v>
      </c>
      <c r="S265" s="17" t="s">
        <v>70</v>
      </c>
      <c r="T265" s="14" t="s">
        <v>39</v>
      </c>
      <c r="U265" s="14" t="s">
        <v>40</v>
      </c>
      <c r="V265" s="14" t="s">
        <v>818</v>
      </c>
      <c r="W265" s="17"/>
      <c r="X265" s="14" t="s">
        <v>190</v>
      </c>
    </row>
    <row r="266" ht="14.25" customHeight="1">
      <c r="A266" s="10" t="s">
        <v>754</v>
      </c>
      <c r="B266" s="10" t="s">
        <v>31</v>
      </c>
      <c r="C266" s="10">
        <v>265.0</v>
      </c>
      <c r="D266" s="11" t="s">
        <v>819</v>
      </c>
      <c r="E266" s="11" t="s">
        <v>820</v>
      </c>
      <c r="F266" s="11" t="s">
        <v>411</v>
      </c>
      <c r="G266" s="10">
        <v>265.0</v>
      </c>
      <c r="H266" s="10">
        <f>VLOOKUP(F266,'Generos y Familia'!$A$1:$C$623,2,FALSE)</f>
        <v>42</v>
      </c>
      <c r="I266" s="12" t="str">
        <f t="shared" si="1"/>
        <v>Cedrela odorata</v>
      </c>
      <c r="J266" s="10" t="str">
        <f t="shared" si="2"/>
        <v>265 Cedrela odorata</v>
      </c>
      <c r="K266" s="10" t="str">
        <f t="shared" si="3"/>
        <v>Cedro Rosado; Cedro Americano; Cedro Amargo; Cedro</v>
      </c>
      <c r="L266" s="10" t="str">
        <f t="shared" si="4"/>
        <v>265 Cedro Rosado; Cedro Americano; Cedro Amargo; Cedro</v>
      </c>
      <c r="M266" s="10" t="s">
        <v>35</v>
      </c>
      <c r="N266" s="10" t="s">
        <v>36</v>
      </c>
      <c r="O266" s="10" t="s">
        <v>37</v>
      </c>
      <c r="P266" s="10" t="s">
        <v>816</v>
      </c>
      <c r="Q266" s="17" t="s">
        <v>817</v>
      </c>
      <c r="R266" s="14" t="s">
        <v>39</v>
      </c>
      <c r="S266" s="17" t="s">
        <v>821</v>
      </c>
      <c r="T266" s="14" t="s">
        <v>39</v>
      </c>
      <c r="U266" s="14" t="s">
        <v>55</v>
      </c>
      <c r="V266" s="14">
        <v>0.6</v>
      </c>
      <c r="W266" s="18"/>
      <c r="X266" s="14"/>
    </row>
    <row r="267" ht="14.25" customHeight="1">
      <c r="A267" s="10" t="s">
        <v>754</v>
      </c>
      <c r="B267" s="10" t="s">
        <v>31</v>
      </c>
      <c r="C267" s="10">
        <v>266.0</v>
      </c>
      <c r="D267" s="11" t="s">
        <v>822</v>
      </c>
      <c r="E267" s="11" t="s">
        <v>823</v>
      </c>
      <c r="F267" s="11" t="s">
        <v>411</v>
      </c>
      <c r="G267" s="10">
        <v>266.0</v>
      </c>
      <c r="H267" s="10">
        <f>VLOOKUP(F267,'Generos y Familia'!$A$1:$C$623,2,FALSE)</f>
        <v>42</v>
      </c>
      <c r="I267" s="12" t="str">
        <f t="shared" si="1"/>
        <v>Cedrela salvadorensis</v>
      </c>
      <c r="J267" s="10" t="str">
        <f t="shared" si="2"/>
        <v>266 Cedrela salvadorensis</v>
      </c>
      <c r="K267" s="10" t="str">
        <f t="shared" si="3"/>
        <v>Cedro Macho; Cedro Chino; Cedro Oloroso</v>
      </c>
      <c r="L267" s="10" t="str">
        <f t="shared" si="4"/>
        <v>266 Cedro Macho; Cedro Chino; Cedro Oloroso</v>
      </c>
      <c r="M267" s="10" t="s">
        <v>46</v>
      </c>
      <c r="N267" s="10" t="s">
        <v>36</v>
      </c>
      <c r="O267" s="10" t="s">
        <v>37</v>
      </c>
      <c r="P267" s="10" t="s">
        <v>816</v>
      </c>
      <c r="Q267" s="13"/>
      <c r="R267" s="13"/>
      <c r="S267" s="13"/>
      <c r="T267" s="13"/>
      <c r="U267" s="13"/>
      <c r="V267" s="13"/>
      <c r="W267" s="13"/>
      <c r="X267" s="13"/>
    </row>
    <row r="268" ht="14.25" customHeight="1">
      <c r="A268" s="10" t="s">
        <v>754</v>
      </c>
      <c r="B268" s="10" t="s">
        <v>31</v>
      </c>
      <c r="C268" s="10">
        <v>267.0</v>
      </c>
      <c r="D268" s="11" t="s">
        <v>824</v>
      </c>
      <c r="E268" s="11" t="s">
        <v>825</v>
      </c>
      <c r="F268" s="11" t="s">
        <v>411</v>
      </c>
      <c r="G268" s="10">
        <v>267.0</v>
      </c>
      <c r="H268" s="10">
        <f>VLOOKUP(F268,'Generos y Familia'!$A$1:$C$623,2,FALSE)</f>
        <v>42</v>
      </c>
      <c r="I268" s="12" t="str">
        <f t="shared" si="1"/>
        <v>Cedrela sp</v>
      </c>
      <c r="J268" s="10" t="str">
        <f t="shared" si="2"/>
        <v>267 Cedrela sp</v>
      </c>
      <c r="K268" s="10" t="str">
        <f t="shared" si="3"/>
        <v>Cedro</v>
      </c>
      <c r="L268" s="10" t="str">
        <f t="shared" si="4"/>
        <v>267 Cedro</v>
      </c>
      <c r="M268" s="10" t="s">
        <v>46</v>
      </c>
      <c r="N268" s="10" t="s">
        <v>36</v>
      </c>
      <c r="O268" s="10" t="s">
        <v>37</v>
      </c>
      <c r="P268" s="10" t="s">
        <v>816</v>
      </c>
      <c r="Q268" s="17" t="s">
        <v>826</v>
      </c>
      <c r="R268" s="14" t="s">
        <v>39</v>
      </c>
      <c r="S268" s="17" t="s">
        <v>477</v>
      </c>
      <c r="T268" s="14" t="s">
        <v>39</v>
      </c>
      <c r="U268" s="14" t="s">
        <v>40</v>
      </c>
      <c r="V268" s="14" t="s">
        <v>818</v>
      </c>
      <c r="W268" s="17"/>
      <c r="X268" s="14" t="s">
        <v>190</v>
      </c>
    </row>
    <row r="269" ht="14.25" customHeight="1">
      <c r="A269" s="10" t="s">
        <v>754</v>
      </c>
      <c r="B269" s="10" t="s">
        <v>31</v>
      </c>
      <c r="C269" s="10">
        <v>268.0</v>
      </c>
      <c r="D269" s="11" t="s">
        <v>827</v>
      </c>
      <c r="E269" s="11" t="s">
        <v>828</v>
      </c>
      <c r="F269" s="11" t="s">
        <v>45</v>
      </c>
      <c r="G269" s="10">
        <v>268.0</v>
      </c>
      <c r="H269" s="10">
        <f>VLOOKUP(F269,'Generos y Familia'!$A$1:$C$623,2,FALSE)</f>
        <v>40</v>
      </c>
      <c r="I269" s="12" t="str">
        <f t="shared" si="1"/>
        <v>Ceiba pentandra</v>
      </c>
      <c r="J269" s="10" t="str">
        <f t="shared" si="2"/>
        <v>268 Ceiba pentandra</v>
      </c>
      <c r="K269" s="10" t="str">
        <f t="shared" si="3"/>
        <v>Ceiba Bonga; Ceibo</v>
      </c>
      <c r="L269" s="10" t="str">
        <f t="shared" si="4"/>
        <v>268 Ceiba Bonga; Ceibo</v>
      </c>
      <c r="M269" s="10" t="s">
        <v>35</v>
      </c>
      <c r="N269" s="10" t="s">
        <v>36</v>
      </c>
      <c r="O269" s="10" t="s">
        <v>37</v>
      </c>
      <c r="P269" s="10" t="s">
        <v>829</v>
      </c>
      <c r="Q269" s="17" t="s">
        <v>290</v>
      </c>
      <c r="R269" s="14" t="s">
        <v>39</v>
      </c>
      <c r="S269" s="17" t="s">
        <v>331</v>
      </c>
      <c r="T269" s="14" t="s">
        <v>39</v>
      </c>
      <c r="U269" s="14" t="s">
        <v>55</v>
      </c>
      <c r="V269" s="14">
        <v>0.26</v>
      </c>
      <c r="W269" s="17"/>
      <c r="X269" s="14"/>
    </row>
    <row r="270" ht="14.25" customHeight="1">
      <c r="A270" s="10" t="s">
        <v>754</v>
      </c>
      <c r="B270" s="10" t="s">
        <v>31</v>
      </c>
      <c r="C270" s="10">
        <v>269.0</v>
      </c>
      <c r="D270" s="11" t="s">
        <v>830</v>
      </c>
      <c r="E270" s="11" t="s">
        <v>829</v>
      </c>
      <c r="F270" s="11" t="s">
        <v>45</v>
      </c>
      <c r="G270" s="10">
        <v>269.0</v>
      </c>
      <c r="H270" s="10">
        <f>VLOOKUP(F270,'Generos y Familia'!$A$1:$C$623,2,FALSE)</f>
        <v>40</v>
      </c>
      <c r="I270" s="12" t="str">
        <f t="shared" si="1"/>
        <v>Ceiba sp</v>
      </c>
      <c r="J270" s="10" t="str">
        <f t="shared" si="2"/>
        <v>269 Ceiba sp</v>
      </c>
      <c r="K270" s="10" t="str">
        <f t="shared" si="3"/>
        <v>Ceiba</v>
      </c>
      <c r="L270" s="10" t="str">
        <f t="shared" si="4"/>
        <v>269 Ceiba</v>
      </c>
      <c r="M270" s="10" t="s">
        <v>35</v>
      </c>
      <c r="N270" s="10" t="s">
        <v>36</v>
      </c>
      <c r="O270" s="10" t="s">
        <v>37</v>
      </c>
      <c r="P270" s="10" t="s">
        <v>829</v>
      </c>
      <c r="Q270" s="17" t="s">
        <v>492</v>
      </c>
      <c r="R270" s="14" t="s">
        <v>39</v>
      </c>
      <c r="S270" s="17" t="s">
        <v>831</v>
      </c>
      <c r="T270" s="14" t="s">
        <v>39</v>
      </c>
      <c r="U270" s="14" t="s">
        <v>40</v>
      </c>
      <c r="V270" s="14" t="s">
        <v>832</v>
      </c>
      <c r="W270" s="17"/>
      <c r="X270" s="14" t="s">
        <v>190</v>
      </c>
    </row>
    <row r="271" ht="14.25" customHeight="1">
      <c r="A271" s="10" t="s">
        <v>754</v>
      </c>
      <c r="B271" s="10" t="s">
        <v>31</v>
      </c>
      <c r="C271" s="10">
        <v>270.0</v>
      </c>
      <c r="D271" s="11" t="s">
        <v>833</v>
      </c>
      <c r="E271" s="11" t="s">
        <v>834</v>
      </c>
      <c r="F271" s="11" t="s">
        <v>45</v>
      </c>
      <c r="G271" s="10">
        <v>270.0</v>
      </c>
      <c r="H271" s="10">
        <f>VLOOKUP(F271,'Generos y Familia'!$A$1:$C$623,2,FALSE)</f>
        <v>40</v>
      </c>
      <c r="I271" s="12" t="str">
        <f t="shared" si="1"/>
        <v>Ceiba speciosa</v>
      </c>
      <c r="J271" s="10" t="str">
        <f t="shared" si="2"/>
        <v>270 Ceiba speciosa</v>
      </c>
      <c r="K271" s="10" t="str">
        <f t="shared" si="3"/>
        <v>Ceiba Rosada</v>
      </c>
      <c r="L271" s="10" t="str">
        <f t="shared" si="4"/>
        <v>270 Ceiba Rosada</v>
      </c>
      <c r="M271" s="10" t="s">
        <v>46</v>
      </c>
      <c r="N271" s="10" t="s">
        <v>36</v>
      </c>
      <c r="O271" s="10" t="s">
        <v>37</v>
      </c>
      <c r="P271" s="10" t="s">
        <v>829</v>
      </c>
      <c r="Q271" s="17" t="s">
        <v>54</v>
      </c>
      <c r="R271" s="14" t="s">
        <v>39</v>
      </c>
      <c r="S271" s="17" t="s">
        <v>821</v>
      </c>
      <c r="T271" s="14" t="s">
        <v>39</v>
      </c>
      <c r="U271" s="14" t="s">
        <v>40</v>
      </c>
      <c r="V271" s="14">
        <v>0.4</v>
      </c>
      <c r="W271" s="17"/>
      <c r="X271" s="14"/>
    </row>
    <row r="272" ht="14.25" customHeight="1">
      <c r="A272" s="10" t="s">
        <v>754</v>
      </c>
      <c r="B272" s="10" t="s">
        <v>31</v>
      </c>
      <c r="C272" s="10">
        <v>271.0</v>
      </c>
      <c r="D272" s="11" t="s">
        <v>835</v>
      </c>
      <c r="E272" s="11" t="s">
        <v>836</v>
      </c>
      <c r="F272" s="11" t="s">
        <v>837</v>
      </c>
      <c r="G272" s="10">
        <v>271.0</v>
      </c>
      <c r="H272" s="10">
        <f>VLOOKUP(F272,'Generos y Familia'!$A$1:$C$623,2,FALSE)</f>
        <v>34</v>
      </c>
      <c r="I272" s="12" t="str">
        <f t="shared" si="1"/>
        <v>Celastrus orbiculatus</v>
      </c>
      <c r="J272" s="10" t="str">
        <f t="shared" si="2"/>
        <v>271 Celastrus orbiculatus</v>
      </c>
      <c r="K272" s="10" t="str">
        <f t="shared" si="3"/>
        <v>Celastro</v>
      </c>
      <c r="L272" s="10" t="str">
        <f t="shared" si="4"/>
        <v>271 Celastro</v>
      </c>
      <c r="M272" s="10" t="s">
        <v>46</v>
      </c>
      <c r="N272" s="10" t="s">
        <v>28</v>
      </c>
      <c r="O272" s="10" t="s">
        <v>392</v>
      </c>
      <c r="P272" s="10" t="s">
        <v>838</v>
      </c>
      <c r="Q272" s="13"/>
      <c r="R272" s="13"/>
      <c r="S272" s="13"/>
      <c r="T272" s="13"/>
      <c r="U272" s="13"/>
      <c r="V272" s="13"/>
      <c r="W272" s="16"/>
      <c r="X272" s="13"/>
    </row>
    <row r="273" ht="14.25" customHeight="1">
      <c r="A273" s="10" t="s">
        <v>754</v>
      </c>
      <c r="B273" s="10" t="s">
        <v>31</v>
      </c>
      <c r="C273" s="10">
        <v>272.0</v>
      </c>
      <c r="D273" s="11" t="s">
        <v>839</v>
      </c>
      <c r="E273" s="11" t="s">
        <v>840</v>
      </c>
      <c r="F273" s="11" t="s">
        <v>837</v>
      </c>
      <c r="G273" s="10">
        <v>272.0</v>
      </c>
      <c r="H273" s="10">
        <f>VLOOKUP(F273,'Generos y Familia'!$A$1:$C$623,2,FALSE)</f>
        <v>34</v>
      </c>
      <c r="I273" s="12" t="str">
        <f t="shared" si="1"/>
        <v>Celastrus scandens</v>
      </c>
      <c r="J273" s="10" t="str">
        <f t="shared" si="2"/>
        <v>272 Celastrus scandens</v>
      </c>
      <c r="K273" s="10" t="str">
        <f t="shared" si="3"/>
        <v>Falsa Dulcamara</v>
      </c>
      <c r="L273" s="10" t="str">
        <f t="shared" si="4"/>
        <v>272 Falsa Dulcamara</v>
      </c>
      <c r="M273" s="10" t="s">
        <v>46</v>
      </c>
      <c r="N273" s="10" t="s">
        <v>36</v>
      </c>
      <c r="O273" s="10" t="s">
        <v>392</v>
      </c>
      <c r="P273" s="10" t="s">
        <v>838</v>
      </c>
      <c r="Q273" s="13"/>
      <c r="R273" s="13"/>
      <c r="S273" s="13" t="s">
        <v>841</v>
      </c>
      <c r="T273" s="13"/>
      <c r="U273" s="13"/>
      <c r="V273" s="13"/>
      <c r="W273" s="16"/>
      <c r="X273" s="13"/>
    </row>
    <row r="274" ht="14.25" customHeight="1">
      <c r="A274" s="10" t="s">
        <v>754</v>
      </c>
      <c r="B274" s="10" t="s">
        <v>31</v>
      </c>
      <c r="C274" s="10">
        <v>273.0</v>
      </c>
      <c r="D274" s="11" t="s">
        <v>842</v>
      </c>
      <c r="E274" s="11" t="s">
        <v>842</v>
      </c>
      <c r="F274" s="11" t="s">
        <v>837</v>
      </c>
      <c r="G274" s="10">
        <v>273.0</v>
      </c>
      <c r="H274" s="10">
        <f>VLOOKUP(F274,'Generos y Familia'!$A$1:$C$623,2,FALSE)</f>
        <v>34</v>
      </c>
      <c r="I274" s="12" t="str">
        <f t="shared" si="1"/>
        <v>Celastrus sp</v>
      </c>
      <c r="J274" s="10" t="str">
        <f t="shared" si="2"/>
        <v>273 Celastrus sp</v>
      </c>
      <c r="K274" s="10" t="str">
        <f t="shared" si="3"/>
        <v>Celastrus sp</v>
      </c>
      <c r="L274" s="10" t="str">
        <f t="shared" si="4"/>
        <v>273 Celastrus sp</v>
      </c>
      <c r="M274" s="10" t="s">
        <v>46</v>
      </c>
      <c r="N274" s="10" t="s">
        <v>36</v>
      </c>
      <c r="O274" s="10" t="s">
        <v>392</v>
      </c>
      <c r="P274" s="10" t="s">
        <v>838</v>
      </c>
      <c r="Q274" s="13"/>
      <c r="R274" s="13"/>
      <c r="S274" s="13"/>
      <c r="T274" s="13"/>
      <c r="U274" s="13"/>
      <c r="V274" s="13"/>
      <c r="W274" s="16"/>
      <c r="X274" s="13"/>
    </row>
    <row r="275" ht="14.25" customHeight="1">
      <c r="A275" s="10" t="s">
        <v>754</v>
      </c>
      <c r="B275" s="10" t="s">
        <v>31</v>
      </c>
      <c r="C275" s="10">
        <v>274.0</v>
      </c>
      <c r="D275" s="11" t="s">
        <v>843</v>
      </c>
      <c r="E275" s="11" t="s">
        <v>844</v>
      </c>
      <c r="F275" s="11" t="s">
        <v>34</v>
      </c>
      <c r="G275" s="10">
        <v>274.0</v>
      </c>
      <c r="H275" s="10">
        <f>VLOOKUP(F275,'Generos y Familia'!$A$1:$C$623,2,FALSE)</f>
        <v>27</v>
      </c>
      <c r="I275" s="12" t="str">
        <f t="shared" si="1"/>
        <v>Centrolobium paraense Tul</v>
      </c>
      <c r="J275" s="10" t="str">
        <f t="shared" si="2"/>
        <v>274 Centrolobium paraense Tul</v>
      </c>
      <c r="K275" s="10" t="str">
        <f t="shared" si="3"/>
        <v>Falso Cedro</v>
      </c>
      <c r="L275" s="10" t="str">
        <f t="shared" si="4"/>
        <v>274 Falso Cedro</v>
      </c>
      <c r="M275" s="10" t="s">
        <v>46</v>
      </c>
      <c r="N275" s="10" t="s">
        <v>36</v>
      </c>
      <c r="O275" s="10" t="s">
        <v>37</v>
      </c>
      <c r="P275" s="10" t="s">
        <v>845</v>
      </c>
      <c r="Q275" s="13">
        <v>35.0</v>
      </c>
      <c r="R275" s="13" t="s">
        <v>53</v>
      </c>
      <c r="S275" s="13"/>
      <c r="T275" s="13"/>
      <c r="U275" s="13" t="s">
        <v>40</v>
      </c>
      <c r="V275" s="13"/>
      <c r="W275" s="13"/>
      <c r="X275" s="13"/>
    </row>
    <row r="276" ht="14.25" customHeight="1">
      <c r="A276" s="10" t="s">
        <v>754</v>
      </c>
      <c r="B276" s="10" t="s">
        <v>31</v>
      </c>
      <c r="C276" s="10">
        <v>275.0</v>
      </c>
      <c r="D276" s="11" t="s">
        <v>846</v>
      </c>
      <c r="E276" s="11" t="s">
        <v>847</v>
      </c>
      <c r="F276" s="11" t="s">
        <v>34</v>
      </c>
      <c r="G276" s="10">
        <v>275.0</v>
      </c>
      <c r="H276" s="10">
        <f>VLOOKUP(F276,'Generos y Familia'!$A$1:$C$623,2,FALSE)</f>
        <v>27</v>
      </c>
      <c r="I276" s="12" t="str">
        <f t="shared" si="1"/>
        <v>Centrolobium yavizanum</v>
      </c>
      <c r="J276" s="10" t="str">
        <f t="shared" si="2"/>
        <v>275 Centrolobium yavizanum</v>
      </c>
      <c r="K276" s="10" t="str">
        <f t="shared" si="3"/>
        <v>Guayacán Jobo; Balaústre</v>
      </c>
      <c r="L276" s="10" t="str">
        <f t="shared" si="4"/>
        <v>275 Guayacán Jobo; Balaústre</v>
      </c>
      <c r="M276" s="10" t="s">
        <v>35</v>
      </c>
      <c r="N276" s="10" t="s">
        <v>36</v>
      </c>
      <c r="O276" s="10" t="s">
        <v>37</v>
      </c>
      <c r="P276" s="10" t="s">
        <v>845</v>
      </c>
      <c r="Q276" s="13">
        <v>30.0</v>
      </c>
      <c r="R276" s="13" t="s">
        <v>53</v>
      </c>
      <c r="S276" s="13"/>
      <c r="T276" s="13"/>
      <c r="U276" s="13" t="s">
        <v>848</v>
      </c>
      <c r="V276" s="13"/>
      <c r="W276" s="13"/>
      <c r="X276" s="13"/>
    </row>
    <row r="277" ht="14.25" customHeight="1">
      <c r="A277" s="10" t="s">
        <v>754</v>
      </c>
      <c r="B277" s="10" t="s">
        <v>31</v>
      </c>
      <c r="C277" s="10">
        <v>276.0</v>
      </c>
      <c r="D277" s="11" t="s">
        <v>849</v>
      </c>
      <c r="E277" s="11" t="s">
        <v>850</v>
      </c>
      <c r="F277" s="11" t="s">
        <v>851</v>
      </c>
      <c r="G277" s="10">
        <v>276.0</v>
      </c>
      <c r="H277" s="10">
        <f>VLOOKUP(F277,'Generos y Familia'!$A$1:$C$623,2,FALSE)</f>
        <v>100</v>
      </c>
      <c r="I277" s="12" t="str">
        <f t="shared" si="1"/>
        <v>Ceratozamia fuscoviridis</v>
      </c>
      <c r="J277" s="10" t="str">
        <f t="shared" si="2"/>
        <v>276 Ceratozamia fuscoviridis</v>
      </c>
      <c r="K277" s="10" t="str">
        <f t="shared" si="3"/>
        <v>Palmas Cicadas</v>
      </c>
      <c r="L277" s="10" t="str">
        <f t="shared" si="4"/>
        <v>276 Palmas Cicadas</v>
      </c>
      <c r="M277" s="10" t="s">
        <v>46</v>
      </c>
      <c r="N277" s="10" t="s">
        <v>28</v>
      </c>
      <c r="O277" s="10" t="s">
        <v>117</v>
      </c>
      <c r="P277" s="10" t="s">
        <v>852</v>
      </c>
      <c r="Q277" s="13"/>
      <c r="R277" s="13"/>
      <c r="S277" s="13" t="s">
        <v>853</v>
      </c>
      <c r="T277" s="13"/>
      <c r="U277" s="13"/>
      <c r="V277" s="13"/>
      <c r="W277" s="16"/>
      <c r="X277" s="13"/>
    </row>
    <row r="278" ht="14.25" customHeight="1">
      <c r="A278" s="10" t="s">
        <v>754</v>
      </c>
      <c r="B278" s="10" t="s">
        <v>31</v>
      </c>
      <c r="C278" s="10">
        <v>277.0</v>
      </c>
      <c r="D278" s="11" t="s">
        <v>854</v>
      </c>
      <c r="E278" s="11" t="s">
        <v>855</v>
      </c>
      <c r="F278" s="11" t="s">
        <v>523</v>
      </c>
      <c r="G278" s="10">
        <v>277.0</v>
      </c>
      <c r="H278" s="10">
        <f>VLOOKUP(F278,'Generos y Familia'!$A$1:$C$623,2,FALSE)</f>
        <v>26</v>
      </c>
      <c r="I278" s="12" t="str">
        <f t="shared" si="1"/>
        <v>Cereus hexagonus</v>
      </c>
      <c r="J278" s="10" t="str">
        <f t="shared" si="2"/>
        <v>277 Cereus hexagonus</v>
      </c>
      <c r="K278" s="10" t="str">
        <f t="shared" si="3"/>
        <v>Cirio; Vela</v>
      </c>
      <c r="L278" s="10" t="str">
        <f t="shared" si="4"/>
        <v>277 Cirio; Vela</v>
      </c>
      <c r="M278" s="10" t="s">
        <v>46</v>
      </c>
      <c r="N278" s="10" t="s">
        <v>36</v>
      </c>
      <c r="O278" s="10"/>
      <c r="P278" s="10" t="s">
        <v>856</v>
      </c>
      <c r="Q278" s="13"/>
      <c r="R278" s="13"/>
      <c r="S278" s="13" t="s">
        <v>857</v>
      </c>
      <c r="T278" s="13"/>
      <c r="U278" s="13"/>
      <c r="V278" s="13"/>
      <c r="W278" s="16"/>
      <c r="X278" s="13"/>
    </row>
    <row r="279" ht="14.25" customHeight="1">
      <c r="A279" s="10" t="s">
        <v>754</v>
      </c>
      <c r="B279" s="10" t="s">
        <v>31</v>
      </c>
      <c r="C279" s="10">
        <v>278.0</v>
      </c>
      <c r="D279" s="11" t="s">
        <v>858</v>
      </c>
      <c r="E279" s="11" t="s">
        <v>859</v>
      </c>
      <c r="F279" s="11" t="s">
        <v>523</v>
      </c>
      <c r="G279" s="10">
        <v>278.0</v>
      </c>
      <c r="H279" s="10">
        <f>VLOOKUP(F279,'Generos y Familia'!$A$1:$C$623,2,FALSE)</f>
        <v>26</v>
      </c>
      <c r="I279" s="12" t="str">
        <f t="shared" si="1"/>
        <v>cereus sp</v>
      </c>
      <c r="J279" s="10" t="str">
        <f t="shared" si="2"/>
        <v>278 cereus sp</v>
      </c>
      <c r="K279" s="10" t="str">
        <f t="shared" si="3"/>
        <v>Cereus sp</v>
      </c>
      <c r="L279" s="10" t="str">
        <f t="shared" si="4"/>
        <v>278 Cereus sp</v>
      </c>
      <c r="M279" s="10" t="s">
        <v>797</v>
      </c>
      <c r="N279" s="10" t="s">
        <v>36</v>
      </c>
      <c r="O279" s="10"/>
      <c r="P279" s="10" t="s">
        <v>860</v>
      </c>
      <c r="Q279" s="13"/>
      <c r="R279" s="13"/>
      <c r="S279" s="13" t="s">
        <v>857</v>
      </c>
      <c r="T279" s="13"/>
      <c r="U279" s="13"/>
      <c r="V279" s="13"/>
      <c r="W279" s="13"/>
      <c r="X279" s="13"/>
    </row>
    <row r="280" ht="14.25" customHeight="1">
      <c r="A280" s="10" t="s">
        <v>754</v>
      </c>
      <c r="B280" s="10" t="s">
        <v>31</v>
      </c>
      <c r="C280" s="10">
        <v>279.0</v>
      </c>
      <c r="D280" s="11" t="s">
        <v>861</v>
      </c>
      <c r="E280" s="11" t="s">
        <v>862</v>
      </c>
      <c r="F280" s="11" t="s">
        <v>523</v>
      </c>
      <c r="G280" s="10">
        <v>279.0</v>
      </c>
      <c r="H280" s="10">
        <f>VLOOKUP(F280,'Generos y Familia'!$A$1:$C$623,2,FALSE)</f>
        <v>26</v>
      </c>
      <c r="I280" s="12" t="str">
        <f t="shared" si="1"/>
        <v>Cereus uruguayanus</v>
      </c>
      <c r="J280" s="10" t="str">
        <f t="shared" si="2"/>
        <v>279 Cereus uruguayanus</v>
      </c>
      <c r="K280" s="10" t="str">
        <f t="shared" si="3"/>
        <v>Cacto Candelabro</v>
      </c>
      <c r="L280" s="10" t="str">
        <f t="shared" si="4"/>
        <v>279 Cacto Candelabro</v>
      </c>
      <c r="M280" s="10" t="s">
        <v>797</v>
      </c>
      <c r="N280" s="10" t="s">
        <v>36</v>
      </c>
      <c r="O280" s="10"/>
      <c r="P280" s="10" t="s">
        <v>856</v>
      </c>
      <c r="Q280" s="13"/>
      <c r="R280" s="13"/>
      <c r="S280" s="13" t="s">
        <v>863</v>
      </c>
      <c r="T280" s="13"/>
      <c r="U280" s="13"/>
      <c r="V280" s="13"/>
      <c r="W280" s="13"/>
      <c r="X280" s="13"/>
    </row>
    <row r="281" ht="14.25" customHeight="1">
      <c r="A281" s="10" t="s">
        <v>754</v>
      </c>
      <c r="B281" s="10" t="s">
        <v>31</v>
      </c>
      <c r="C281" s="10">
        <v>280.0</v>
      </c>
      <c r="D281" s="11" t="s">
        <v>864</v>
      </c>
      <c r="E281" s="11" t="s">
        <v>865</v>
      </c>
      <c r="F281" s="11" t="s">
        <v>116</v>
      </c>
      <c r="G281" s="10">
        <v>280.0</v>
      </c>
      <c r="H281" s="10">
        <f>VLOOKUP(F281,'Generos y Familia'!$A$1:$C$623,2,FALSE)</f>
        <v>14</v>
      </c>
      <c r="I281" s="12" t="str">
        <f t="shared" si="1"/>
        <v>Ceroxylon quindiuense</v>
      </c>
      <c r="J281" s="10" t="str">
        <f t="shared" si="2"/>
        <v>280 Ceroxylon quindiuense</v>
      </c>
      <c r="K281" s="10" t="str">
        <f t="shared" si="3"/>
        <v>Palma de Cera</v>
      </c>
      <c r="L281" s="10" t="str">
        <f t="shared" si="4"/>
        <v>280 Palma de Cera</v>
      </c>
      <c r="M281" s="10" t="s">
        <v>35</v>
      </c>
      <c r="N281" s="10" t="s">
        <v>36</v>
      </c>
      <c r="O281" s="10" t="s">
        <v>117</v>
      </c>
      <c r="P281" s="10" t="s">
        <v>866</v>
      </c>
      <c r="Q281" s="17" t="s">
        <v>70</v>
      </c>
      <c r="R281" s="14"/>
      <c r="S281" s="17" t="s">
        <v>867</v>
      </c>
      <c r="T281" s="14"/>
      <c r="U281" s="14" t="s">
        <v>73</v>
      </c>
      <c r="V281" s="14"/>
      <c r="W281" s="18"/>
      <c r="X281" s="14" t="s">
        <v>41</v>
      </c>
    </row>
    <row r="282" ht="14.25" customHeight="1">
      <c r="A282" s="10" t="s">
        <v>754</v>
      </c>
      <c r="B282" s="10" t="s">
        <v>31</v>
      </c>
      <c r="C282" s="10">
        <v>281.0</v>
      </c>
      <c r="D282" s="11" t="s">
        <v>868</v>
      </c>
      <c r="E282" s="11" t="s">
        <v>869</v>
      </c>
      <c r="F282" s="11" t="s">
        <v>870</v>
      </c>
      <c r="G282" s="10">
        <v>281.0</v>
      </c>
      <c r="H282" s="10">
        <f>VLOOKUP(F282,'Generos y Familia'!$A$1:$C$623,2,FALSE)</f>
        <v>51</v>
      </c>
      <c r="I282" s="12" t="str">
        <f t="shared" si="1"/>
        <v>Cespedesia macrophylla</v>
      </c>
      <c r="J282" s="10" t="str">
        <f t="shared" si="2"/>
        <v>281 Cespedesia macrophylla</v>
      </c>
      <c r="K282" s="10" t="str">
        <f t="shared" si="3"/>
        <v>Pacó</v>
      </c>
      <c r="L282" s="10" t="str">
        <f t="shared" si="4"/>
        <v>281 Pacó</v>
      </c>
      <c r="M282" s="10" t="s">
        <v>35</v>
      </c>
      <c r="N282" s="10" t="s">
        <v>36</v>
      </c>
      <c r="O282" s="10" t="s">
        <v>37</v>
      </c>
      <c r="P282" s="10" t="s">
        <v>871</v>
      </c>
      <c r="Q282" s="17" t="s">
        <v>106</v>
      </c>
      <c r="R282" s="14" t="s">
        <v>39</v>
      </c>
      <c r="S282" s="17" t="s">
        <v>442</v>
      </c>
      <c r="T282" s="14" t="s">
        <v>39</v>
      </c>
      <c r="U282" s="14" t="s">
        <v>40</v>
      </c>
      <c r="V282" s="14">
        <v>0.61</v>
      </c>
      <c r="W282" s="18"/>
      <c r="X282" s="14"/>
    </row>
    <row r="283" ht="14.25" customHeight="1">
      <c r="A283" s="10" t="s">
        <v>754</v>
      </c>
      <c r="B283" s="10" t="s">
        <v>31</v>
      </c>
      <c r="C283" s="10">
        <v>282.0</v>
      </c>
      <c r="D283" s="11" t="s">
        <v>872</v>
      </c>
      <c r="E283" s="11" t="s">
        <v>873</v>
      </c>
      <c r="F283" s="11" t="s">
        <v>103</v>
      </c>
      <c r="G283" s="10">
        <v>282.0</v>
      </c>
      <c r="H283" s="10">
        <f>VLOOKUP(F283,'Generos y Familia'!$A$1:$C$623,2,FALSE)</f>
        <v>89</v>
      </c>
      <c r="I283" s="12" t="str">
        <f t="shared" si="1"/>
        <v>Cestrum nocturnum</v>
      </c>
      <c r="J283" s="10" t="str">
        <f t="shared" si="2"/>
        <v>282 Cestrum nocturnum</v>
      </c>
      <c r="K283" s="10" t="str">
        <f t="shared" si="3"/>
        <v>Dama de Noche; Galán de Noche</v>
      </c>
      <c r="L283" s="10" t="str">
        <f t="shared" si="4"/>
        <v>282 Dama de Noche; Galán de Noche</v>
      </c>
      <c r="M283" s="10" t="s">
        <v>35</v>
      </c>
      <c r="N283" s="10" t="s">
        <v>36</v>
      </c>
      <c r="O283" s="10" t="s">
        <v>37</v>
      </c>
      <c r="P283" s="10" t="s">
        <v>874</v>
      </c>
      <c r="Q283" s="17" t="s">
        <v>632</v>
      </c>
      <c r="R283" s="14" t="s">
        <v>39</v>
      </c>
      <c r="S283" s="17" t="s">
        <v>145</v>
      </c>
      <c r="T283" s="14"/>
      <c r="U283" s="14" t="s">
        <v>55</v>
      </c>
      <c r="V283" s="14"/>
      <c r="W283" s="18"/>
      <c r="X283" s="14"/>
    </row>
    <row r="284" ht="14.25" customHeight="1">
      <c r="A284" s="10" t="s">
        <v>754</v>
      </c>
      <c r="B284" s="10" t="s">
        <v>31</v>
      </c>
      <c r="C284" s="10">
        <v>283.0</v>
      </c>
      <c r="D284" s="11" t="s">
        <v>875</v>
      </c>
      <c r="E284" s="11" t="s">
        <v>876</v>
      </c>
      <c r="F284" s="11" t="s">
        <v>103</v>
      </c>
      <c r="G284" s="10">
        <v>283.0</v>
      </c>
      <c r="H284" s="10">
        <f>VLOOKUP(F284,'Generos y Familia'!$A$1:$C$623,2,FALSE)</f>
        <v>89</v>
      </c>
      <c r="I284" s="12" t="str">
        <f t="shared" si="1"/>
        <v>cestrum racemosum</v>
      </c>
      <c r="J284" s="10" t="str">
        <f t="shared" si="2"/>
        <v>283 cestrum racemosum</v>
      </c>
      <c r="K284" s="10" t="str">
        <f t="shared" si="3"/>
        <v>Zorrillo</v>
      </c>
      <c r="L284" s="10" t="str">
        <f t="shared" si="4"/>
        <v>283 Zorrillo</v>
      </c>
      <c r="M284" s="10" t="s">
        <v>46</v>
      </c>
      <c r="N284" s="10" t="s">
        <v>36</v>
      </c>
      <c r="O284" s="10" t="s">
        <v>47</v>
      </c>
      <c r="P284" s="10" t="s">
        <v>877</v>
      </c>
      <c r="Q284" s="13"/>
      <c r="R284" s="13"/>
      <c r="S284" s="13"/>
      <c r="T284" s="13"/>
      <c r="U284" s="13"/>
      <c r="V284" s="13"/>
      <c r="W284" s="16"/>
      <c r="X284" s="13"/>
    </row>
    <row r="285" ht="14.25" customHeight="1">
      <c r="A285" s="10" t="s">
        <v>754</v>
      </c>
      <c r="B285" s="10" t="s">
        <v>31</v>
      </c>
      <c r="C285" s="10">
        <v>284.0</v>
      </c>
      <c r="D285" s="11" t="s">
        <v>878</v>
      </c>
      <c r="E285" s="11" t="s">
        <v>876</v>
      </c>
      <c r="F285" s="11" t="s">
        <v>103</v>
      </c>
      <c r="G285" s="10">
        <v>284.0</v>
      </c>
      <c r="H285" s="10">
        <f>VLOOKUP(F285,'Generos y Familia'!$A$1:$C$623,2,FALSE)</f>
        <v>89</v>
      </c>
      <c r="I285" s="12" t="str">
        <f t="shared" si="1"/>
        <v>Cestrum schlechtendalii</v>
      </c>
      <c r="J285" s="10" t="str">
        <f t="shared" si="2"/>
        <v>284 Cestrum schlechtendalii</v>
      </c>
      <c r="K285" s="10" t="str">
        <f t="shared" si="3"/>
        <v>Zorrillo</v>
      </c>
      <c r="L285" s="10" t="str">
        <f t="shared" si="4"/>
        <v>284 Zorrillo</v>
      </c>
      <c r="M285" s="10" t="s">
        <v>46</v>
      </c>
      <c r="N285" s="10" t="s">
        <v>36</v>
      </c>
      <c r="O285" s="10" t="s">
        <v>47</v>
      </c>
      <c r="P285" s="10" t="s">
        <v>874</v>
      </c>
      <c r="Q285" s="13"/>
      <c r="R285" s="13"/>
      <c r="S285" s="13"/>
      <c r="T285" s="13"/>
      <c r="U285" s="13"/>
      <c r="V285" s="13"/>
      <c r="W285" s="16"/>
      <c r="X285" s="13"/>
    </row>
    <row r="286" ht="14.25" customHeight="1">
      <c r="A286" s="10" t="s">
        <v>754</v>
      </c>
      <c r="B286" s="10" t="s">
        <v>31</v>
      </c>
      <c r="C286" s="10">
        <v>285.0</v>
      </c>
      <c r="D286" s="11" t="s">
        <v>879</v>
      </c>
      <c r="E286" s="11" t="s">
        <v>880</v>
      </c>
      <c r="F286" s="11" t="s">
        <v>103</v>
      </c>
      <c r="G286" s="10">
        <v>285.0</v>
      </c>
      <c r="H286" s="10">
        <f>VLOOKUP(F286,'Generos y Familia'!$A$1:$C$623,2,FALSE)</f>
        <v>89</v>
      </c>
      <c r="I286" s="12" t="str">
        <f t="shared" si="1"/>
        <v>Cestrum sp</v>
      </c>
      <c r="J286" s="10" t="str">
        <f t="shared" si="2"/>
        <v>285 Cestrum sp</v>
      </c>
      <c r="K286" s="10" t="str">
        <f t="shared" si="3"/>
        <v>Duraznillo Negro; Cestrum Verde; Palqui (A otra sp de genero)</v>
      </c>
      <c r="L286" s="10" t="str">
        <f t="shared" si="4"/>
        <v>285 Duraznillo Negro; Cestrum Verde; Palqui (A otra sp de genero)</v>
      </c>
      <c r="M286" s="10" t="s">
        <v>46</v>
      </c>
      <c r="N286" s="10" t="s">
        <v>36</v>
      </c>
      <c r="O286" s="10" t="s">
        <v>47</v>
      </c>
      <c r="P286" s="10" t="s">
        <v>874</v>
      </c>
      <c r="Q286" s="13"/>
      <c r="R286" s="13"/>
      <c r="S286" s="13"/>
      <c r="T286" s="13"/>
      <c r="U286" s="13"/>
      <c r="V286" s="13"/>
      <c r="W286" s="13"/>
      <c r="X286" s="13"/>
    </row>
    <row r="287" ht="14.25" customHeight="1">
      <c r="A287" s="10" t="s">
        <v>754</v>
      </c>
      <c r="B287" s="10" t="s">
        <v>31</v>
      </c>
      <c r="C287" s="10">
        <v>286.0</v>
      </c>
      <c r="D287" s="11" t="s">
        <v>881</v>
      </c>
      <c r="E287" s="11" t="s">
        <v>882</v>
      </c>
      <c r="F287" s="11" t="s">
        <v>673</v>
      </c>
      <c r="G287" s="10">
        <v>286.0</v>
      </c>
      <c r="H287" s="10">
        <f>VLOOKUP(F287,'Generos y Familia'!$A$1:$C$623,2,FALSE)</f>
        <v>45</v>
      </c>
      <c r="I287" s="12" t="str">
        <f t="shared" si="1"/>
        <v>Chamaecyparis pisifera</v>
      </c>
      <c r="J287" s="10" t="str">
        <f t="shared" si="2"/>
        <v>286 Chamaecyparis pisifera</v>
      </c>
      <c r="K287" s="10" t="str">
        <f t="shared" si="3"/>
        <v>Ciprés de Sawara; Ciprés de Hondo</v>
      </c>
      <c r="L287" s="10" t="str">
        <f t="shared" si="4"/>
        <v>286 Ciprés de Sawara; Ciprés de Hondo</v>
      </c>
      <c r="M287" s="10" t="s">
        <v>46</v>
      </c>
      <c r="N287" s="10" t="s">
        <v>36</v>
      </c>
      <c r="O287" s="10" t="s">
        <v>37</v>
      </c>
      <c r="P287" s="10" t="s">
        <v>883</v>
      </c>
      <c r="Q287" s="17" t="s">
        <v>229</v>
      </c>
      <c r="R287" s="14"/>
      <c r="S287" s="17" t="s">
        <v>457</v>
      </c>
      <c r="T287" s="14"/>
      <c r="U287" s="14" t="s">
        <v>40</v>
      </c>
      <c r="V287" s="14"/>
      <c r="W287" s="18"/>
      <c r="X287" s="14" t="s">
        <v>41</v>
      </c>
    </row>
    <row r="288" ht="14.25" customHeight="1">
      <c r="A288" s="10" t="s">
        <v>754</v>
      </c>
      <c r="B288" s="10" t="s">
        <v>31</v>
      </c>
      <c r="C288" s="10">
        <v>287.0</v>
      </c>
      <c r="D288" s="11" t="s">
        <v>884</v>
      </c>
      <c r="E288" s="11" t="s">
        <v>885</v>
      </c>
      <c r="F288" s="11" t="s">
        <v>116</v>
      </c>
      <c r="G288" s="10">
        <v>287.0</v>
      </c>
      <c r="H288" s="10">
        <f>VLOOKUP(F288,'Generos y Familia'!$A$1:$C$623,2,FALSE)</f>
        <v>14</v>
      </c>
      <c r="I288" s="12" t="str">
        <f t="shared" si="1"/>
        <v>Chamaedorea linearis</v>
      </c>
      <c r="J288" s="10" t="str">
        <f t="shared" si="2"/>
        <v>287 Chamaedorea linearis</v>
      </c>
      <c r="K288" s="10" t="str">
        <f t="shared" si="3"/>
        <v>Palma Caña de San Pablo; Caña de Víbora</v>
      </c>
      <c r="L288" s="10" t="str">
        <f t="shared" si="4"/>
        <v>287 Palma Caña de San Pablo; Caña de Víbora</v>
      </c>
      <c r="M288" s="10" t="s">
        <v>35</v>
      </c>
      <c r="N288" s="10" t="s">
        <v>36</v>
      </c>
      <c r="O288" s="10" t="s">
        <v>117</v>
      </c>
      <c r="P288" s="10" t="s">
        <v>886</v>
      </c>
      <c r="Q288" s="17" t="s">
        <v>153</v>
      </c>
      <c r="R288" s="14" t="s">
        <v>39</v>
      </c>
      <c r="S288" s="17" t="s">
        <v>421</v>
      </c>
      <c r="T288" s="14" t="s">
        <v>39</v>
      </c>
      <c r="U288" s="14" t="s">
        <v>55</v>
      </c>
      <c r="V288" s="14"/>
      <c r="W288" s="17"/>
      <c r="X288" s="14"/>
    </row>
    <row r="289" ht="14.25" customHeight="1">
      <c r="A289" s="10" t="s">
        <v>754</v>
      </c>
      <c r="B289" s="10" t="s">
        <v>31</v>
      </c>
      <c r="C289" s="10">
        <v>288.0</v>
      </c>
      <c r="D289" s="11" t="s">
        <v>887</v>
      </c>
      <c r="E289" s="11" t="s">
        <v>888</v>
      </c>
      <c r="F289" s="11" t="s">
        <v>116</v>
      </c>
      <c r="G289" s="10">
        <v>288.0</v>
      </c>
      <c r="H289" s="10">
        <f>VLOOKUP(F289,'Generos y Familia'!$A$1:$C$623,2,FALSE)</f>
        <v>14</v>
      </c>
      <c r="I289" s="12" t="str">
        <f t="shared" si="1"/>
        <v>Chamaedorea metallica</v>
      </c>
      <c r="J289" s="10" t="str">
        <f t="shared" si="2"/>
        <v>288 Chamaedorea metallica</v>
      </c>
      <c r="K289" s="10" t="str">
        <f t="shared" si="3"/>
        <v>Palma Metálica</v>
      </c>
      <c r="L289" s="10" t="str">
        <f t="shared" si="4"/>
        <v>288 Palma Metálica</v>
      </c>
      <c r="M289" s="10" t="s">
        <v>46</v>
      </c>
      <c r="N289" s="10" t="s">
        <v>36</v>
      </c>
      <c r="O289" s="10" t="s">
        <v>117</v>
      </c>
      <c r="P289" s="10" t="s">
        <v>886</v>
      </c>
      <c r="Q289" s="13"/>
      <c r="R289" s="13"/>
      <c r="S289" s="13"/>
      <c r="T289" s="13"/>
      <c r="U289" s="13"/>
      <c r="V289" s="13"/>
      <c r="W289" s="13"/>
      <c r="X289" s="13"/>
    </row>
    <row r="290" ht="14.25" customHeight="1">
      <c r="A290" s="10" t="s">
        <v>754</v>
      </c>
      <c r="B290" s="10" t="s">
        <v>31</v>
      </c>
      <c r="C290" s="10">
        <v>289.0</v>
      </c>
      <c r="D290" s="11" t="s">
        <v>889</v>
      </c>
      <c r="E290" s="11" t="s">
        <v>890</v>
      </c>
      <c r="F290" s="11" t="s">
        <v>116</v>
      </c>
      <c r="G290" s="10">
        <v>289.0</v>
      </c>
      <c r="H290" s="10">
        <f>VLOOKUP(F290,'Generos y Familia'!$A$1:$C$623,2,FALSE)</f>
        <v>14</v>
      </c>
      <c r="I290" s="12" t="str">
        <f t="shared" si="1"/>
        <v>Chamaedorea pinnatifrons</v>
      </c>
      <c r="J290" s="10" t="str">
        <f t="shared" si="2"/>
        <v>289 Chamaedorea pinnatifrons</v>
      </c>
      <c r="K290" s="10" t="str">
        <f t="shared" si="3"/>
        <v>Palma Molinillo</v>
      </c>
      <c r="L290" s="10" t="str">
        <f t="shared" si="4"/>
        <v>289 Palma Molinillo</v>
      </c>
      <c r="M290" s="10" t="s">
        <v>35</v>
      </c>
      <c r="N290" s="10" t="s">
        <v>36</v>
      </c>
      <c r="O290" s="10" t="s">
        <v>117</v>
      </c>
      <c r="P290" s="10" t="s">
        <v>886</v>
      </c>
      <c r="Q290" s="13">
        <v>3.0</v>
      </c>
      <c r="R290" s="13" t="s">
        <v>53</v>
      </c>
      <c r="S290" s="13"/>
      <c r="T290" s="13"/>
      <c r="U290" s="13" t="s">
        <v>40</v>
      </c>
      <c r="V290" s="13"/>
      <c r="W290" s="16"/>
      <c r="X290" s="13"/>
    </row>
    <row r="291" ht="14.25" customHeight="1">
      <c r="A291" s="10" t="s">
        <v>754</v>
      </c>
      <c r="B291" s="10" t="s">
        <v>31</v>
      </c>
      <c r="C291" s="10">
        <v>290.0</v>
      </c>
      <c r="D291" s="11" t="s">
        <v>891</v>
      </c>
      <c r="E291" s="11" t="s">
        <v>892</v>
      </c>
      <c r="F291" s="11" t="s">
        <v>116</v>
      </c>
      <c r="G291" s="10">
        <v>290.0</v>
      </c>
      <c r="H291" s="10">
        <f>VLOOKUP(F291,'Generos y Familia'!$A$1:$C$623,2,FALSE)</f>
        <v>14</v>
      </c>
      <c r="I291" s="12" t="str">
        <f t="shared" si="1"/>
        <v>Chamaedorea seifrizii</v>
      </c>
      <c r="J291" s="10" t="str">
        <f t="shared" si="2"/>
        <v>290 Chamaedorea seifrizii</v>
      </c>
      <c r="K291" s="10" t="str">
        <f t="shared" si="3"/>
        <v>Palma Bambú; Palma de Miami; Camedorea</v>
      </c>
      <c r="L291" s="10" t="str">
        <f t="shared" si="4"/>
        <v>290 Palma Bambú; Palma de Miami; Camedorea</v>
      </c>
      <c r="M291" s="10" t="s">
        <v>46</v>
      </c>
      <c r="N291" s="10" t="s">
        <v>36</v>
      </c>
      <c r="O291" s="10" t="s">
        <v>117</v>
      </c>
      <c r="P291" s="10" t="s">
        <v>886</v>
      </c>
      <c r="Q291" s="13">
        <v>3.0</v>
      </c>
      <c r="R291" s="13" t="s">
        <v>39</v>
      </c>
      <c r="S291" s="13">
        <v>2.0</v>
      </c>
      <c r="T291" s="13" t="s">
        <v>39</v>
      </c>
      <c r="U291" s="13" t="s">
        <v>55</v>
      </c>
      <c r="V291" s="13"/>
      <c r="W291" s="13"/>
      <c r="X291" s="13"/>
    </row>
    <row r="292" ht="14.25" customHeight="1">
      <c r="A292" s="10" t="s">
        <v>754</v>
      </c>
      <c r="B292" s="10" t="s">
        <v>31</v>
      </c>
      <c r="C292" s="10">
        <v>291.0</v>
      </c>
      <c r="D292" s="11" t="s">
        <v>893</v>
      </c>
      <c r="E292" s="11" t="s">
        <v>894</v>
      </c>
      <c r="F292" s="11" t="s">
        <v>116</v>
      </c>
      <c r="G292" s="10">
        <v>291.0</v>
      </c>
      <c r="H292" s="10">
        <f>VLOOKUP(F292,'Generos y Familia'!$A$1:$C$623,2,FALSE)</f>
        <v>14</v>
      </c>
      <c r="I292" s="12" t="str">
        <f t="shared" si="1"/>
        <v>Chamaedorea sp</v>
      </c>
      <c r="J292" s="10" t="str">
        <f t="shared" si="2"/>
        <v>291 Chamaedorea sp</v>
      </c>
      <c r="K292" s="10" t="str">
        <f t="shared" si="3"/>
        <v>Hoja de Pacaya</v>
      </c>
      <c r="L292" s="10" t="str">
        <f t="shared" si="4"/>
        <v>291 Hoja de Pacaya</v>
      </c>
      <c r="M292" s="10" t="s">
        <v>46</v>
      </c>
      <c r="N292" s="10" t="s">
        <v>36</v>
      </c>
      <c r="O292" s="10" t="s">
        <v>117</v>
      </c>
      <c r="P292" s="10" t="s">
        <v>886</v>
      </c>
      <c r="Q292" s="13"/>
      <c r="R292" s="13"/>
      <c r="S292" s="13"/>
      <c r="T292" s="13"/>
      <c r="U292" s="13"/>
      <c r="V292" s="13"/>
      <c r="W292" s="16"/>
      <c r="X292" s="13"/>
    </row>
    <row r="293" ht="14.25" customHeight="1">
      <c r="A293" s="10" t="s">
        <v>754</v>
      </c>
      <c r="B293" s="10" t="s">
        <v>31</v>
      </c>
      <c r="C293" s="10">
        <v>292.0</v>
      </c>
      <c r="D293" s="11" t="s">
        <v>895</v>
      </c>
      <c r="E293" s="11" t="s">
        <v>896</v>
      </c>
      <c r="F293" s="11" t="s">
        <v>116</v>
      </c>
      <c r="G293" s="10">
        <v>292.0</v>
      </c>
      <c r="H293" s="10">
        <f>VLOOKUP(F293,'Generos y Familia'!$A$1:$C$623,2,FALSE)</f>
        <v>14</v>
      </c>
      <c r="I293" s="12" t="str">
        <f t="shared" si="1"/>
        <v>Chamaedorea tepejilote</v>
      </c>
      <c r="J293" s="10" t="str">
        <f t="shared" si="2"/>
        <v>292 Chamaedorea tepejilote</v>
      </c>
      <c r="K293" s="10" t="str">
        <f t="shared" si="3"/>
        <v>Pacaya</v>
      </c>
      <c r="L293" s="10" t="str">
        <f t="shared" si="4"/>
        <v>292 Pacaya</v>
      </c>
      <c r="M293" s="10" t="s">
        <v>46</v>
      </c>
      <c r="N293" s="10" t="s">
        <v>36</v>
      </c>
      <c r="O293" s="10" t="s">
        <v>117</v>
      </c>
      <c r="P293" s="10" t="s">
        <v>886</v>
      </c>
      <c r="Q293" s="13">
        <v>6.0</v>
      </c>
      <c r="R293" s="13" t="s">
        <v>53</v>
      </c>
      <c r="S293" s="13"/>
      <c r="T293" s="13"/>
      <c r="U293" s="13" t="s">
        <v>55</v>
      </c>
      <c r="V293" s="13"/>
      <c r="W293" s="13"/>
      <c r="X293" s="13"/>
    </row>
    <row r="294" ht="14.25" customHeight="1">
      <c r="A294" s="10" t="s">
        <v>754</v>
      </c>
      <c r="B294" s="10" t="s">
        <v>31</v>
      </c>
      <c r="C294" s="10">
        <v>293.0</v>
      </c>
      <c r="D294" s="11" t="s">
        <v>897</v>
      </c>
      <c r="E294" s="11" t="s">
        <v>898</v>
      </c>
      <c r="F294" s="11" t="s">
        <v>116</v>
      </c>
      <c r="G294" s="10">
        <v>293.0</v>
      </c>
      <c r="H294" s="10">
        <f>VLOOKUP(F294,'Generos y Familia'!$A$1:$C$623,2,FALSE)</f>
        <v>14</v>
      </c>
      <c r="I294" s="12" t="str">
        <f t="shared" si="1"/>
        <v>Chambeyronia macrocarpa</v>
      </c>
      <c r="J294" s="10" t="str">
        <f t="shared" si="2"/>
        <v>293 Chambeyronia macrocarpa</v>
      </c>
      <c r="K294" s="10" t="str">
        <f t="shared" si="3"/>
        <v>Palma de Hoja Roja</v>
      </c>
      <c r="L294" s="10" t="str">
        <f t="shared" si="4"/>
        <v>293 Palma de Hoja Roja</v>
      </c>
      <c r="M294" s="10" t="s">
        <v>46</v>
      </c>
      <c r="N294" s="10" t="s">
        <v>28</v>
      </c>
      <c r="O294" s="10" t="s">
        <v>117</v>
      </c>
      <c r="P294" s="10" t="s">
        <v>899</v>
      </c>
      <c r="Q294" s="13"/>
      <c r="R294" s="13"/>
      <c r="S294" s="13"/>
      <c r="T294" s="13"/>
      <c r="U294" s="13"/>
      <c r="V294" s="13"/>
      <c r="W294" s="16"/>
      <c r="X294" s="13"/>
    </row>
    <row r="295" ht="14.25" customHeight="1">
      <c r="A295" s="10" t="s">
        <v>754</v>
      </c>
      <c r="B295" s="10" t="s">
        <v>31</v>
      </c>
      <c r="C295" s="10">
        <v>294.0</v>
      </c>
      <c r="D295" s="11" t="s">
        <v>900</v>
      </c>
      <c r="E295" s="11" t="s">
        <v>901</v>
      </c>
      <c r="F295" s="11" t="s">
        <v>116</v>
      </c>
      <c r="G295" s="10">
        <v>294.0</v>
      </c>
      <c r="H295" s="10">
        <f>VLOOKUP(F295,'Generos y Familia'!$A$1:$C$623,2,FALSE)</f>
        <v>14</v>
      </c>
      <c r="I295" s="12" t="str">
        <f t="shared" si="1"/>
        <v>Chelyocarpus dianeurus</v>
      </c>
      <c r="J295" s="10" t="str">
        <f t="shared" si="2"/>
        <v>294 Chelyocarpus dianeurus</v>
      </c>
      <c r="K295" s="10" t="str">
        <f t="shared" si="3"/>
        <v>Noli</v>
      </c>
      <c r="L295" s="10" t="str">
        <f t="shared" si="4"/>
        <v>294 Noli</v>
      </c>
      <c r="M295" s="10" t="s">
        <v>797</v>
      </c>
      <c r="N295" s="10" t="s">
        <v>36</v>
      </c>
      <c r="O295" s="10" t="s">
        <v>117</v>
      </c>
      <c r="P295" s="10" t="s">
        <v>902</v>
      </c>
      <c r="Q295" s="13">
        <v>6.0</v>
      </c>
      <c r="R295" s="13" t="s">
        <v>53</v>
      </c>
      <c r="S295" s="13"/>
      <c r="T295" s="13"/>
      <c r="U295" s="13" t="s">
        <v>40</v>
      </c>
      <c r="V295" s="13"/>
      <c r="W295" s="13"/>
      <c r="X295" s="13"/>
    </row>
    <row r="296" ht="14.25" customHeight="1">
      <c r="A296" s="10" t="s">
        <v>754</v>
      </c>
      <c r="B296" s="10" t="s">
        <v>63</v>
      </c>
      <c r="C296" s="10">
        <v>295.0</v>
      </c>
      <c r="D296" s="11" t="s">
        <v>903</v>
      </c>
      <c r="E296" s="11" t="s">
        <v>904</v>
      </c>
      <c r="F296" s="11" t="s">
        <v>310</v>
      </c>
      <c r="G296" s="10">
        <v>295.0</v>
      </c>
      <c r="H296" s="10">
        <f>VLOOKUP(F296,'Generos y Familia'!$A$1:$C$623,2,FALSE)</f>
        <v>79</v>
      </c>
      <c r="I296" s="12" t="str">
        <f t="shared" si="1"/>
        <v>Cinchona sp</v>
      </c>
      <c r="J296" s="10" t="str">
        <f t="shared" si="2"/>
        <v>295 Cinchona sp</v>
      </c>
      <c r="K296" s="10" t="str">
        <f t="shared" si="3"/>
        <v>Quina</v>
      </c>
      <c r="L296" s="10" t="str">
        <f t="shared" si="4"/>
        <v>295 Quina</v>
      </c>
      <c r="M296" s="10" t="s">
        <v>35</v>
      </c>
      <c r="N296" s="10" t="s">
        <v>28</v>
      </c>
      <c r="O296" s="10" t="s">
        <v>37</v>
      </c>
      <c r="P296" s="10" t="s">
        <v>905</v>
      </c>
      <c r="Q296" s="13"/>
      <c r="R296" s="13"/>
      <c r="S296" s="13"/>
      <c r="T296" s="13"/>
      <c r="U296" s="13"/>
      <c r="V296" s="13"/>
      <c r="W296" s="13"/>
      <c r="X296" s="13"/>
    </row>
    <row r="297" ht="14.25" customHeight="1">
      <c r="A297" s="10" t="s">
        <v>754</v>
      </c>
      <c r="B297" s="10" t="s">
        <v>31</v>
      </c>
      <c r="C297" s="10">
        <v>296.0</v>
      </c>
      <c r="D297" s="11" t="s">
        <v>906</v>
      </c>
      <c r="E297" s="11" t="s">
        <v>907</v>
      </c>
      <c r="F297" s="11" t="s">
        <v>34</v>
      </c>
      <c r="G297" s="10">
        <v>296.0</v>
      </c>
      <c r="H297" s="10">
        <f>VLOOKUP(F297,'Generos y Familia'!$A$1:$C$623,2,FALSE)</f>
        <v>27</v>
      </c>
      <c r="I297" s="12" t="str">
        <f t="shared" si="1"/>
        <v>Chloroleucon tortum</v>
      </c>
      <c r="J297" s="10" t="str">
        <f t="shared" si="2"/>
        <v>296 Chloroleucon tortum</v>
      </c>
      <c r="K297" s="10" t="str">
        <f t="shared" si="3"/>
        <v>Jacaré; Yacarí; Parasiempre</v>
      </c>
      <c r="L297" s="10" t="str">
        <f t="shared" si="4"/>
        <v>296 Jacaré; Yacarí; Parasiempre</v>
      </c>
      <c r="M297" s="10" t="s">
        <v>46</v>
      </c>
      <c r="N297" s="10" t="s">
        <v>36</v>
      </c>
      <c r="O297" s="10" t="s">
        <v>37</v>
      </c>
      <c r="P297" s="10" t="s">
        <v>908</v>
      </c>
      <c r="Q297" s="13">
        <v>18.0</v>
      </c>
      <c r="R297" s="13" t="s">
        <v>39</v>
      </c>
      <c r="S297" s="13">
        <v>80.0</v>
      </c>
      <c r="T297" s="13" t="s">
        <v>39</v>
      </c>
      <c r="U297" s="13" t="s">
        <v>40</v>
      </c>
      <c r="V297" s="13"/>
      <c r="W297" s="16"/>
      <c r="X297" s="13"/>
    </row>
    <row r="298" ht="14.25" customHeight="1">
      <c r="A298" s="10" t="s">
        <v>754</v>
      </c>
      <c r="B298" s="10" t="s">
        <v>31</v>
      </c>
      <c r="C298" s="10">
        <v>297.0</v>
      </c>
      <c r="D298" s="11" t="s">
        <v>909</v>
      </c>
      <c r="E298" s="11" t="s">
        <v>910</v>
      </c>
      <c r="F298" s="11" t="s">
        <v>362</v>
      </c>
      <c r="G298" s="10">
        <v>297.0</v>
      </c>
      <c r="H298" s="10">
        <f>VLOOKUP(F298,'Generos y Familia'!$A$1:$C$623,2,FALSE)</f>
        <v>17</v>
      </c>
      <c r="I298" s="12" t="str">
        <f t="shared" si="1"/>
        <v>Chromolaena odorata</v>
      </c>
      <c r="J298" s="10" t="str">
        <f t="shared" si="2"/>
        <v>297 Chromolaena odorata</v>
      </c>
      <c r="K298" s="10" t="str">
        <f t="shared" si="3"/>
        <v>Albahaquilla</v>
      </c>
      <c r="L298" s="10" t="str">
        <f t="shared" si="4"/>
        <v>297 Albahaquilla</v>
      </c>
      <c r="M298" s="10" t="s">
        <v>35</v>
      </c>
      <c r="N298" s="10" t="s">
        <v>36</v>
      </c>
      <c r="O298" s="10" t="s">
        <v>47</v>
      </c>
      <c r="P298" s="10" t="s">
        <v>911</v>
      </c>
      <c r="Q298" s="13"/>
      <c r="R298" s="13"/>
      <c r="S298" s="13"/>
      <c r="T298" s="13"/>
      <c r="U298" s="13"/>
      <c r="V298" s="13"/>
      <c r="W298" s="13"/>
      <c r="X298" s="13"/>
    </row>
    <row r="299" ht="14.25" customHeight="1">
      <c r="A299" s="10" t="s">
        <v>754</v>
      </c>
      <c r="B299" s="10" t="s">
        <v>31</v>
      </c>
      <c r="C299" s="10">
        <v>298.0</v>
      </c>
      <c r="D299" s="11" t="s">
        <v>912</v>
      </c>
      <c r="E299" s="11" t="s">
        <v>913</v>
      </c>
      <c r="F299" s="11" t="s">
        <v>914</v>
      </c>
      <c r="G299" s="10">
        <v>298.0</v>
      </c>
      <c r="H299" s="10">
        <f>VLOOKUP(F299,'Generos y Familia'!$A$1:$C$623,2,FALSE)</f>
        <v>35</v>
      </c>
      <c r="I299" s="12" t="str">
        <f t="shared" si="1"/>
        <v>Chrysobalanus icaco</v>
      </c>
      <c r="J299" s="10" t="str">
        <f t="shared" si="2"/>
        <v>298 Chrysobalanus icaco</v>
      </c>
      <c r="K299" s="10" t="str">
        <f t="shared" si="3"/>
        <v>Icaco</v>
      </c>
      <c r="L299" s="10" t="str">
        <f t="shared" si="4"/>
        <v>298 Icaco</v>
      </c>
      <c r="M299" s="10" t="s">
        <v>35</v>
      </c>
      <c r="N299" s="10" t="s">
        <v>36</v>
      </c>
      <c r="O299" s="10" t="s">
        <v>47</v>
      </c>
      <c r="P299" s="10" t="s">
        <v>915</v>
      </c>
      <c r="Q299" s="13">
        <v>5.0</v>
      </c>
      <c r="R299" s="13" t="s">
        <v>53</v>
      </c>
      <c r="S299" s="13"/>
      <c r="T299" s="13"/>
      <c r="U299" s="13" t="s">
        <v>73</v>
      </c>
      <c r="V299" s="13"/>
      <c r="W299" s="13"/>
      <c r="X299" s="13"/>
    </row>
    <row r="300" ht="14.25" customHeight="1">
      <c r="A300" s="10" t="s">
        <v>754</v>
      </c>
      <c r="B300" s="10" t="s">
        <v>31</v>
      </c>
      <c r="C300" s="10">
        <v>299.0</v>
      </c>
      <c r="D300" s="11" t="s">
        <v>916</v>
      </c>
      <c r="E300" s="11" t="s">
        <v>917</v>
      </c>
      <c r="F300" s="11" t="s">
        <v>918</v>
      </c>
      <c r="G300" s="10">
        <v>299.0</v>
      </c>
      <c r="H300" s="10">
        <f>VLOOKUP(F300,'Generos y Familia'!$A$1:$C$623,2,FALSE)</f>
        <v>85</v>
      </c>
      <c r="I300" s="12" t="str">
        <f t="shared" si="1"/>
        <v>Chrysophyllum argenteum</v>
      </c>
      <c r="J300" s="10" t="str">
        <f t="shared" si="2"/>
        <v>299 Chrysophyllum argenteum</v>
      </c>
      <c r="K300" s="10" t="str">
        <f t="shared" si="3"/>
        <v>Cainito</v>
      </c>
      <c r="L300" s="10" t="str">
        <f t="shared" si="4"/>
        <v>299 Cainito</v>
      </c>
      <c r="M300" s="10" t="s">
        <v>35</v>
      </c>
      <c r="N300" s="10" t="s">
        <v>36</v>
      </c>
      <c r="O300" s="10" t="s">
        <v>37</v>
      </c>
      <c r="P300" s="10" t="s">
        <v>919</v>
      </c>
      <c r="Q300" s="13">
        <v>25.0</v>
      </c>
      <c r="R300" s="13" t="s">
        <v>53</v>
      </c>
      <c r="S300" s="13"/>
      <c r="T300" s="13"/>
      <c r="U300" s="13" t="s">
        <v>40</v>
      </c>
      <c r="V300" s="13"/>
      <c r="W300" s="13"/>
      <c r="X300" s="13"/>
    </row>
    <row r="301" ht="14.25" customHeight="1">
      <c r="A301" s="10" t="s">
        <v>754</v>
      </c>
      <c r="B301" s="10" t="s">
        <v>31</v>
      </c>
      <c r="C301" s="10">
        <v>300.0</v>
      </c>
      <c r="D301" s="11" t="s">
        <v>920</v>
      </c>
      <c r="E301" s="11" t="s">
        <v>921</v>
      </c>
      <c r="F301" s="11" t="s">
        <v>918</v>
      </c>
      <c r="G301" s="10">
        <v>300.0</v>
      </c>
      <c r="H301" s="10">
        <f>VLOOKUP(F301,'Generos y Familia'!$A$1:$C$623,2,FALSE)</f>
        <v>85</v>
      </c>
      <c r="I301" s="12" t="str">
        <f t="shared" si="1"/>
        <v>Chrysophyllum cainito</v>
      </c>
      <c r="J301" s="10" t="str">
        <f t="shared" si="2"/>
        <v>300 Chrysophyllum cainito</v>
      </c>
      <c r="K301" s="10" t="str">
        <f t="shared" si="3"/>
        <v>Caimito; Caimo Morado</v>
      </c>
      <c r="L301" s="10" t="str">
        <f t="shared" si="4"/>
        <v>300 Caimito; Caimo Morado</v>
      </c>
      <c r="M301" s="10" t="s">
        <v>35</v>
      </c>
      <c r="N301" s="10" t="s">
        <v>36</v>
      </c>
      <c r="O301" s="10" t="s">
        <v>37</v>
      </c>
      <c r="P301" s="10" t="s">
        <v>919</v>
      </c>
      <c r="Q301" s="17" t="s">
        <v>54</v>
      </c>
      <c r="R301" s="14" t="s">
        <v>39</v>
      </c>
      <c r="S301" s="17" t="s">
        <v>70</v>
      </c>
      <c r="T301" s="14" t="s">
        <v>39</v>
      </c>
      <c r="U301" s="14" t="s">
        <v>40</v>
      </c>
      <c r="V301" s="14">
        <v>0.7</v>
      </c>
      <c r="W301" s="18"/>
      <c r="X301" s="14"/>
    </row>
    <row r="302" ht="14.25" customHeight="1">
      <c r="A302" s="10" t="s">
        <v>754</v>
      </c>
      <c r="B302" s="10" t="s">
        <v>31</v>
      </c>
      <c r="C302" s="10">
        <v>301.0</v>
      </c>
      <c r="D302" s="11" t="s">
        <v>922</v>
      </c>
      <c r="E302" s="11" t="s">
        <v>923</v>
      </c>
      <c r="F302" s="11" t="s">
        <v>158</v>
      </c>
      <c r="G302" s="10">
        <v>301.0</v>
      </c>
      <c r="H302" s="10">
        <f>VLOOKUP(F302,'Generos y Familia'!$A$1:$C$623,2,FALSE)</f>
        <v>35</v>
      </c>
      <c r="I302" s="12" t="str">
        <f t="shared" si="1"/>
        <v>Cinnamomum triplinerve</v>
      </c>
      <c r="J302" s="10" t="str">
        <f t="shared" si="2"/>
        <v>301 Cinnamomum triplinerve</v>
      </c>
      <c r="K302" s="10" t="str">
        <f t="shared" si="3"/>
        <v>Laurel; Aguacatillo</v>
      </c>
      <c r="L302" s="10" t="str">
        <f t="shared" si="4"/>
        <v>301 Laurel; Aguacatillo</v>
      </c>
      <c r="M302" s="10" t="s">
        <v>35</v>
      </c>
      <c r="N302" s="10" t="s">
        <v>36</v>
      </c>
      <c r="O302" s="10" t="s">
        <v>37</v>
      </c>
      <c r="P302" s="10" t="s">
        <v>924</v>
      </c>
      <c r="Q302" s="17" t="s">
        <v>229</v>
      </c>
      <c r="R302" s="14" t="s">
        <v>39</v>
      </c>
      <c r="S302" s="17" t="s">
        <v>442</v>
      </c>
      <c r="T302" s="14" t="s">
        <v>417</v>
      </c>
      <c r="U302" s="14" t="s">
        <v>40</v>
      </c>
      <c r="V302" s="14"/>
      <c r="W302" s="18"/>
      <c r="X302" s="14"/>
    </row>
    <row r="303" ht="14.25" customHeight="1">
      <c r="A303" s="10" t="s">
        <v>754</v>
      </c>
      <c r="B303" s="10" t="s">
        <v>31</v>
      </c>
      <c r="C303" s="10">
        <v>302.0</v>
      </c>
      <c r="D303" s="11" t="s">
        <v>925</v>
      </c>
      <c r="E303" s="11" t="s">
        <v>926</v>
      </c>
      <c r="F303" s="11" t="s">
        <v>158</v>
      </c>
      <c r="G303" s="10">
        <v>302.0</v>
      </c>
      <c r="H303" s="10">
        <f>VLOOKUP(F303,'Generos y Familia'!$A$1:$C$623,2,FALSE)</f>
        <v>35</v>
      </c>
      <c r="I303" s="12" t="str">
        <f t="shared" si="1"/>
        <v>Cinnamomum zeylanicum</v>
      </c>
      <c r="J303" s="10" t="str">
        <f t="shared" si="2"/>
        <v>302 Cinnamomum zeylanicum</v>
      </c>
      <c r="K303" s="10" t="str">
        <f t="shared" si="3"/>
        <v>Canelo</v>
      </c>
      <c r="L303" s="10" t="str">
        <f t="shared" si="4"/>
        <v>302 Canelo</v>
      </c>
      <c r="M303" s="10" t="s">
        <v>46</v>
      </c>
      <c r="N303" s="10" t="s">
        <v>36</v>
      </c>
      <c r="O303" s="10" t="s">
        <v>37</v>
      </c>
      <c r="P303" s="10" t="s">
        <v>924</v>
      </c>
      <c r="Q303" s="17" t="s">
        <v>229</v>
      </c>
      <c r="R303" s="14" t="s">
        <v>39</v>
      </c>
      <c r="S303" s="17" t="s">
        <v>442</v>
      </c>
      <c r="T303" s="14"/>
      <c r="U303" s="14" t="s">
        <v>40</v>
      </c>
      <c r="V303" s="14"/>
      <c r="W303" s="17"/>
      <c r="X303" s="14"/>
    </row>
    <row r="304" ht="14.25" customHeight="1">
      <c r="A304" s="10" t="s">
        <v>754</v>
      </c>
      <c r="B304" s="10" t="s">
        <v>31</v>
      </c>
      <c r="C304" s="10">
        <v>303.0</v>
      </c>
      <c r="D304" s="11" t="s">
        <v>927</v>
      </c>
      <c r="E304" s="11" t="s">
        <v>928</v>
      </c>
      <c r="F304" s="11" t="s">
        <v>227</v>
      </c>
      <c r="G304" s="10">
        <v>303.0</v>
      </c>
      <c r="H304" s="10">
        <f>VLOOKUP(F304,'Generos y Familia'!$A$1:$C$623,2,FALSE)</f>
        <v>96</v>
      </c>
      <c r="I304" s="12" t="str">
        <f t="shared" si="1"/>
        <v>Citharexylum kunthianum</v>
      </c>
      <c r="J304" s="10" t="str">
        <f t="shared" si="2"/>
        <v>303 Citharexylum kunthianum</v>
      </c>
      <c r="K304" s="10" t="str">
        <f t="shared" si="3"/>
        <v>Pendo; Palo Blanco; Casposo</v>
      </c>
      <c r="L304" s="10" t="str">
        <f t="shared" si="4"/>
        <v>303 Pendo; Palo Blanco; Casposo</v>
      </c>
      <c r="M304" s="10" t="s">
        <v>35</v>
      </c>
      <c r="N304" s="10" t="s">
        <v>36</v>
      </c>
      <c r="O304" s="10" t="s">
        <v>37</v>
      </c>
      <c r="P304" s="10" t="s">
        <v>929</v>
      </c>
      <c r="Q304" s="17" t="s">
        <v>379</v>
      </c>
      <c r="R304" s="14" t="s">
        <v>53</v>
      </c>
      <c r="S304" s="17" t="s">
        <v>229</v>
      </c>
      <c r="T304" s="14"/>
      <c r="U304" s="14" t="s">
        <v>55</v>
      </c>
      <c r="V304" s="14"/>
      <c r="W304" s="18"/>
      <c r="X304" s="14"/>
    </row>
    <row r="305" ht="14.25" customHeight="1">
      <c r="A305" s="10" t="s">
        <v>754</v>
      </c>
      <c r="B305" s="10" t="s">
        <v>31</v>
      </c>
      <c r="C305" s="10">
        <v>304.0</v>
      </c>
      <c r="D305" s="11" t="s">
        <v>930</v>
      </c>
      <c r="E305" s="11" t="s">
        <v>931</v>
      </c>
      <c r="F305" s="11" t="s">
        <v>227</v>
      </c>
      <c r="G305" s="10">
        <v>304.0</v>
      </c>
      <c r="H305" s="10">
        <f>VLOOKUP(F305,'Generos y Familia'!$A$1:$C$623,2,FALSE)</f>
        <v>96</v>
      </c>
      <c r="I305" s="12" t="str">
        <f t="shared" si="1"/>
        <v>Citharexylum montanum</v>
      </c>
      <c r="J305" s="10" t="str">
        <f t="shared" si="2"/>
        <v>304 Citharexylum montanum</v>
      </c>
      <c r="K305" s="10" t="str">
        <f t="shared" si="3"/>
        <v>Cajeto</v>
      </c>
      <c r="L305" s="10" t="str">
        <f t="shared" si="4"/>
        <v>304 Cajeto</v>
      </c>
      <c r="M305" s="10" t="s">
        <v>35</v>
      </c>
      <c r="N305" s="10" t="s">
        <v>36</v>
      </c>
      <c r="O305" s="10" t="s">
        <v>37</v>
      </c>
      <c r="P305" s="10" t="s">
        <v>929</v>
      </c>
      <c r="Q305" s="17" t="s">
        <v>817</v>
      </c>
      <c r="R305" s="14" t="s">
        <v>53</v>
      </c>
      <c r="S305" s="17" t="s">
        <v>229</v>
      </c>
      <c r="T305" s="14"/>
      <c r="U305" s="14" t="s">
        <v>55</v>
      </c>
      <c r="V305" s="14"/>
      <c r="W305" s="17"/>
      <c r="X305" s="14"/>
    </row>
    <row r="306" ht="14.25" customHeight="1">
      <c r="A306" s="10" t="s">
        <v>754</v>
      </c>
      <c r="B306" s="10" t="s">
        <v>31</v>
      </c>
      <c r="C306" s="10">
        <v>305.0</v>
      </c>
      <c r="D306" s="11" t="s">
        <v>932</v>
      </c>
      <c r="E306" s="11" t="s">
        <v>933</v>
      </c>
      <c r="F306" s="11" t="s">
        <v>227</v>
      </c>
      <c r="G306" s="10">
        <v>305.0</v>
      </c>
      <c r="H306" s="10">
        <f>VLOOKUP(F306,'Generos y Familia'!$A$1:$C$623,2,FALSE)</f>
        <v>96</v>
      </c>
      <c r="I306" s="12" t="str">
        <f t="shared" si="1"/>
        <v>Citharexylum sp</v>
      </c>
      <c r="J306" s="10" t="str">
        <f t="shared" si="2"/>
        <v>305 Citharexylum sp</v>
      </c>
      <c r="K306" s="10" t="str">
        <f t="shared" si="3"/>
        <v>Cajeto; Palo de Guitarra</v>
      </c>
      <c r="L306" s="10" t="str">
        <f t="shared" si="4"/>
        <v>305 Cajeto; Palo de Guitarra</v>
      </c>
      <c r="M306" s="10" t="s">
        <v>35</v>
      </c>
      <c r="N306" s="10" t="s">
        <v>36</v>
      </c>
      <c r="O306" s="10" t="s">
        <v>37</v>
      </c>
      <c r="P306" s="10" t="s">
        <v>929</v>
      </c>
      <c r="Q306" s="17" t="s">
        <v>934</v>
      </c>
      <c r="R306" s="14" t="s">
        <v>53</v>
      </c>
      <c r="S306" s="17" t="s">
        <v>229</v>
      </c>
      <c r="T306" s="14"/>
      <c r="U306" s="14" t="s">
        <v>55</v>
      </c>
      <c r="V306" s="14"/>
      <c r="W306" s="17"/>
      <c r="X306" s="14"/>
    </row>
    <row r="307" ht="14.25" customHeight="1">
      <c r="A307" s="10" t="s">
        <v>754</v>
      </c>
      <c r="B307" s="10" t="s">
        <v>31</v>
      </c>
      <c r="C307" s="10">
        <v>306.0</v>
      </c>
      <c r="D307" s="11" t="s">
        <v>935</v>
      </c>
      <c r="E307" s="11" t="s">
        <v>936</v>
      </c>
      <c r="F307" s="11" t="s">
        <v>227</v>
      </c>
      <c r="G307" s="10">
        <v>306.0</v>
      </c>
      <c r="H307" s="10">
        <f>VLOOKUP(F307,'Generos y Familia'!$A$1:$C$623,2,FALSE)</f>
        <v>96</v>
      </c>
      <c r="I307" s="12" t="str">
        <f t="shared" si="1"/>
        <v>Citharexylum subflavescens</v>
      </c>
      <c r="J307" s="10" t="str">
        <f t="shared" si="2"/>
        <v>306 Citharexylum subflavescens</v>
      </c>
      <c r="K307" s="10" t="str">
        <f t="shared" si="3"/>
        <v>Quimula; Cascarillo; Gavilán</v>
      </c>
      <c r="L307" s="10" t="str">
        <f t="shared" si="4"/>
        <v>306 Quimula; Cascarillo; Gavilán</v>
      </c>
      <c r="M307" s="10" t="s">
        <v>35</v>
      </c>
      <c r="N307" s="10" t="s">
        <v>36</v>
      </c>
      <c r="O307" s="10" t="s">
        <v>37</v>
      </c>
      <c r="P307" s="10" t="s">
        <v>929</v>
      </c>
      <c r="Q307" s="17" t="s">
        <v>229</v>
      </c>
      <c r="R307" s="14" t="s">
        <v>53</v>
      </c>
      <c r="S307" s="17" t="s">
        <v>229</v>
      </c>
      <c r="T307" s="14"/>
      <c r="U307" s="14" t="s">
        <v>55</v>
      </c>
      <c r="V307" s="14"/>
      <c r="W307" s="18"/>
      <c r="X307" s="14"/>
    </row>
    <row r="308" ht="14.25" customHeight="1">
      <c r="A308" s="10" t="s">
        <v>754</v>
      </c>
      <c r="B308" s="10" t="s">
        <v>31</v>
      </c>
      <c r="C308" s="10">
        <v>307.0</v>
      </c>
      <c r="D308" s="11" t="s">
        <v>937</v>
      </c>
      <c r="E308" s="11" t="s">
        <v>938</v>
      </c>
      <c r="F308" s="11" t="s">
        <v>769</v>
      </c>
      <c r="G308" s="10">
        <v>307.0</v>
      </c>
      <c r="H308" s="10">
        <f>VLOOKUP(F308,'Generos y Familia'!$A$1:$C$623,2,FALSE)</f>
        <v>80</v>
      </c>
      <c r="I308" s="12" t="str">
        <f t="shared" si="1"/>
        <v>Citrus x microcarpa</v>
      </c>
      <c r="J308" s="10" t="str">
        <f t="shared" si="2"/>
        <v>307 Citrus x microcarpa</v>
      </c>
      <c r="K308" s="10" t="str">
        <f t="shared" si="3"/>
        <v>Calamondina; Planta de Naranjo Es Miniatura</v>
      </c>
      <c r="L308" s="10" t="str">
        <f t="shared" si="4"/>
        <v>307 Calamondina; Planta de Naranjo Es Miniatura</v>
      </c>
      <c r="M308" s="10" t="s">
        <v>46</v>
      </c>
      <c r="N308" s="10" t="s">
        <v>28</v>
      </c>
      <c r="O308" s="10" t="s">
        <v>37</v>
      </c>
      <c r="P308" s="10" t="s">
        <v>939</v>
      </c>
      <c r="Q308" s="13"/>
      <c r="R308" s="13"/>
      <c r="S308" s="13"/>
      <c r="T308" s="13"/>
      <c r="U308" s="13"/>
      <c r="V308" s="13"/>
      <c r="W308" s="13"/>
      <c r="X308" s="13"/>
    </row>
    <row r="309" ht="14.25" customHeight="1">
      <c r="A309" s="10" t="s">
        <v>754</v>
      </c>
      <c r="B309" s="10" t="s">
        <v>63</v>
      </c>
      <c r="C309" s="10">
        <v>308.0</v>
      </c>
      <c r="D309" s="11" t="s">
        <v>940</v>
      </c>
      <c r="E309" s="11" t="s">
        <v>941</v>
      </c>
      <c r="F309" s="11" t="s">
        <v>769</v>
      </c>
      <c r="G309" s="10">
        <v>308.0</v>
      </c>
      <c r="H309" s="10">
        <f>VLOOKUP(F309,'Generos y Familia'!$A$1:$C$623,2,FALSE)</f>
        <v>80</v>
      </c>
      <c r="I309" s="12" t="str">
        <f t="shared" si="1"/>
        <v>Citrus x sinensis</v>
      </c>
      <c r="J309" s="10" t="str">
        <f t="shared" si="2"/>
        <v>308 Citrus x sinensis</v>
      </c>
      <c r="K309" s="10" t="str">
        <f t="shared" si="3"/>
        <v>Naranjo Dulce</v>
      </c>
      <c r="L309" s="10" t="str">
        <f t="shared" si="4"/>
        <v>308 Naranjo Dulce</v>
      </c>
      <c r="M309" s="10" t="s">
        <v>46</v>
      </c>
      <c r="N309" s="10" t="s">
        <v>36</v>
      </c>
      <c r="O309" s="10" t="s">
        <v>37</v>
      </c>
      <c r="P309" s="10" t="s">
        <v>939</v>
      </c>
      <c r="Q309" s="17" t="s">
        <v>379</v>
      </c>
      <c r="R309" s="14" t="s">
        <v>39</v>
      </c>
      <c r="S309" s="17" t="s">
        <v>106</v>
      </c>
      <c r="T309" s="14" t="s">
        <v>39</v>
      </c>
      <c r="U309" s="14" t="s">
        <v>73</v>
      </c>
      <c r="V309" s="14">
        <v>0.78</v>
      </c>
      <c r="W309" s="17"/>
      <c r="X309" s="14"/>
    </row>
    <row r="310" ht="14.25" customHeight="1">
      <c r="A310" s="10" t="s">
        <v>754</v>
      </c>
      <c r="B310" s="10" t="s">
        <v>63</v>
      </c>
      <c r="C310" s="10">
        <v>309.0</v>
      </c>
      <c r="D310" s="11" t="s">
        <v>942</v>
      </c>
      <c r="E310" s="11" t="s">
        <v>943</v>
      </c>
      <c r="F310" s="11" t="s">
        <v>769</v>
      </c>
      <c r="G310" s="10">
        <v>309.0</v>
      </c>
      <c r="H310" s="10">
        <f>VLOOKUP(F310,'Generos y Familia'!$A$1:$C$623,2,FALSE)</f>
        <v>80</v>
      </c>
      <c r="I310" s="12" t="str">
        <f t="shared" si="1"/>
        <v>Citrus x latifolia</v>
      </c>
      <c r="J310" s="10" t="str">
        <f t="shared" si="2"/>
        <v>309 Citrus x latifolia</v>
      </c>
      <c r="K310" s="10" t="str">
        <f t="shared" si="3"/>
        <v>Limon Tahiti</v>
      </c>
      <c r="L310" s="10" t="str">
        <f t="shared" si="4"/>
        <v>309 Limon Tahiti</v>
      </c>
      <c r="M310" s="10" t="s">
        <v>46</v>
      </c>
      <c r="N310" s="10" t="s">
        <v>36</v>
      </c>
      <c r="O310" s="10" t="s">
        <v>37</v>
      </c>
      <c r="P310" s="10" t="s">
        <v>939</v>
      </c>
      <c r="Q310" s="17" t="s">
        <v>379</v>
      </c>
      <c r="R310" s="14" t="s">
        <v>53</v>
      </c>
      <c r="S310" s="17" t="s">
        <v>106</v>
      </c>
      <c r="T310" s="14"/>
      <c r="U310" s="14" t="s">
        <v>40</v>
      </c>
      <c r="V310" s="14">
        <v>0.78</v>
      </c>
      <c r="W310" s="18"/>
      <c r="X310" s="14"/>
    </row>
    <row r="311" ht="14.25" customHeight="1">
      <c r="A311" s="10" t="s">
        <v>754</v>
      </c>
      <c r="B311" s="10" t="s">
        <v>63</v>
      </c>
      <c r="C311" s="10">
        <v>310.0</v>
      </c>
      <c r="D311" s="11" t="s">
        <v>944</v>
      </c>
      <c r="E311" s="11" t="s">
        <v>945</v>
      </c>
      <c r="F311" s="11" t="s">
        <v>769</v>
      </c>
      <c r="G311" s="10">
        <v>310.0</v>
      </c>
      <c r="H311" s="10">
        <f>VLOOKUP(F311,'Generos y Familia'!$A$1:$C$623,2,FALSE)</f>
        <v>80</v>
      </c>
      <c r="I311" s="12" t="str">
        <f t="shared" si="1"/>
        <v>Citrus x limonia</v>
      </c>
      <c r="J311" s="10" t="str">
        <f t="shared" si="2"/>
        <v>310 Citrus x limonia</v>
      </c>
      <c r="K311" s="10" t="str">
        <f t="shared" si="3"/>
        <v>Limon Mandarino</v>
      </c>
      <c r="L311" s="10" t="str">
        <f t="shared" si="4"/>
        <v>310 Limon Mandarino</v>
      </c>
      <c r="M311" s="10" t="s">
        <v>35</v>
      </c>
      <c r="N311" s="10" t="s">
        <v>36</v>
      </c>
      <c r="O311" s="10" t="s">
        <v>37</v>
      </c>
      <c r="P311" s="10" t="s">
        <v>939</v>
      </c>
      <c r="Q311" s="17" t="s">
        <v>379</v>
      </c>
      <c r="R311" s="14" t="s">
        <v>53</v>
      </c>
      <c r="S311" s="17" t="s">
        <v>106</v>
      </c>
      <c r="T311" s="14"/>
      <c r="U311" s="14" t="s">
        <v>40</v>
      </c>
      <c r="V311" s="14">
        <v>0.78</v>
      </c>
      <c r="W311" s="17"/>
      <c r="X311" s="14"/>
    </row>
    <row r="312" ht="14.25" customHeight="1">
      <c r="A312" s="10" t="s">
        <v>754</v>
      </c>
      <c r="B312" s="10" t="s">
        <v>31</v>
      </c>
      <c r="C312" s="10">
        <v>311.0</v>
      </c>
      <c r="D312" s="11" t="s">
        <v>946</v>
      </c>
      <c r="E312" s="11" t="s">
        <v>947</v>
      </c>
      <c r="F312" s="11" t="s">
        <v>769</v>
      </c>
      <c r="G312" s="10">
        <v>311.0</v>
      </c>
      <c r="H312" s="10">
        <f>VLOOKUP(F312,'Generos y Familia'!$A$1:$C$623,2,FALSE)</f>
        <v>80</v>
      </c>
      <c r="I312" s="12" t="str">
        <f t="shared" si="1"/>
        <v>Citrus aurantifolia</v>
      </c>
      <c r="J312" s="10" t="str">
        <f t="shared" si="2"/>
        <v>311 Citrus aurantifolia</v>
      </c>
      <c r="K312" s="10" t="str">
        <f t="shared" si="3"/>
        <v>Limon Criollo</v>
      </c>
      <c r="L312" s="10" t="str">
        <f t="shared" si="4"/>
        <v>311 Limon Criollo</v>
      </c>
      <c r="M312" s="10" t="s">
        <v>46</v>
      </c>
      <c r="N312" s="10" t="s">
        <v>36</v>
      </c>
      <c r="O312" s="10" t="s">
        <v>37</v>
      </c>
      <c r="P312" s="10" t="s">
        <v>939</v>
      </c>
      <c r="Q312" s="17" t="s">
        <v>379</v>
      </c>
      <c r="R312" s="14" t="s">
        <v>53</v>
      </c>
      <c r="S312" s="17" t="s">
        <v>106</v>
      </c>
      <c r="T312" s="14"/>
      <c r="U312" s="14" t="s">
        <v>40</v>
      </c>
      <c r="V312" s="14">
        <v>0.78</v>
      </c>
      <c r="W312" s="17"/>
      <c r="X312" s="14" t="s">
        <v>190</v>
      </c>
    </row>
    <row r="313" ht="14.25" customHeight="1">
      <c r="A313" s="10" t="s">
        <v>754</v>
      </c>
      <c r="B313" s="10" t="s">
        <v>31</v>
      </c>
      <c r="C313" s="10">
        <v>312.0</v>
      </c>
      <c r="D313" s="11" t="s">
        <v>948</v>
      </c>
      <c r="E313" s="11" t="s">
        <v>949</v>
      </c>
      <c r="F313" s="11" t="s">
        <v>769</v>
      </c>
      <c r="G313" s="10">
        <v>312.0</v>
      </c>
      <c r="H313" s="10">
        <f>VLOOKUP(F313,'Generos y Familia'!$A$1:$C$623,2,FALSE)</f>
        <v>80</v>
      </c>
      <c r="I313" s="12" t="str">
        <f t="shared" si="1"/>
        <v>Citrus jambhiri</v>
      </c>
      <c r="J313" s="10" t="str">
        <f t="shared" si="2"/>
        <v>312 Citrus jambhiri</v>
      </c>
      <c r="K313" s="10" t="str">
        <f t="shared" si="3"/>
        <v>Limon de Coctel;Limón Aspero</v>
      </c>
      <c r="L313" s="10" t="str">
        <f t="shared" si="4"/>
        <v>312 Limon de Coctel;Limón Aspero</v>
      </c>
      <c r="M313" s="10" t="s">
        <v>46</v>
      </c>
      <c r="N313" s="10" t="s">
        <v>28</v>
      </c>
      <c r="O313" s="10" t="s">
        <v>37</v>
      </c>
      <c r="P313" s="10" t="s">
        <v>939</v>
      </c>
      <c r="Q313" s="13"/>
      <c r="R313" s="13"/>
      <c r="S313" s="13"/>
      <c r="T313" s="13"/>
      <c r="U313" s="13"/>
      <c r="V313" s="13"/>
      <c r="W313" s="13"/>
      <c r="X313" s="13"/>
    </row>
    <row r="314" ht="14.25" customHeight="1">
      <c r="A314" s="10" t="s">
        <v>754</v>
      </c>
      <c r="B314" s="10" t="s">
        <v>31</v>
      </c>
      <c r="C314" s="10">
        <v>314.0</v>
      </c>
      <c r="D314" s="11" t="s">
        <v>950</v>
      </c>
      <c r="E314" s="11" t="s">
        <v>951</v>
      </c>
      <c r="F314" s="11" t="s">
        <v>769</v>
      </c>
      <c r="G314" s="10">
        <v>314.0</v>
      </c>
      <c r="H314" s="10">
        <f>VLOOKUP(F314,'Generos y Familia'!$A$1:$C$623,2,FALSE)</f>
        <v>80</v>
      </c>
      <c r="I314" s="12" t="str">
        <f t="shared" si="1"/>
        <v>Citrus maxima</v>
      </c>
      <c r="J314" s="10" t="str">
        <f t="shared" si="2"/>
        <v>314 Citrus maxima</v>
      </c>
      <c r="K314" s="10" t="str">
        <f t="shared" si="3"/>
        <v>Pomelo Chino; Toronja; Toronjo; Pomelo; Pamplemusa</v>
      </c>
      <c r="L314" s="10" t="str">
        <f t="shared" si="4"/>
        <v>314 Pomelo Chino; Toronja; Toronjo; Pomelo; Pamplemusa</v>
      </c>
      <c r="M314" s="10" t="s">
        <v>46</v>
      </c>
      <c r="N314" s="10" t="s">
        <v>36</v>
      </c>
      <c r="O314" s="10" t="s">
        <v>37</v>
      </c>
      <c r="P314" s="10" t="s">
        <v>939</v>
      </c>
      <c r="Q314" s="17" t="s">
        <v>145</v>
      </c>
      <c r="R314" s="14" t="s">
        <v>53</v>
      </c>
      <c r="S314" s="17" t="s">
        <v>106</v>
      </c>
      <c r="T314" s="14"/>
      <c r="U314" s="14" t="s">
        <v>40</v>
      </c>
      <c r="V314" s="14">
        <v>0.78</v>
      </c>
      <c r="W314" s="17"/>
      <c r="X314" s="14" t="s">
        <v>190</v>
      </c>
    </row>
    <row r="315" ht="14.25" customHeight="1">
      <c r="A315" s="10" t="s">
        <v>754</v>
      </c>
      <c r="B315" s="10" t="s">
        <v>63</v>
      </c>
      <c r="C315" s="10">
        <v>315.0</v>
      </c>
      <c r="D315" s="11" t="s">
        <v>952</v>
      </c>
      <c r="E315" s="11" t="s">
        <v>953</v>
      </c>
      <c r="F315" s="11" t="s">
        <v>769</v>
      </c>
      <c r="G315" s="10">
        <v>315.0</v>
      </c>
      <c r="H315" s="10">
        <f>VLOOKUP(F315,'Generos y Familia'!$A$1:$C$623,2,FALSE)</f>
        <v>80</v>
      </c>
      <c r="I315" s="12" t="str">
        <f t="shared" si="1"/>
        <v>Citrus medica</v>
      </c>
      <c r="J315" s="10" t="str">
        <f t="shared" si="2"/>
        <v>315 Citrus medica</v>
      </c>
      <c r="K315" s="10" t="str">
        <f t="shared" si="3"/>
        <v>Toronjo Dedos; Cridro</v>
      </c>
      <c r="L315" s="10" t="str">
        <f t="shared" si="4"/>
        <v>315 Toronjo Dedos; Cridro</v>
      </c>
      <c r="M315" s="10" t="s">
        <v>46</v>
      </c>
      <c r="N315" s="10" t="s">
        <v>36</v>
      </c>
      <c r="O315" s="10" t="s">
        <v>47</v>
      </c>
      <c r="P315" s="10" t="s">
        <v>939</v>
      </c>
      <c r="Q315" s="17" t="s">
        <v>954</v>
      </c>
      <c r="R315" s="14" t="s">
        <v>53</v>
      </c>
      <c r="S315" s="17" t="s">
        <v>106</v>
      </c>
      <c r="T315" s="14"/>
      <c r="U315" s="14" t="s">
        <v>40</v>
      </c>
      <c r="V315" s="14">
        <v>0.78</v>
      </c>
      <c r="W315" s="17"/>
      <c r="X315" s="14" t="s">
        <v>190</v>
      </c>
    </row>
    <row r="316" ht="14.25" customHeight="1">
      <c r="A316" s="10" t="s">
        <v>754</v>
      </c>
      <c r="B316" s="10" t="s">
        <v>31</v>
      </c>
      <c r="C316" s="10">
        <v>316.0</v>
      </c>
      <c r="D316" s="11" t="s">
        <v>955</v>
      </c>
      <c r="E316" s="11" t="s">
        <v>956</v>
      </c>
      <c r="F316" s="11" t="s">
        <v>769</v>
      </c>
      <c r="G316" s="10">
        <v>316.0</v>
      </c>
      <c r="H316" s="10">
        <f>VLOOKUP(F316,'Generos y Familia'!$A$1:$C$623,2,FALSE)</f>
        <v>80</v>
      </c>
      <c r="I316" s="12" t="str">
        <f t="shared" si="1"/>
        <v>citrus x myrtifolia</v>
      </c>
      <c r="J316" s="10" t="str">
        <f t="shared" si="2"/>
        <v>316 citrus x myrtifolia</v>
      </c>
      <c r="K316" s="10" t="str">
        <f t="shared" si="3"/>
        <v>Naranjo Moruno</v>
      </c>
      <c r="L316" s="10" t="str">
        <f t="shared" si="4"/>
        <v>316 Naranjo Moruno</v>
      </c>
      <c r="M316" s="10" t="s">
        <v>46</v>
      </c>
      <c r="N316" s="10" t="s">
        <v>36</v>
      </c>
      <c r="O316" s="10" t="s">
        <v>37</v>
      </c>
      <c r="P316" s="10" t="s">
        <v>957</v>
      </c>
      <c r="Q316" s="13"/>
      <c r="R316" s="13"/>
      <c r="S316" s="13"/>
      <c r="T316" s="13"/>
      <c r="U316" s="13"/>
      <c r="V316" s="13"/>
      <c r="W316" s="13"/>
      <c r="X316" s="13"/>
    </row>
    <row r="317" ht="14.25" customHeight="1">
      <c r="A317" s="10" t="s">
        <v>754</v>
      </c>
      <c r="B317" s="10" t="s">
        <v>31</v>
      </c>
      <c r="C317" s="10">
        <v>317.0</v>
      </c>
      <c r="D317" s="11" t="s">
        <v>958</v>
      </c>
      <c r="E317" s="11" t="s">
        <v>959</v>
      </c>
      <c r="F317" s="11" t="s">
        <v>769</v>
      </c>
      <c r="G317" s="10">
        <v>317.0</v>
      </c>
      <c r="H317" s="10">
        <f>VLOOKUP(F317,'Generos y Familia'!$A$1:$C$623,2,FALSE)</f>
        <v>80</v>
      </c>
      <c r="I317" s="12" t="str">
        <f t="shared" si="1"/>
        <v>Citrus reticulata</v>
      </c>
      <c r="J317" s="10" t="str">
        <f t="shared" si="2"/>
        <v>317 Citrus reticulata</v>
      </c>
      <c r="K317" s="10" t="str">
        <f t="shared" si="3"/>
        <v>Mandarino Real</v>
      </c>
      <c r="L317" s="10" t="str">
        <f t="shared" si="4"/>
        <v>317 Mandarino Real</v>
      </c>
      <c r="M317" s="10" t="s">
        <v>46</v>
      </c>
      <c r="N317" s="10" t="s">
        <v>36</v>
      </c>
      <c r="O317" s="10" t="s">
        <v>37</v>
      </c>
      <c r="P317" s="10" t="s">
        <v>939</v>
      </c>
      <c r="Q317" s="17" t="s">
        <v>612</v>
      </c>
      <c r="R317" s="14" t="s">
        <v>53</v>
      </c>
      <c r="S317" s="17" t="s">
        <v>106</v>
      </c>
      <c r="T317" s="14"/>
      <c r="U317" s="14" t="s">
        <v>40</v>
      </c>
      <c r="V317" s="14">
        <v>0.78</v>
      </c>
      <c r="W317" s="17"/>
      <c r="X317" s="14" t="s">
        <v>190</v>
      </c>
    </row>
    <row r="318" ht="14.25" customHeight="1">
      <c r="A318" s="10" t="s">
        <v>754</v>
      </c>
      <c r="B318" s="10" t="s">
        <v>31</v>
      </c>
      <c r="C318" s="10">
        <v>318.0</v>
      </c>
      <c r="D318" s="11" t="s">
        <v>960</v>
      </c>
      <c r="E318" s="11" t="s">
        <v>941</v>
      </c>
      <c r="F318" s="11" t="s">
        <v>769</v>
      </c>
      <c r="G318" s="10">
        <v>318.0</v>
      </c>
      <c r="H318" s="10">
        <f>VLOOKUP(F318,'Generos y Familia'!$A$1:$C$623,2,FALSE)</f>
        <v>80</v>
      </c>
      <c r="I318" s="12" t="str">
        <f t="shared" si="1"/>
        <v>Citrus sinensis</v>
      </c>
      <c r="J318" s="10" t="str">
        <f t="shared" si="2"/>
        <v>318 Citrus sinensis</v>
      </c>
      <c r="K318" s="10" t="str">
        <f t="shared" si="3"/>
        <v>Naranjo Dulce</v>
      </c>
      <c r="L318" s="10" t="str">
        <f t="shared" si="4"/>
        <v>318 Naranjo Dulce</v>
      </c>
      <c r="M318" s="10" t="s">
        <v>46</v>
      </c>
      <c r="N318" s="10" t="s">
        <v>36</v>
      </c>
      <c r="O318" s="10" t="s">
        <v>37</v>
      </c>
      <c r="P318" s="10" t="s">
        <v>939</v>
      </c>
      <c r="Q318" s="17" t="s">
        <v>379</v>
      </c>
      <c r="R318" s="14" t="s">
        <v>53</v>
      </c>
      <c r="S318" s="17" t="s">
        <v>106</v>
      </c>
      <c r="T318" s="14" t="s">
        <v>39</v>
      </c>
      <c r="U318" s="14" t="s">
        <v>40</v>
      </c>
      <c r="V318" s="14">
        <v>0.78</v>
      </c>
      <c r="W318" s="17"/>
      <c r="X318" s="14"/>
    </row>
    <row r="319" ht="14.25" customHeight="1">
      <c r="A319" s="10" t="s">
        <v>754</v>
      </c>
      <c r="B319" s="10" t="s">
        <v>31</v>
      </c>
      <c r="C319" s="10">
        <v>319.0</v>
      </c>
      <c r="D319" s="11" t="s">
        <v>961</v>
      </c>
      <c r="E319" s="11" t="s">
        <v>961</v>
      </c>
      <c r="F319" s="11" t="s">
        <v>769</v>
      </c>
      <c r="G319" s="10">
        <v>319.0</v>
      </c>
      <c r="H319" s="10">
        <f>VLOOKUP(F319,'Generos y Familia'!$A$1:$C$623,2,FALSE)</f>
        <v>80</v>
      </c>
      <c r="I319" s="12" t="str">
        <f t="shared" si="1"/>
        <v>Citrus sp</v>
      </c>
      <c r="J319" s="10" t="str">
        <f t="shared" si="2"/>
        <v>319 Citrus sp</v>
      </c>
      <c r="K319" s="10" t="str">
        <f t="shared" si="3"/>
        <v>Citrus sp</v>
      </c>
      <c r="L319" s="10" t="str">
        <f t="shared" si="4"/>
        <v>319 Citrus sp</v>
      </c>
      <c r="M319" s="10" t="s">
        <v>46</v>
      </c>
      <c r="N319" s="10" t="s">
        <v>36</v>
      </c>
      <c r="O319" s="10" t="s">
        <v>37</v>
      </c>
      <c r="P319" s="10" t="s">
        <v>939</v>
      </c>
      <c r="Q319" s="17" t="s">
        <v>434</v>
      </c>
      <c r="R319" s="14" t="s">
        <v>53</v>
      </c>
      <c r="S319" s="17" t="s">
        <v>106</v>
      </c>
      <c r="T319" s="14"/>
      <c r="U319" s="14" t="s">
        <v>40</v>
      </c>
      <c r="V319" s="14">
        <v>0.78</v>
      </c>
      <c r="W319" s="17"/>
      <c r="X319" s="14" t="s">
        <v>190</v>
      </c>
    </row>
    <row r="320" ht="14.25" customHeight="1">
      <c r="A320" s="10" t="s">
        <v>754</v>
      </c>
      <c r="B320" s="10" t="s">
        <v>31</v>
      </c>
      <c r="C320" s="10">
        <v>320.0</v>
      </c>
      <c r="D320" s="11" t="s">
        <v>962</v>
      </c>
      <c r="E320" s="11" t="s">
        <v>963</v>
      </c>
      <c r="F320" s="11" t="s">
        <v>769</v>
      </c>
      <c r="G320" s="10">
        <v>320.0</v>
      </c>
      <c r="H320" s="10">
        <f>VLOOKUP(F320,'Generos y Familia'!$A$1:$C$623,2,FALSE)</f>
        <v>80</v>
      </c>
      <c r="I320" s="12" t="str">
        <f t="shared" si="1"/>
        <v>Citrus trifoliata</v>
      </c>
      <c r="J320" s="10" t="str">
        <f t="shared" si="2"/>
        <v>320 Citrus trifoliata</v>
      </c>
      <c r="K320" s="10" t="str">
        <f t="shared" si="3"/>
        <v>Naranjo Espinoso; Naranjo Trifoliado</v>
      </c>
      <c r="L320" s="10" t="str">
        <f t="shared" si="4"/>
        <v>320 Naranjo Espinoso; Naranjo Trifoliado</v>
      </c>
      <c r="M320" s="10" t="s">
        <v>46</v>
      </c>
      <c r="N320" s="10" t="s">
        <v>36</v>
      </c>
      <c r="O320" s="10" t="s">
        <v>37</v>
      </c>
      <c r="P320" s="10" t="s">
        <v>939</v>
      </c>
      <c r="Q320" s="13"/>
      <c r="R320" s="13"/>
      <c r="S320" s="13"/>
      <c r="T320" s="13"/>
      <c r="U320" s="13"/>
      <c r="V320" s="13"/>
      <c r="W320" s="13"/>
      <c r="X320" s="13"/>
    </row>
    <row r="321" ht="14.25" customHeight="1">
      <c r="A321" s="10" t="s">
        <v>754</v>
      </c>
      <c r="B321" s="10" t="s">
        <v>31</v>
      </c>
      <c r="C321" s="10">
        <v>321.0</v>
      </c>
      <c r="D321" s="11" t="s">
        <v>964</v>
      </c>
      <c r="E321" s="11" t="s">
        <v>965</v>
      </c>
      <c r="F321" s="11" t="s">
        <v>769</v>
      </c>
      <c r="G321" s="10">
        <v>321.0</v>
      </c>
      <c r="H321" s="10">
        <f>VLOOKUP(F321,'Generos y Familia'!$A$1:$C$623,2,FALSE)</f>
        <v>80</v>
      </c>
      <c r="I321" s="12" t="str">
        <f t="shared" si="1"/>
        <v>Citrus x aurantium</v>
      </c>
      <c r="J321" s="10" t="str">
        <f t="shared" si="2"/>
        <v>321 Citrus x aurantium</v>
      </c>
      <c r="K321" s="10" t="str">
        <f t="shared" si="3"/>
        <v>Naranjo Agrio; Naranjo Amargo</v>
      </c>
      <c r="L321" s="10" t="str">
        <f t="shared" si="4"/>
        <v>321 Naranjo Agrio; Naranjo Amargo</v>
      </c>
      <c r="M321" s="10" t="s">
        <v>46</v>
      </c>
      <c r="N321" s="10" t="s">
        <v>36</v>
      </c>
      <c r="O321" s="10" t="s">
        <v>37</v>
      </c>
      <c r="P321" s="10" t="s">
        <v>939</v>
      </c>
      <c r="Q321" s="17" t="s">
        <v>379</v>
      </c>
      <c r="R321" s="14" t="s">
        <v>53</v>
      </c>
      <c r="S321" s="17" t="s">
        <v>106</v>
      </c>
      <c r="T321" s="14" t="s">
        <v>39</v>
      </c>
      <c r="U321" s="14" t="s">
        <v>40</v>
      </c>
      <c r="V321" s="14">
        <v>0.78</v>
      </c>
      <c r="W321" s="18"/>
      <c r="X321" s="14" t="s">
        <v>190</v>
      </c>
    </row>
    <row r="322" ht="14.25" customHeight="1">
      <c r="A322" s="10" t="s">
        <v>754</v>
      </c>
      <c r="B322" s="10" t="s">
        <v>31</v>
      </c>
      <c r="C322" s="10">
        <v>322.0</v>
      </c>
      <c r="D322" s="11" t="s">
        <v>966</v>
      </c>
      <c r="E322" s="11" t="s">
        <v>967</v>
      </c>
      <c r="F322" s="11" t="s">
        <v>365</v>
      </c>
      <c r="G322" s="10">
        <v>322.0</v>
      </c>
      <c r="H322" s="10">
        <f>VLOOKUP(F322,'Generos y Familia'!$A$1:$C$623,2,FALSE)</f>
        <v>43</v>
      </c>
      <c r="I322" s="12" t="str">
        <f t="shared" si="1"/>
        <v>Clarisia racemosa</v>
      </c>
      <c r="J322" s="10" t="str">
        <f t="shared" si="2"/>
        <v>322 Clarisia racemosa</v>
      </c>
      <c r="K322" s="10" t="str">
        <f t="shared" si="3"/>
        <v>Aji; Sande Mora</v>
      </c>
      <c r="L322" s="10" t="str">
        <f t="shared" si="4"/>
        <v>322 Aji; Sande Mora</v>
      </c>
      <c r="M322" s="10" t="s">
        <v>46</v>
      </c>
      <c r="N322" s="10" t="s">
        <v>36</v>
      </c>
      <c r="O322" s="10" t="s">
        <v>37</v>
      </c>
      <c r="P322" s="10" t="s">
        <v>968</v>
      </c>
      <c r="Q322" s="13"/>
      <c r="R322" s="13"/>
      <c r="S322" s="13"/>
      <c r="T322" s="13"/>
      <c r="U322" s="13"/>
      <c r="V322" s="13"/>
      <c r="W322" s="13"/>
      <c r="X322" s="13"/>
    </row>
    <row r="323" ht="14.25" customHeight="1">
      <c r="A323" s="10" t="s">
        <v>754</v>
      </c>
      <c r="B323" s="10" t="s">
        <v>31</v>
      </c>
      <c r="C323" s="10">
        <v>323.0</v>
      </c>
      <c r="D323" s="11" t="s">
        <v>969</v>
      </c>
      <c r="E323" s="11" t="s">
        <v>970</v>
      </c>
      <c r="F323" s="11" t="s">
        <v>34</v>
      </c>
      <c r="G323" s="10">
        <v>323.0</v>
      </c>
      <c r="H323" s="10">
        <f>VLOOKUP(F323,'Generos y Familia'!$A$1:$C$623,2,FALSE)</f>
        <v>27</v>
      </c>
      <c r="I323" s="12" t="str">
        <f t="shared" si="1"/>
        <v>Clathrotropis brunnea</v>
      </c>
      <c r="J323" s="10" t="str">
        <f t="shared" si="2"/>
        <v>323 Clathrotropis brunnea</v>
      </c>
      <c r="K323" s="10" t="str">
        <f t="shared" si="3"/>
        <v>Sapan</v>
      </c>
      <c r="L323" s="10" t="str">
        <f t="shared" si="4"/>
        <v>323 Sapan</v>
      </c>
      <c r="M323" s="10" t="s">
        <v>35</v>
      </c>
      <c r="N323" s="10" t="s">
        <v>36</v>
      </c>
      <c r="O323" s="10" t="s">
        <v>37</v>
      </c>
      <c r="P323" s="10" t="s">
        <v>971</v>
      </c>
      <c r="Q323" s="13">
        <v>30.0</v>
      </c>
      <c r="R323" s="13" t="s">
        <v>39</v>
      </c>
      <c r="S323" s="13">
        <v>80.0</v>
      </c>
      <c r="T323" s="13" t="s">
        <v>39</v>
      </c>
      <c r="U323" s="13" t="s">
        <v>73</v>
      </c>
      <c r="V323" s="13">
        <v>0.77</v>
      </c>
      <c r="W323" s="13"/>
      <c r="X323" s="13"/>
    </row>
    <row r="324" ht="14.25" customHeight="1">
      <c r="A324" s="10" t="s">
        <v>754</v>
      </c>
      <c r="B324" s="10" t="s">
        <v>31</v>
      </c>
      <c r="C324" s="10">
        <v>324.0</v>
      </c>
      <c r="D324" s="11" t="s">
        <v>972</v>
      </c>
      <c r="E324" s="11" t="s">
        <v>973</v>
      </c>
      <c r="F324" s="11" t="s">
        <v>34</v>
      </c>
      <c r="G324" s="10">
        <v>324.0</v>
      </c>
      <c r="H324" s="10">
        <f>VLOOKUP(F324,'Generos y Familia'!$A$1:$C$623,2,FALSE)</f>
        <v>27</v>
      </c>
      <c r="I324" s="12" t="str">
        <f t="shared" si="1"/>
        <v>Clathrotropis macrocarpa</v>
      </c>
      <c r="J324" s="10" t="str">
        <f t="shared" si="2"/>
        <v>324 Clathrotropis macrocarpa</v>
      </c>
      <c r="K324" s="10" t="str">
        <f t="shared" si="3"/>
        <v>Fariñero; Bizcocho; Masano; Fariñoso</v>
      </c>
      <c r="L324" s="10" t="str">
        <f t="shared" si="4"/>
        <v>324 Fariñero; Bizcocho; Masano; Fariñoso</v>
      </c>
      <c r="M324" s="10" t="s">
        <v>35</v>
      </c>
      <c r="N324" s="10" t="s">
        <v>36</v>
      </c>
      <c r="O324" s="10" t="s">
        <v>37</v>
      </c>
      <c r="P324" s="10" t="s">
        <v>971</v>
      </c>
      <c r="Q324" s="13">
        <v>25.0</v>
      </c>
      <c r="R324" s="13" t="s">
        <v>53</v>
      </c>
      <c r="S324" s="13"/>
      <c r="T324" s="13"/>
      <c r="U324" s="13"/>
      <c r="V324" s="13"/>
      <c r="W324" s="13"/>
      <c r="X324" s="13"/>
    </row>
    <row r="325" ht="14.25" customHeight="1">
      <c r="A325" s="10" t="s">
        <v>754</v>
      </c>
      <c r="B325" s="10" t="s">
        <v>31</v>
      </c>
      <c r="C325" s="10">
        <v>325.0</v>
      </c>
      <c r="D325" s="11" t="s">
        <v>974</v>
      </c>
      <c r="E325" s="11" t="s">
        <v>975</v>
      </c>
      <c r="F325" s="11" t="s">
        <v>132</v>
      </c>
      <c r="G325" s="10">
        <v>325.0</v>
      </c>
      <c r="H325" s="10">
        <f>VLOOKUP(F325,'Generos y Familia'!$A$1:$C$623,2,FALSE)</f>
        <v>74</v>
      </c>
      <c r="I325" s="12" t="str">
        <f t="shared" si="1"/>
        <v>Clavija longifolia</v>
      </c>
      <c r="J325" s="10" t="str">
        <f t="shared" si="2"/>
        <v>325 Clavija longifolia</v>
      </c>
      <c r="K325" s="10" t="str">
        <f t="shared" si="3"/>
        <v>Durazno de Monte; Oreja de Burro</v>
      </c>
      <c r="L325" s="10" t="str">
        <f t="shared" si="4"/>
        <v>325 Durazno de Monte; Oreja de Burro</v>
      </c>
      <c r="M325" s="10" t="s">
        <v>35</v>
      </c>
      <c r="N325" s="10" t="s">
        <v>36</v>
      </c>
      <c r="O325" s="10" t="s">
        <v>37</v>
      </c>
      <c r="P325" s="10" t="s">
        <v>976</v>
      </c>
      <c r="Q325" s="13">
        <v>6.0</v>
      </c>
      <c r="R325" s="13" t="s">
        <v>53</v>
      </c>
      <c r="S325" s="13"/>
      <c r="T325" s="13"/>
      <c r="U325" s="13" t="s">
        <v>40</v>
      </c>
      <c r="V325" s="13"/>
      <c r="W325" s="13"/>
      <c r="X325" s="13"/>
    </row>
    <row r="326" ht="14.25" customHeight="1">
      <c r="A326" s="10" t="s">
        <v>754</v>
      </c>
      <c r="B326" s="10" t="s">
        <v>31</v>
      </c>
      <c r="C326" s="10">
        <v>326.0</v>
      </c>
      <c r="D326" s="11" t="s">
        <v>977</v>
      </c>
      <c r="E326" s="11" t="s">
        <v>976</v>
      </c>
      <c r="F326" s="11" t="s">
        <v>132</v>
      </c>
      <c r="G326" s="10">
        <v>326.0</v>
      </c>
      <c r="H326" s="10">
        <f>VLOOKUP(F326,'Generos y Familia'!$A$1:$C$623,2,FALSE)</f>
        <v>74</v>
      </c>
      <c r="I326" s="12" t="str">
        <f t="shared" si="1"/>
        <v>Clavija sp</v>
      </c>
      <c r="J326" s="10" t="str">
        <f t="shared" si="2"/>
        <v>326 Clavija sp</v>
      </c>
      <c r="K326" s="10" t="str">
        <f t="shared" si="3"/>
        <v>Clavija</v>
      </c>
      <c r="L326" s="10" t="str">
        <f t="shared" si="4"/>
        <v>326 Clavija</v>
      </c>
      <c r="M326" s="10" t="s">
        <v>35</v>
      </c>
      <c r="N326" s="10" t="s">
        <v>36</v>
      </c>
      <c r="O326" s="10" t="s">
        <v>37</v>
      </c>
      <c r="P326" s="10" t="s">
        <v>976</v>
      </c>
      <c r="Q326" s="13"/>
      <c r="R326" s="13"/>
      <c r="S326" s="13"/>
      <c r="T326" s="13"/>
      <c r="U326" s="13"/>
      <c r="V326" s="13"/>
      <c r="W326" s="16"/>
      <c r="X326" s="13"/>
    </row>
    <row r="327" ht="14.25" customHeight="1">
      <c r="A327" s="10" t="s">
        <v>754</v>
      </c>
      <c r="B327" s="10" t="s">
        <v>31</v>
      </c>
      <c r="C327" s="10">
        <v>327.0</v>
      </c>
      <c r="D327" s="11" t="s">
        <v>978</v>
      </c>
      <c r="E327" s="11" t="s">
        <v>979</v>
      </c>
      <c r="F327" s="11" t="s">
        <v>136</v>
      </c>
      <c r="G327" s="10">
        <v>327.0</v>
      </c>
      <c r="H327" s="10">
        <f>VLOOKUP(F327,'Generos y Familia'!$A$1:$C$623,2,FALSE)</f>
        <v>34</v>
      </c>
      <c r="I327" s="12" t="str">
        <f t="shared" si="1"/>
        <v>Clerodendrum quadriloculare</v>
      </c>
      <c r="J327" s="10" t="str">
        <f t="shared" si="2"/>
        <v>327 Clerodendrum quadriloculare</v>
      </c>
      <c r="K327" s="10" t="str">
        <f t="shared" si="3"/>
        <v>Cometa</v>
      </c>
      <c r="L327" s="10" t="str">
        <f t="shared" si="4"/>
        <v>327 Cometa</v>
      </c>
      <c r="M327" s="10" t="s">
        <v>46</v>
      </c>
      <c r="N327" s="10" t="s">
        <v>36</v>
      </c>
      <c r="O327" s="10" t="s">
        <v>47</v>
      </c>
      <c r="P327" s="10" t="s">
        <v>980</v>
      </c>
      <c r="Q327" s="13">
        <v>5.0</v>
      </c>
      <c r="R327" s="13" t="s">
        <v>39</v>
      </c>
      <c r="S327" s="13">
        <v>15.0</v>
      </c>
      <c r="T327" s="13" t="s">
        <v>39</v>
      </c>
      <c r="U327" s="13" t="s">
        <v>55</v>
      </c>
      <c r="V327" s="13"/>
      <c r="W327" s="16"/>
      <c r="X327" s="13"/>
    </row>
    <row r="328" ht="14.25" customHeight="1">
      <c r="A328" s="10" t="s">
        <v>754</v>
      </c>
      <c r="B328" s="10" t="s">
        <v>31</v>
      </c>
      <c r="C328" s="10">
        <v>328.0</v>
      </c>
      <c r="D328" s="11" t="s">
        <v>981</v>
      </c>
      <c r="E328" s="11" t="s">
        <v>982</v>
      </c>
      <c r="F328" s="11" t="s">
        <v>136</v>
      </c>
      <c r="G328" s="10">
        <v>328.0</v>
      </c>
      <c r="H328" s="10">
        <f>VLOOKUP(F328,'Generos y Familia'!$A$1:$C$623,2,FALSE)</f>
        <v>34</v>
      </c>
      <c r="I328" s="12" t="str">
        <f t="shared" si="1"/>
        <v>Clerodendrum sp</v>
      </c>
      <c r="J328" s="10" t="str">
        <f t="shared" si="2"/>
        <v>328 Clerodendrum sp</v>
      </c>
      <c r="K328" s="10" t="str">
        <f t="shared" si="3"/>
        <v>Gloria Enramada Sangrante; Corazón Sangrante</v>
      </c>
      <c r="L328" s="10" t="str">
        <f t="shared" si="4"/>
        <v>328 Gloria Enramada Sangrante; Corazón Sangrante</v>
      </c>
      <c r="M328" s="10" t="s">
        <v>46</v>
      </c>
      <c r="N328" s="10" t="s">
        <v>36</v>
      </c>
      <c r="O328" s="10" t="s">
        <v>37</v>
      </c>
      <c r="P328" s="10" t="s">
        <v>980</v>
      </c>
      <c r="Q328" s="13"/>
      <c r="R328" s="13"/>
      <c r="S328" s="13"/>
      <c r="T328" s="13"/>
      <c r="U328" s="13"/>
      <c r="V328" s="13"/>
      <c r="W328" s="13"/>
      <c r="X328" s="13"/>
    </row>
    <row r="329" ht="14.25" customHeight="1">
      <c r="A329" s="10" t="s">
        <v>754</v>
      </c>
      <c r="B329" s="10" t="s">
        <v>31</v>
      </c>
      <c r="C329" s="10">
        <v>329.0</v>
      </c>
      <c r="D329" s="11" t="s">
        <v>983</v>
      </c>
      <c r="E329" s="11" t="s">
        <v>983</v>
      </c>
      <c r="F329" s="11" t="s">
        <v>984</v>
      </c>
      <c r="G329" s="10">
        <v>329.0</v>
      </c>
      <c r="H329" s="10">
        <f>VLOOKUP(F329,'Generos y Familia'!$A$1:$C$623,2,FALSE)</f>
        <v>36</v>
      </c>
      <c r="I329" s="12" t="str">
        <f t="shared" si="1"/>
        <v>Clethra sp</v>
      </c>
      <c r="J329" s="10" t="str">
        <f t="shared" si="2"/>
        <v>329 Clethra sp</v>
      </c>
      <c r="K329" s="10" t="str">
        <f t="shared" si="3"/>
        <v>Clethra sp</v>
      </c>
      <c r="L329" s="10" t="str">
        <f t="shared" si="4"/>
        <v>329 Clethra sp</v>
      </c>
      <c r="M329" s="10" t="s">
        <v>35</v>
      </c>
      <c r="N329" s="10" t="s">
        <v>36</v>
      </c>
      <c r="O329" s="10" t="s">
        <v>47</v>
      </c>
      <c r="P329" s="10" t="s">
        <v>985</v>
      </c>
      <c r="Q329" s="17" t="s">
        <v>145</v>
      </c>
      <c r="R329" s="14" t="s">
        <v>53</v>
      </c>
      <c r="S329" s="17" t="s">
        <v>54</v>
      </c>
      <c r="T329" s="14"/>
      <c r="U329" s="14" t="s">
        <v>73</v>
      </c>
      <c r="V329" s="14"/>
      <c r="W329" s="18"/>
      <c r="X329" s="14" t="s">
        <v>41</v>
      </c>
    </row>
    <row r="330" ht="14.25" customHeight="1">
      <c r="A330" s="10" t="s">
        <v>754</v>
      </c>
      <c r="B330" s="10" t="s">
        <v>31</v>
      </c>
      <c r="C330" s="10">
        <v>330.0</v>
      </c>
      <c r="D330" s="11" t="s">
        <v>986</v>
      </c>
      <c r="E330" s="11" t="s">
        <v>986</v>
      </c>
      <c r="F330" s="11" t="s">
        <v>362</v>
      </c>
      <c r="G330" s="10">
        <v>330.0</v>
      </c>
      <c r="H330" s="10">
        <f>VLOOKUP(F330,'Generos y Familia'!$A$1:$C$623,2,FALSE)</f>
        <v>17</v>
      </c>
      <c r="I330" s="12" t="str">
        <f t="shared" si="1"/>
        <v>Clibadium sp</v>
      </c>
      <c r="J330" s="10" t="str">
        <f t="shared" si="2"/>
        <v>330 Clibadium sp</v>
      </c>
      <c r="K330" s="10" t="str">
        <f t="shared" si="3"/>
        <v>Clibadium sp</v>
      </c>
      <c r="L330" s="10" t="str">
        <f t="shared" si="4"/>
        <v>330 Clibadium sp</v>
      </c>
      <c r="M330" s="10" t="s">
        <v>46</v>
      </c>
      <c r="N330" s="10" t="s">
        <v>28</v>
      </c>
      <c r="O330" s="10" t="s">
        <v>47</v>
      </c>
      <c r="P330" s="10" t="s">
        <v>987</v>
      </c>
      <c r="Q330" s="13"/>
      <c r="R330" s="13"/>
      <c r="S330" s="13"/>
      <c r="T330" s="13"/>
      <c r="U330" s="13"/>
      <c r="V330" s="13"/>
      <c r="W330" s="13"/>
      <c r="X330" s="13"/>
    </row>
    <row r="331" ht="14.25" customHeight="1">
      <c r="A331" s="10" t="s">
        <v>754</v>
      </c>
      <c r="B331" s="10" t="s">
        <v>31</v>
      </c>
      <c r="C331" s="10">
        <v>331.0</v>
      </c>
      <c r="D331" s="11" t="s">
        <v>988</v>
      </c>
      <c r="E331" s="11" t="s">
        <v>989</v>
      </c>
      <c r="F331" s="11" t="s">
        <v>362</v>
      </c>
      <c r="G331" s="10">
        <v>331.0</v>
      </c>
      <c r="H331" s="10">
        <f>VLOOKUP(F331,'Generos y Familia'!$A$1:$C$623,2,FALSE)</f>
        <v>17</v>
      </c>
      <c r="I331" s="12" t="str">
        <f t="shared" si="1"/>
        <v>Clibadium surinamense</v>
      </c>
      <c r="J331" s="10" t="str">
        <f t="shared" si="2"/>
        <v>331 Clibadium surinamense</v>
      </c>
      <c r="K331" s="10" t="str">
        <f t="shared" si="3"/>
        <v>Salvia Amarga; Conami; Barbasco</v>
      </c>
      <c r="L331" s="10" t="str">
        <f t="shared" si="4"/>
        <v>331 Salvia Amarga; Conami; Barbasco</v>
      </c>
      <c r="M331" s="10" t="s">
        <v>35</v>
      </c>
      <c r="N331" s="10" t="s">
        <v>36</v>
      </c>
      <c r="O331" s="10" t="s">
        <v>47</v>
      </c>
      <c r="P331" s="10" t="s">
        <v>987</v>
      </c>
      <c r="Q331" s="13">
        <v>6.0</v>
      </c>
      <c r="R331" s="13" t="s">
        <v>53</v>
      </c>
      <c r="S331" s="13"/>
      <c r="T331" s="13"/>
      <c r="U331" s="13" t="s">
        <v>40</v>
      </c>
      <c r="V331" s="13"/>
      <c r="W331" s="13"/>
      <c r="X331" s="13"/>
    </row>
    <row r="332" ht="14.25" customHeight="1">
      <c r="A332" s="10" t="s">
        <v>754</v>
      </c>
      <c r="B332" s="10" t="s">
        <v>31</v>
      </c>
      <c r="C332" s="10">
        <v>332.0</v>
      </c>
      <c r="D332" s="11" t="s">
        <v>990</v>
      </c>
      <c r="E332" s="11" t="s">
        <v>991</v>
      </c>
      <c r="F332" s="11" t="s">
        <v>471</v>
      </c>
      <c r="G332" s="10">
        <v>332.0</v>
      </c>
      <c r="H332" s="10">
        <f>VLOOKUP(F332,'Generos y Familia'!$A$1:$C$623,2,FALSE)</f>
        <v>41</v>
      </c>
      <c r="I332" s="12" t="str">
        <f t="shared" si="1"/>
        <v>Clidemia umbrosa</v>
      </c>
      <c r="J332" s="10" t="str">
        <f t="shared" si="2"/>
        <v>332 Clidemia umbrosa</v>
      </c>
      <c r="K332" s="10" t="str">
        <f t="shared" si="3"/>
        <v>Camasay</v>
      </c>
      <c r="L332" s="10" t="str">
        <f t="shared" si="4"/>
        <v>332 Camasay</v>
      </c>
      <c r="M332" s="10" t="s">
        <v>46</v>
      </c>
      <c r="N332" s="10" t="s">
        <v>36</v>
      </c>
      <c r="O332" s="10" t="s">
        <v>47</v>
      </c>
      <c r="P332" s="10" t="s">
        <v>992</v>
      </c>
      <c r="Q332" s="13"/>
      <c r="R332" s="13"/>
      <c r="S332" s="13" t="s">
        <v>993</v>
      </c>
      <c r="T332" s="13"/>
      <c r="U332" s="13"/>
      <c r="V332" s="13"/>
      <c r="W332" s="16"/>
      <c r="X332" s="13"/>
    </row>
    <row r="333" ht="14.25" customHeight="1">
      <c r="A333" s="10" t="s">
        <v>754</v>
      </c>
      <c r="B333" s="10" t="s">
        <v>31</v>
      </c>
      <c r="C333" s="10">
        <v>333.0</v>
      </c>
      <c r="D333" s="11" t="s">
        <v>994</v>
      </c>
      <c r="E333" s="11" t="s">
        <v>995</v>
      </c>
      <c r="F333" s="11" t="s">
        <v>34</v>
      </c>
      <c r="G333" s="10">
        <v>333.0</v>
      </c>
      <c r="H333" s="10">
        <f>VLOOKUP(F333,'Generos y Familia'!$A$1:$C$623,2,FALSE)</f>
        <v>27</v>
      </c>
      <c r="I333" s="12" t="str">
        <f t="shared" si="1"/>
        <v>Clitoria fairchildiana</v>
      </c>
      <c r="J333" s="10" t="str">
        <f t="shared" si="2"/>
        <v>333 Clitoria fairchildiana</v>
      </c>
      <c r="K333" s="10" t="str">
        <f t="shared" si="3"/>
        <v>Barbasco; Sombrero</v>
      </c>
      <c r="L333" s="10" t="str">
        <f t="shared" si="4"/>
        <v>333 Barbasco; Sombrero</v>
      </c>
      <c r="M333" s="10" t="s">
        <v>46</v>
      </c>
      <c r="N333" s="10" t="s">
        <v>36</v>
      </c>
      <c r="O333" s="10" t="s">
        <v>37</v>
      </c>
      <c r="P333" s="10" t="s">
        <v>996</v>
      </c>
      <c r="Q333" s="13">
        <v>6.0</v>
      </c>
      <c r="R333" s="13" t="s">
        <v>53</v>
      </c>
      <c r="S333" s="13"/>
      <c r="T333" s="13"/>
      <c r="U333" s="13" t="s">
        <v>55</v>
      </c>
      <c r="V333" s="13"/>
      <c r="W333" s="13"/>
      <c r="X333" s="13"/>
    </row>
    <row r="334" ht="14.25" customHeight="1">
      <c r="A334" s="10" t="s">
        <v>754</v>
      </c>
      <c r="B334" s="10" t="s">
        <v>31</v>
      </c>
      <c r="C334" s="10">
        <v>334.0</v>
      </c>
      <c r="D334" s="11" t="s">
        <v>997</v>
      </c>
      <c r="E334" s="11" t="s">
        <v>998</v>
      </c>
      <c r="F334" s="11" t="s">
        <v>999</v>
      </c>
      <c r="G334" s="10">
        <v>334.0</v>
      </c>
      <c r="H334" s="10">
        <f>VLOOKUP(F334,'Generos y Familia'!$A$1:$C$623,2,FALSE)</f>
        <v>37</v>
      </c>
      <c r="I334" s="12" t="str">
        <f t="shared" si="1"/>
        <v>Clusia alata</v>
      </c>
      <c r="J334" s="10" t="str">
        <f t="shared" si="2"/>
        <v>334 Clusia alata</v>
      </c>
      <c r="K334" s="10" t="str">
        <f t="shared" si="3"/>
        <v>Chagualo</v>
      </c>
      <c r="L334" s="10" t="str">
        <f t="shared" si="4"/>
        <v>334 Chagualo</v>
      </c>
      <c r="M334" s="10" t="s">
        <v>35</v>
      </c>
      <c r="N334" s="10" t="s">
        <v>36</v>
      </c>
      <c r="O334" s="10" t="s">
        <v>37</v>
      </c>
      <c r="P334" s="10" t="s">
        <v>1000</v>
      </c>
      <c r="Q334" s="13">
        <v>10.0</v>
      </c>
      <c r="R334" s="13" t="s">
        <v>53</v>
      </c>
      <c r="S334" s="13"/>
      <c r="T334" s="13"/>
      <c r="U334" s="13"/>
      <c r="V334" s="13"/>
      <c r="W334" s="16"/>
      <c r="X334" s="13"/>
    </row>
    <row r="335" ht="14.25" customHeight="1">
      <c r="A335" s="10" t="s">
        <v>754</v>
      </c>
      <c r="B335" s="10" t="s">
        <v>31</v>
      </c>
      <c r="C335" s="10">
        <v>335.0</v>
      </c>
      <c r="D335" s="11" t="s">
        <v>1001</v>
      </c>
      <c r="E335" s="11" t="s">
        <v>998</v>
      </c>
      <c r="F335" s="11" t="s">
        <v>999</v>
      </c>
      <c r="G335" s="10">
        <v>335.0</v>
      </c>
      <c r="H335" s="10">
        <f>VLOOKUP(F335,'Generos y Familia'!$A$1:$C$623,2,FALSE)</f>
        <v>37</v>
      </c>
      <c r="I335" s="12" t="str">
        <f t="shared" si="1"/>
        <v>Clusia articulata</v>
      </c>
      <c r="J335" s="10" t="str">
        <f t="shared" si="2"/>
        <v>335 Clusia articulata</v>
      </c>
      <c r="K335" s="10" t="str">
        <f t="shared" si="3"/>
        <v>Chagualo</v>
      </c>
      <c r="L335" s="10" t="str">
        <f t="shared" si="4"/>
        <v>335 Chagualo</v>
      </c>
      <c r="M335" s="10" t="s">
        <v>35</v>
      </c>
      <c r="N335" s="10" t="s">
        <v>36</v>
      </c>
      <c r="O335" s="10" t="s">
        <v>37</v>
      </c>
      <c r="P335" s="10" t="s">
        <v>1000</v>
      </c>
      <c r="Q335" s="13"/>
      <c r="R335" s="13"/>
      <c r="S335" s="13"/>
      <c r="T335" s="13"/>
      <c r="U335" s="13"/>
      <c r="V335" s="13"/>
      <c r="W335" s="16"/>
      <c r="X335" s="13"/>
    </row>
    <row r="336" ht="14.25" customHeight="1">
      <c r="A336" s="10" t="s">
        <v>754</v>
      </c>
      <c r="B336" s="10" t="s">
        <v>31</v>
      </c>
      <c r="C336" s="10">
        <v>336.0</v>
      </c>
      <c r="D336" s="11" t="s">
        <v>1002</v>
      </c>
      <c r="E336" s="11" t="s">
        <v>998</v>
      </c>
      <c r="F336" s="11" t="s">
        <v>999</v>
      </c>
      <c r="G336" s="10">
        <v>336.0</v>
      </c>
      <c r="H336" s="10">
        <f>VLOOKUP(F336,'Generos y Familia'!$A$1:$C$623,2,FALSE)</f>
        <v>37</v>
      </c>
      <c r="I336" s="12" t="str">
        <f t="shared" si="1"/>
        <v>Clusia multiflora</v>
      </c>
      <c r="J336" s="10" t="str">
        <f t="shared" si="2"/>
        <v>336 Clusia multiflora</v>
      </c>
      <c r="K336" s="10" t="str">
        <f t="shared" si="3"/>
        <v>Chagualo</v>
      </c>
      <c r="L336" s="10" t="str">
        <f t="shared" si="4"/>
        <v>336 Chagualo</v>
      </c>
      <c r="M336" s="10" t="s">
        <v>35</v>
      </c>
      <c r="N336" s="10" t="s">
        <v>36</v>
      </c>
      <c r="O336" s="10" t="s">
        <v>37</v>
      </c>
      <c r="P336" s="10" t="s">
        <v>1000</v>
      </c>
      <c r="Q336" s="17" t="s">
        <v>1003</v>
      </c>
      <c r="R336" s="14" t="s">
        <v>53</v>
      </c>
      <c r="S336" s="17" t="s">
        <v>1004</v>
      </c>
      <c r="T336" s="14" t="s">
        <v>39</v>
      </c>
      <c r="U336" s="14" t="s">
        <v>55</v>
      </c>
      <c r="V336" s="14"/>
      <c r="W336" s="17"/>
      <c r="X336" s="14"/>
    </row>
    <row r="337" ht="14.25" customHeight="1">
      <c r="A337" s="10" t="s">
        <v>754</v>
      </c>
      <c r="B337" s="10" t="s">
        <v>31</v>
      </c>
      <c r="C337" s="10">
        <v>337.0</v>
      </c>
      <c r="D337" s="11" t="s">
        <v>1005</v>
      </c>
      <c r="E337" s="11" t="s">
        <v>1006</v>
      </c>
      <c r="F337" s="11" t="s">
        <v>999</v>
      </c>
      <c r="G337" s="10">
        <v>337.0</v>
      </c>
      <c r="H337" s="10">
        <f>VLOOKUP(F337,'Generos y Familia'!$A$1:$C$623,2,FALSE)</f>
        <v>37</v>
      </c>
      <c r="I337" s="12" t="str">
        <f t="shared" si="1"/>
        <v>Clusia orthoneura</v>
      </c>
      <c r="J337" s="10" t="str">
        <f t="shared" si="2"/>
        <v>337 Clusia orthoneura</v>
      </c>
      <c r="K337" s="10" t="str">
        <f t="shared" si="3"/>
        <v>Flor de Cera</v>
      </c>
      <c r="L337" s="10" t="str">
        <f t="shared" si="4"/>
        <v>337 Flor de Cera</v>
      </c>
      <c r="M337" s="10" t="s">
        <v>35</v>
      </c>
      <c r="N337" s="10" t="s">
        <v>36</v>
      </c>
      <c r="O337" s="10" t="s">
        <v>37</v>
      </c>
      <c r="P337" s="10" t="s">
        <v>1000</v>
      </c>
      <c r="Q337" s="17" t="s">
        <v>379</v>
      </c>
      <c r="R337" s="14" t="s">
        <v>39</v>
      </c>
      <c r="S337" s="17" t="s">
        <v>145</v>
      </c>
      <c r="T337" s="14" t="s">
        <v>39</v>
      </c>
      <c r="U337" s="14" t="s">
        <v>40</v>
      </c>
      <c r="V337" s="14"/>
      <c r="W337" s="17"/>
      <c r="X337" s="14"/>
    </row>
    <row r="338" ht="14.25" customHeight="1">
      <c r="A338" s="10" t="s">
        <v>754</v>
      </c>
      <c r="B338" s="10" t="s">
        <v>31</v>
      </c>
      <c r="C338" s="10">
        <v>338.0</v>
      </c>
      <c r="D338" s="11" t="s">
        <v>1007</v>
      </c>
      <c r="E338" s="11" t="s">
        <v>1008</v>
      </c>
      <c r="F338" s="11" t="s">
        <v>999</v>
      </c>
      <c r="G338" s="10">
        <v>338.0</v>
      </c>
      <c r="H338" s="10">
        <f>VLOOKUP(F338,'Generos y Familia'!$A$1:$C$623,2,FALSE)</f>
        <v>37</v>
      </c>
      <c r="I338" s="12" t="str">
        <f t="shared" si="1"/>
        <v>Clusia sp</v>
      </c>
      <c r="J338" s="10" t="str">
        <f t="shared" si="2"/>
        <v>338 Clusia sp</v>
      </c>
      <c r="K338" s="10" t="str">
        <f t="shared" si="3"/>
        <v>Chagualo (A otra sp de genero)</v>
      </c>
      <c r="L338" s="10" t="str">
        <f t="shared" si="4"/>
        <v>338 Chagualo (A otra sp de genero)</v>
      </c>
      <c r="M338" s="10" t="s">
        <v>35</v>
      </c>
      <c r="N338" s="10" t="s">
        <v>36</v>
      </c>
      <c r="O338" s="10" t="s">
        <v>37</v>
      </c>
      <c r="P338" s="10" t="s">
        <v>1000</v>
      </c>
      <c r="Q338" s="17" t="s">
        <v>1009</v>
      </c>
      <c r="R338" s="14" t="s">
        <v>39</v>
      </c>
      <c r="S338" s="17" t="s">
        <v>1004</v>
      </c>
      <c r="T338" s="14" t="s">
        <v>39</v>
      </c>
      <c r="U338" s="14" t="s">
        <v>40</v>
      </c>
      <c r="V338" s="14"/>
      <c r="W338" s="18"/>
      <c r="X338" s="14"/>
    </row>
    <row r="339" ht="14.25" customHeight="1">
      <c r="A339" s="10" t="s">
        <v>754</v>
      </c>
      <c r="B339" s="10" t="s">
        <v>31</v>
      </c>
      <c r="C339" s="10">
        <v>339.0</v>
      </c>
      <c r="D339" s="11" t="s">
        <v>1010</v>
      </c>
      <c r="E339" s="11" t="s">
        <v>1011</v>
      </c>
      <c r="F339" s="11" t="s">
        <v>82</v>
      </c>
      <c r="G339" s="10">
        <v>339.0</v>
      </c>
      <c r="H339" s="10">
        <f>VLOOKUP(F339,'Generos y Familia'!$A$1:$C$623,2,FALSE)</f>
        <v>26</v>
      </c>
      <c r="I339" s="12" t="str">
        <f t="shared" si="1"/>
        <v>Cnidoscolus aconitifolius</v>
      </c>
      <c r="J339" s="10" t="str">
        <f t="shared" si="2"/>
        <v>339 Cnidoscolus aconitifolius</v>
      </c>
      <c r="K339" s="10" t="str">
        <f t="shared" si="3"/>
        <v>Papayuelo</v>
      </c>
      <c r="L339" s="10" t="str">
        <f t="shared" si="4"/>
        <v>339 Papayuelo</v>
      </c>
      <c r="M339" s="10" t="s">
        <v>46</v>
      </c>
      <c r="N339" s="10" t="s">
        <v>36</v>
      </c>
      <c r="O339" s="10" t="s">
        <v>37</v>
      </c>
      <c r="P339" s="10" t="s">
        <v>1012</v>
      </c>
      <c r="Q339" s="17" t="s">
        <v>612</v>
      </c>
      <c r="R339" s="14" t="s">
        <v>39</v>
      </c>
      <c r="S339" s="17" t="s">
        <v>145</v>
      </c>
      <c r="T339" s="14" t="s">
        <v>39</v>
      </c>
      <c r="U339" s="14" t="s">
        <v>55</v>
      </c>
      <c r="V339" s="14"/>
      <c r="W339" s="18"/>
      <c r="X339" s="14"/>
    </row>
    <row r="340" ht="14.25" customHeight="1">
      <c r="A340" s="10" t="s">
        <v>754</v>
      </c>
      <c r="B340" s="10" t="s">
        <v>31</v>
      </c>
      <c r="C340" s="10">
        <v>340.0</v>
      </c>
      <c r="D340" s="11" t="s">
        <v>1013</v>
      </c>
      <c r="E340" s="11" t="s">
        <v>1014</v>
      </c>
      <c r="F340" s="11" t="s">
        <v>1015</v>
      </c>
      <c r="G340" s="10">
        <v>340.0</v>
      </c>
      <c r="H340" s="10">
        <f>VLOOKUP(F340,'Generos y Familia'!$A$1:$C$623,2,FALSE)</f>
        <v>73</v>
      </c>
      <c r="I340" s="12" t="str">
        <f t="shared" si="1"/>
        <v>Coccoloba acuminata</v>
      </c>
      <c r="J340" s="10" t="str">
        <f t="shared" si="2"/>
        <v>340 Coccoloba acuminata</v>
      </c>
      <c r="K340" s="10" t="str">
        <f t="shared" si="3"/>
        <v>Maíz Tostao; Maíz Cocho</v>
      </c>
      <c r="L340" s="10" t="str">
        <f t="shared" si="4"/>
        <v>340 Maíz Tostao; Maíz Cocho</v>
      </c>
      <c r="M340" s="10" t="s">
        <v>35</v>
      </c>
      <c r="N340" s="10" t="s">
        <v>36</v>
      </c>
      <c r="O340" s="10" t="s">
        <v>37</v>
      </c>
      <c r="P340" s="10" t="s">
        <v>1016</v>
      </c>
      <c r="Q340" s="13">
        <v>8.0</v>
      </c>
      <c r="R340" s="13" t="s">
        <v>39</v>
      </c>
      <c r="S340" s="13">
        <v>20.0</v>
      </c>
      <c r="T340" s="13" t="s">
        <v>39</v>
      </c>
      <c r="U340" s="13" t="s">
        <v>55</v>
      </c>
      <c r="V340" s="13">
        <v>0.58</v>
      </c>
      <c r="W340" s="16"/>
      <c r="X340" s="13"/>
    </row>
    <row r="341" ht="14.25" customHeight="1">
      <c r="A341" s="10" t="s">
        <v>754</v>
      </c>
      <c r="B341" s="10" t="s">
        <v>31</v>
      </c>
      <c r="C341" s="10">
        <v>341.0</v>
      </c>
      <c r="D341" s="11" t="s">
        <v>1017</v>
      </c>
      <c r="E341" s="11" t="s">
        <v>1018</v>
      </c>
      <c r="F341" s="11" t="s">
        <v>1015</v>
      </c>
      <c r="G341" s="10">
        <v>341.0</v>
      </c>
      <c r="H341" s="10">
        <f>VLOOKUP(F341,'Generos y Familia'!$A$1:$C$623,2,FALSE)</f>
        <v>73</v>
      </c>
      <c r="I341" s="12" t="str">
        <f t="shared" si="1"/>
        <v>Coccoloba sp</v>
      </c>
      <c r="J341" s="10" t="str">
        <f t="shared" si="2"/>
        <v>341 Coccoloba sp</v>
      </c>
      <c r="K341" s="10" t="str">
        <f t="shared" si="3"/>
        <v>Kino Americano</v>
      </c>
      <c r="L341" s="10" t="str">
        <f t="shared" si="4"/>
        <v>341 Kino Americano</v>
      </c>
      <c r="M341" s="10" t="s">
        <v>46</v>
      </c>
      <c r="N341" s="10" t="s">
        <v>28</v>
      </c>
      <c r="O341" s="10" t="s">
        <v>37</v>
      </c>
      <c r="P341" s="10" t="s">
        <v>1016</v>
      </c>
      <c r="Q341" s="13"/>
      <c r="R341" s="13"/>
      <c r="S341" s="13"/>
      <c r="T341" s="13"/>
      <c r="U341" s="13"/>
      <c r="V341" s="13"/>
      <c r="W341" s="16"/>
      <c r="X341" s="13"/>
    </row>
    <row r="342" ht="14.25" customHeight="1">
      <c r="A342" s="10" t="s">
        <v>754</v>
      </c>
      <c r="B342" s="10" t="s">
        <v>31</v>
      </c>
      <c r="C342" s="10">
        <v>342.0</v>
      </c>
      <c r="D342" s="11" t="s">
        <v>1019</v>
      </c>
      <c r="E342" s="11" t="s">
        <v>1020</v>
      </c>
      <c r="F342" s="11" t="s">
        <v>1015</v>
      </c>
      <c r="G342" s="10">
        <v>342.0</v>
      </c>
      <c r="H342" s="10">
        <f>VLOOKUP(F342,'Generos y Familia'!$A$1:$C$623,2,FALSE)</f>
        <v>73</v>
      </c>
      <c r="I342" s="12" t="str">
        <f t="shared" si="1"/>
        <v>Coccoloba uvifera</v>
      </c>
      <c r="J342" s="10" t="str">
        <f t="shared" si="2"/>
        <v>342 Coccoloba uvifera</v>
      </c>
      <c r="K342" s="10" t="str">
        <f t="shared" si="3"/>
        <v>Uvito de Playa</v>
      </c>
      <c r="L342" s="10" t="str">
        <f t="shared" si="4"/>
        <v>342 Uvito de Playa</v>
      </c>
      <c r="M342" s="10" t="s">
        <v>35</v>
      </c>
      <c r="N342" s="10" t="s">
        <v>36</v>
      </c>
      <c r="O342" s="10" t="s">
        <v>37</v>
      </c>
      <c r="P342" s="10" t="s">
        <v>1016</v>
      </c>
      <c r="Q342" s="13">
        <v>15.0</v>
      </c>
      <c r="R342" s="13" t="s">
        <v>39</v>
      </c>
      <c r="S342" s="13">
        <v>50.0</v>
      </c>
      <c r="T342" s="13" t="s">
        <v>39</v>
      </c>
      <c r="U342" s="13" t="s">
        <v>55</v>
      </c>
      <c r="V342" s="13">
        <v>0.7</v>
      </c>
      <c r="W342" s="16"/>
      <c r="X342" s="13"/>
    </row>
    <row r="343" ht="14.25" customHeight="1">
      <c r="A343" s="10" t="s">
        <v>754</v>
      </c>
      <c r="B343" s="10" t="s">
        <v>31</v>
      </c>
      <c r="C343" s="10">
        <v>343.0</v>
      </c>
      <c r="D343" s="11" t="s">
        <v>1021</v>
      </c>
      <c r="E343" s="11" t="s">
        <v>1022</v>
      </c>
      <c r="F343" s="11" t="s">
        <v>116</v>
      </c>
      <c r="G343" s="10">
        <v>343.0</v>
      </c>
      <c r="H343" s="10">
        <f>VLOOKUP(F343,'Generos y Familia'!$A$1:$C$623,2,FALSE)</f>
        <v>14</v>
      </c>
      <c r="I343" s="12" t="str">
        <f t="shared" si="1"/>
        <v>Coccothrinax argentata</v>
      </c>
      <c r="J343" s="10" t="str">
        <f t="shared" si="2"/>
        <v>343 Coccothrinax argentata</v>
      </c>
      <c r="K343" s="10" t="str">
        <f t="shared" si="3"/>
        <v>Palma de Plata; Pactá</v>
      </c>
      <c r="L343" s="10" t="str">
        <f t="shared" si="4"/>
        <v>343 Palma de Plata; Pactá</v>
      </c>
      <c r="M343" s="10" t="s">
        <v>35</v>
      </c>
      <c r="N343" s="10" t="s">
        <v>36</v>
      </c>
      <c r="O343" s="10" t="s">
        <v>117</v>
      </c>
      <c r="P343" s="10" t="s">
        <v>1023</v>
      </c>
      <c r="Q343" s="13">
        <v>10.0</v>
      </c>
      <c r="R343" s="13" t="s">
        <v>39</v>
      </c>
      <c r="S343" s="13">
        <v>20.0</v>
      </c>
      <c r="T343" s="13" t="s">
        <v>39</v>
      </c>
      <c r="U343" s="13" t="s">
        <v>73</v>
      </c>
      <c r="V343" s="13"/>
      <c r="W343" s="16"/>
      <c r="X343" s="13"/>
    </row>
    <row r="344" ht="14.25" customHeight="1">
      <c r="A344" s="10" t="s">
        <v>754</v>
      </c>
      <c r="B344" s="10" t="s">
        <v>31</v>
      </c>
      <c r="C344" s="10">
        <v>344.0</v>
      </c>
      <c r="D344" s="11" t="s">
        <v>1024</v>
      </c>
      <c r="E344" s="11" t="s">
        <v>1025</v>
      </c>
      <c r="F344" s="11" t="s">
        <v>490</v>
      </c>
      <c r="G344" s="10">
        <v>344.0</v>
      </c>
      <c r="H344" s="10">
        <f>VLOOKUP(F344,'Generos y Familia'!$A$1:$C$623,2,FALSE)</f>
        <v>21</v>
      </c>
      <c r="I344" s="12" t="str">
        <f t="shared" si="1"/>
        <v>Cochlospermum orinocense</v>
      </c>
      <c r="J344" s="10" t="str">
        <f t="shared" si="2"/>
        <v>344 Cochlospermum orinocense</v>
      </c>
      <c r="K344" s="10" t="str">
        <f t="shared" si="3"/>
        <v>Bototo; Majagua</v>
      </c>
      <c r="L344" s="10" t="str">
        <f t="shared" si="4"/>
        <v>344 Bototo; Majagua</v>
      </c>
      <c r="M344" s="10" t="s">
        <v>35</v>
      </c>
      <c r="N344" s="10" t="s">
        <v>36</v>
      </c>
      <c r="O344" s="10" t="s">
        <v>37</v>
      </c>
      <c r="P344" s="10" t="s">
        <v>1026</v>
      </c>
      <c r="Q344" s="13">
        <v>30.0</v>
      </c>
      <c r="R344" s="13" t="s">
        <v>39</v>
      </c>
      <c r="S344" s="13">
        <v>80.0</v>
      </c>
      <c r="T344" s="13" t="s">
        <v>39</v>
      </c>
      <c r="U344" s="13" t="s">
        <v>55</v>
      </c>
      <c r="V344" s="13">
        <v>0.22</v>
      </c>
      <c r="W344" s="16"/>
      <c r="X344" s="13"/>
    </row>
    <row r="345" ht="14.25" customHeight="1">
      <c r="A345" s="10" t="s">
        <v>754</v>
      </c>
      <c r="B345" s="10" t="s">
        <v>31</v>
      </c>
      <c r="C345" s="10">
        <v>345.0</v>
      </c>
      <c r="D345" s="11" t="s">
        <v>1027</v>
      </c>
      <c r="E345" s="11" t="s">
        <v>1028</v>
      </c>
      <c r="F345" s="11" t="s">
        <v>490</v>
      </c>
      <c r="G345" s="10">
        <v>345.0</v>
      </c>
      <c r="H345" s="10">
        <f>VLOOKUP(F345,'Generos y Familia'!$A$1:$C$623,2,FALSE)</f>
        <v>21</v>
      </c>
      <c r="I345" s="12" t="str">
        <f t="shared" si="1"/>
        <v>Cochlospermum vitifolium</v>
      </c>
      <c r="J345" s="10" t="str">
        <f t="shared" si="2"/>
        <v>345 Cochlospermum vitifolium</v>
      </c>
      <c r="K345" s="10" t="str">
        <f t="shared" si="3"/>
        <v>Rosa Amarilla</v>
      </c>
      <c r="L345" s="10" t="str">
        <f t="shared" si="4"/>
        <v>345 Rosa Amarilla</v>
      </c>
      <c r="M345" s="10" t="s">
        <v>35</v>
      </c>
      <c r="N345" s="10" t="s">
        <v>36</v>
      </c>
      <c r="O345" s="10" t="s">
        <v>37</v>
      </c>
      <c r="P345" s="10" t="s">
        <v>1026</v>
      </c>
      <c r="Q345" s="13"/>
      <c r="R345" s="13"/>
      <c r="S345" s="13"/>
      <c r="T345" s="13"/>
      <c r="U345" s="13"/>
      <c r="V345" s="13"/>
      <c r="W345" s="16"/>
      <c r="X345" s="13"/>
    </row>
    <row r="346" ht="14.25" customHeight="1">
      <c r="A346" s="10" t="s">
        <v>754</v>
      </c>
      <c r="B346" s="10" t="s">
        <v>31</v>
      </c>
      <c r="C346" s="10">
        <v>346.0</v>
      </c>
      <c r="D346" s="11" t="s">
        <v>1029</v>
      </c>
      <c r="E346" s="11" t="s">
        <v>1030</v>
      </c>
      <c r="F346" s="11" t="s">
        <v>116</v>
      </c>
      <c r="G346" s="10">
        <v>346.0</v>
      </c>
      <c r="H346" s="10">
        <f>VLOOKUP(F346,'Generos y Familia'!$A$1:$C$623,2,FALSE)</f>
        <v>14</v>
      </c>
      <c r="I346" s="12" t="str">
        <f t="shared" si="1"/>
        <v>Cocos nucifera</v>
      </c>
      <c r="J346" s="10" t="str">
        <f t="shared" si="2"/>
        <v>346 Cocos nucifera</v>
      </c>
      <c r="K346" s="10" t="str">
        <f t="shared" si="3"/>
        <v>Palma de Coco; Cocotero</v>
      </c>
      <c r="L346" s="10" t="str">
        <f t="shared" si="4"/>
        <v>346 Palma de Coco; Cocotero</v>
      </c>
      <c r="M346" s="10" t="s">
        <v>46</v>
      </c>
      <c r="N346" s="10" t="s">
        <v>36</v>
      </c>
      <c r="O346" s="10" t="s">
        <v>117</v>
      </c>
      <c r="P346" s="10" t="s">
        <v>1031</v>
      </c>
      <c r="Q346" s="17" t="s">
        <v>229</v>
      </c>
      <c r="R346" s="14" t="s">
        <v>39</v>
      </c>
      <c r="S346" s="17" t="s">
        <v>62</v>
      </c>
      <c r="T346" s="14" t="s">
        <v>39</v>
      </c>
      <c r="U346" s="14" t="s">
        <v>55</v>
      </c>
      <c r="V346" s="14"/>
      <c r="W346" s="17"/>
      <c r="X346" s="14"/>
    </row>
    <row r="347" ht="14.25" customHeight="1">
      <c r="A347" s="10" t="s">
        <v>754</v>
      </c>
      <c r="B347" s="10" t="s">
        <v>31</v>
      </c>
      <c r="C347" s="10">
        <v>347.0</v>
      </c>
      <c r="D347" s="11" t="s">
        <v>1032</v>
      </c>
      <c r="E347" s="11" t="s">
        <v>1033</v>
      </c>
      <c r="F347" s="11" t="s">
        <v>82</v>
      </c>
      <c r="G347" s="10">
        <v>347.0</v>
      </c>
      <c r="H347" s="10">
        <f>VLOOKUP(F347,'Generos y Familia'!$A$1:$C$623,2,FALSE)</f>
        <v>26</v>
      </c>
      <c r="I347" s="12" t="str">
        <f t="shared" si="1"/>
        <v>Codiaeum variegatum</v>
      </c>
      <c r="J347" s="10" t="str">
        <f t="shared" si="2"/>
        <v>347 Codiaeum variegatum</v>
      </c>
      <c r="K347" s="10" t="str">
        <f t="shared" si="3"/>
        <v>Croto</v>
      </c>
      <c r="L347" s="10" t="str">
        <f t="shared" si="4"/>
        <v>347 Croto</v>
      </c>
      <c r="M347" s="10" t="s">
        <v>35</v>
      </c>
      <c r="N347" s="10" t="s">
        <v>36</v>
      </c>
      <c r="O347" s="10" t="s">
        <v>47</v>
      </c>
      <c r="P347" s="10" t="s">
        <v>1034</v>
      </c>
      <c r="Q347" s="17" t="s">
        <v>153</v>
      </c>
      <c r="R347" s="14" t="s">
        <v>39</v>
      </c>
      <c r="S347" s="17" t="s">
        <v>229</v>
      </c>
      <c r="T347" s="14" t="s">
        <v>39</v>
      </c>
      <c r="U347" s="14" t="s">
        <v>55</v>
      </c>
      <c r="V347" s="14"/>
      <c r="W347" s="18"/>
      <c r="X347" s="14"/>
    </row>
    <row r="348" ht="14.25" customHeight="1">
      <c r="A348" s="10" t="s">
        <v>754</v>
      </c>
      <c r="B348" s="10" t="s">
        <v>31</v>
      </c>
      <c r="C348" s="10">
        <v>348.0</v>
      </c>
      <c r="D348" s="11" t="s">
        <v>1035</v>
      </c>
      <c r="E348" s="11" t="s">
        <v>1036</v>
      </c>
      <c r="F348" s="11" t="s">
        <v>310</v>
      </c>
      <c r="G348" s="10">
        <v>348.0</v>
      </c>
      <c r="H348" s="10">
        <f>VLOOKUP(F348,'Generos y Familia'!$A$1:$C$623,2,FALSE)</f>
        <v>79</v>
      </c>
      <c r="I348" s="12" t="str">
        <f t="shared" si="1"/>
        <v>Coffea arabica</v>
      </c>
      <c r="J348" s="10" t="str">
        <f t="shared" si="2"/>
        <v>348 Coffea arabica</v>
      </c>
      <c r="K348" s="10" t="str">
        <f t="shared" si="3"/>
        <v>Cafeto</v>
      </c>
      <c r="L348" s="10" t="str">
        <f t="shared" si="4"/>
        <v>348 Cafeto</v>
      </c>
      <c r="M348" s="10" t="s">
        <v>46</v>
      </c>
      <c r="N348" s="10" t="s">
        <v>36</v>
      </c>
      <c r="O348" s="10" t="s">
        <v>47</v>
      </c>
      <c r="P348" s="10" t="s">
        <v>1037</v>
      </c>
      <c r="Q348" s="17" t="s">
        <v>153</v>
      </c>
      <c r="R348" s="14" t="s">
        <v>39</v>
      </c>
      <c r="S348" s="17" t="s">
        <v>448</v>
      </c>
      <c r="T348" s="14" t="s">
        <v>39</v>
      </c>
      <c r="U348" s="14" t="s">
        <v>55</v>
      </c>
      <c r="V348" s="14">
        <v>0.62</v>
      </c>
      <c r="W348" s="18"/>
      <c r="X348" s="14"/>
    </row>
    <row r="349" ht="14.25" customHeight="1">
      <c r="A349" s="10" t="s">
        <v>754</v>
      </c>
      <c r="B349" s="10" t="s">
        <v>31</v>
      </c>
      <c r="C349" s="10">
        <v>349.0</v>
      </c>
      <c r="D349" s="11" t="s">
        <v>1038</v>
      </c>
      <c r="E349" s="11" t="s">
        <v>1039</v>
      </c>
      <c r="F349" s="11" t="s">
        <v>34</v>
      </c>
      <c r="G349" s="10">
        <v>349.0</v>
      </c>
      <c r="H349" s="10">
        <f>VLOOKUP(F349,'Generos y Familia'!$A$1:$C$623,2,FALSE)</f>
        <v>27</v>
      </c>
      <c r="I349" s="12" t="str">
        <f t="shared" si="1"/>
        <v>Cojoba arborea</v>
      </c>
      <c r="J349" s="10" t="str">
        <f t="shared" si="2"/>
        <v>349 Cojoba arborea</v>
      </c>
      <c r="K349" s="10" t="str">
        <f t="shared" si="3"/>
        <v>Carbonero Zorro; Dormilón</v>
      </c>
      <c r="L349" s="10" t="str">
        <f t="shared" si="4"/>
        <v>349 Carbonero Zorro; Dormilón</v>
      </c>
      <c r="M349" s="10" t="s">
        <v>35</v>
      </c>
      <c r="N349" s="10" t="s">
        <v>36</v>
      </c>
      <c r="O349" s="10" t="s">
        <v>37</v>
      </c>
      <c r="P349" s="10" t="s">
        <v>1040</v>
      </c>
      <c r="Q349" s="17" t="s">
        <v>106</v>
      </c>
      <c r="R349" s="14" t="s">
        <v>39</v>
      </c>
      <c r="S349" s="17" t="s">
        <v>821</v>
      </c>
      <c r="T349" s="14" t="s">
        <v>39</v>
      </c>
      <c r="U349" s="14" t="s">
        <v>40</v>
      </c>
      <c r="V349" s="14">
        <v>0.65</v>
      </c>
      <c r="W349" s="18"/>
      <c r="X349" s="14"/>
    </row>
    <row r="350" ht="14.25" customHeight="1">
      <c r="A350" s="10" t="s">
        <v>754</v>
      </c>
      <c r="B350" s="10" t="s">
        <v>31</v>
      </c>
      <c r="C350" s="10">
        <v>350.0</v>
      </c>
      <c r="D350" s="11" t="s">
        <v>1041</v>
      </c>
      <c r="E350" s="11" t="s">
        <v>1041</v>
      </c>
      <c r="F350" s="11" t="s">
        <v>136</v>
      </c>
      <c r="G350" s="10">
        <v>350.0</v>
      </c>
      <c r="H350" s="10">
        <f>VLOOKUP(F350,'Generos y Familia'!$A$1:$C$623,2,FALSE)</f>
        <v>34</v>
      </c>
      <c r="I350" s="12" t="str">
        <f t="shared" si="1"/>
        <v>Coleus spp</v>
      </c>
      <c r="J350" s="10" t="str">
        <f t="shared" si="2"/>
        <v>350 Coleus spp</v>
      </c>
      <c r="K350" s="10" t="str">
        <f t="shared" si="3"/>
        <v>Coleus spp</v>
      </c>
      <c r="L350" s="10" t="str">
        <f t="shared" si="4"/>
        <v>350 Coleus spp</v>
      </c>
      <c r="M350" s="10" t="s">
        <v>46</v>
      </c>
      <c r="N350" s="10"/>
      <c r="O350" s="10"/>
      <c r="P350" s="10" t="s">
        <v>1042</v>
      </c>
      <c r="Q350" s="13"/>
      <c r="R350" s="13"/>
      <c r="S350" s="13"/>
      <c r="T350" s="13"/>
      <c r="U350" s="13"/>
      <c r="V350" s="13"/>
      <c r="W350" s="13"/>
      <c r="X350" s="13"/>
    </row>
    <row r="351" ht="14.25" customHeight="1">
      <c r="A351" s="10" t="s">
        <v>754</v>
      </c>
      <c r="B351" s="10" t="s">
        <v>31</v>
      </c>
      <c r="C351" s="10">
        <v>351.0</v>
      </c>
      <c r="D351" s="11" t="s">
        <v>1043</v>
      </c>
      <c r="E351" s="11" t="s">
        <v>1044</v>
      </c>
      <c r="F351" s="11" t="s">
        <v>1045</v>
      </c>
      <c r="G351" s="10">
        <v>351.0</v>
      </c>
      <c r="H351" s="10">
        <f>VLOOKUP(F351,'Generos y Familia'!$A$1:$C$623,2,FALSE)</f>
        <v>77</v>
      </c>
      <c r="I351" s="12" t="str">
        <f t="shared" si="1"/>
        <v>Colubrina arborescens</v>
      </c>
      <c r="J351" s="10" t="str">
        <f t="shared" si="2"/>
        <v>351 Colubrina arborescens</v>
      </c>
      <c r="K351" s="10" t="str">
        <f t="shared" si="3"/>
        <v>Mabí; Abejuelo</v>
      </c>
      <c r="L351" s="10" t="str">
        <f t="shared" si="4"/>
        <v>351 Mabí; Abejuelo</v>
      </c>
      <c r="M351" s="10" t="s">
        <v>46</v>
      </c>
      <c r="N351" s="10" t="s">
        <v>36</v>
      </c>
      <c r="O351" s="10" t="s">
        <v>37</v>
      </c>
      <c r="P351" s="10" t="s">
        <v>1046</v>
      </c>
      <c r="Q351" s="13">
        <v>6.0</v>
      </c>
      <c r="R351" s="13" t="s">
        <v>53</v>
      </c>
      <c r="S351" s="13"/>
      <c r="T351" s="13"/>
      <c r="U351" s="13" t="s">
        <v>73</v>
      </c>
      <c r="V351" s="13"/>
      <c r="W351" s="16"/>
      <c r="X351" s="13"/>
    </row>
    <row r="352" ht="14.25" customHeight="1">
      <c r="A352" s="10" t="s">
        <v>754</v>
      </c>
      <c r="B352" s="10" t="s">
        <v>31</v>
      </c>
      <c r="C352" s="10">
        <v>352.0</v>
      </c>
      <c r="D352" s="11" t="s">
        <v>1047</v>
      </c>
      <c r="E352" s="11" t="s">
        <v>1048</v>
      </c>
      <c r="F352" s="11" t="s">
        <v>1049</v>
      </c>
      <c r="G352" s="10">
        <v>352.0</v>
      </c>
      <c r="H352" s="10">
        <f>VLOOKUP(F352,'Generos y Familia'!$A$1:$C$623,2,FALSE)</f>
        <v>47</v>
      </c>
      <c r="I352" s="12" t="str">
        <f t="shared" si="1"/>
        <v>Compsoneura sp</v>
      </c>
      <c r="J352" s="10" t="str">
        <f t="shared" si="2"/>
        <v>352 Compsoneura sp</v>
      </c>
      <c r="K352" s="10" t="str">
        <f t="shared" si="3"/>
        <v>Soto</v>
      </c>
      <c r="L352" s="10" t="str">
        <f t="shared" si="4"/>
        <v>352 Soto</v>
      </c>
      <c r="M352" s="10" t="s">
        <v>35</v>
      </c>
      <c r="N352" s="10"/>
      <c r="O352" s="10" t="s">
        <v>37</v>
      </c>
      <c r="P352" s="10" t="s">
        <v>1050</v>
      </c>
      <c r="Q352" s="13"/>
      <c r="R352" s="13"/>
      <c r="S352" s="13"/>
      <c r="T352" s="13"/>
      <c r="U352" s="13"/>
      <c r="V352" s="13"/>
      <c r="W352" s="13"/>
      <c r="X352" s="13"/>
    </row>
    <row r="353" ht="14.25" customHeight="1">
      <c r="A353" s="10" t="s">
        <v>754</v>
      </c>
      <c r="B353" s="10" t="s">
        <v>31</v>
      </c>
      <c r="C353" s="10">
        <v>353.0</v>
      </c>
      <c r="D353" s="11" t="s">
        <v>1051</v>
      </c>
      <c r="E353" s="11" t="s">
        <v>1052</v>
      </c>
      <c r="F353" s="11" t="s">
        <v>310</v>
      </c>
      <c r="G353" s="10">
        <v>353.0</v>
      </c>
      <c r="H353" s="10">
        <f>VLOOKUP(F353,'Generos y Familia'!$A$1:$C$623,2,FALSE)</f>
        <v>79</v>
      </c>
      <c r="I353" s="12" t="str">
        <f t="shared" si="1"/>
        <v>Condaminea corymbosa</v>
      </c>
      <c r="J353" s="10" t="str">
        <f t="shared" si="2"/>
        <v>353 Condaminea corymbosa</v>
      </c>
      <c r="K353" s="10" t="str">
        <f t="shared" si="3"/>
        <v>Azuceno; Cascarillo; Quino Blanco</v>
      </c>
      <c r="L353" s="10" t="str">
        <f t="shared" si="4"/>
        <v>353 Azuceno; Cascarillo; Quino Blanco</v>
      </c>
      <c r="M353" s="10" t="s">
        <v>35</v>
      </c>
      <c r="N353" s="10" t="s">
        <v>36</v>
      </c>
      <c r="O353" s="10" t="s">
        <v>37</v>
      </c>
      <c r="P353" s="10" t="s">
        <v>1053</v>
      </c>
      <c r="Q353" s="13"/>
      <c r="R353" s="13"/>
      <c r="S353" s="13"/>
      <c r="T353" s="13"/>
      <c r="U353" s="13"/>
      <c r="V353" s="13"/>
      <c r="W353" s="13"/>
      <c r="X353" s="13"/>
    </row>
    <row r="354" ht="14.25" customHeight="1">
      <c r="A354" s="10" t="s">
        <v>754</v>
      </c>
      <c r="B354" s="10" t="s">
        <v>31</v>
      </c>
      <c r="C354" s="10">
        <v>354.0</v>
      </c>
      <c r="D354" s="11" t="s">
        <v>1054</v>
      </c>
      <c r="E354" s="11" t="s">
        <v>1055</v>
      </c>
      <c r="F354" s="11" t="s">
        <v>574</v>
      </c>
      <c r="G354" s="10">
        <v>354.0</v>
      </c>
      <c r="H354" s="10">
        <f>VLOOKUP(F354,'Generos y Familia'!$A$1:$C$623,2,FALSE)</f>
        <v>39</v>
      </c>
      <c r="I354" s="12" t="str">
        <f t="shared" si="1"/>
        <v>Conocarpus erectus</v>
      </c>
      <c r="J354" s="10" t="str">
        <f t="shared" si="2"/>
        <v>354 Conocarpus erectus</v>
      </c>
      <c r="K354" s="10" t="str">
        <f t="shared" si="3"/>
        <v>Mangle Botoncillo</v>
      </c>
      <c r="L354" s="10" t="str">
        <f t="shared" si="4"/>
        <v>354 Mangle Botoncillo</v>
      </c>
      <c r="M354" s="10" t="s">
        <v>35</v>
      </c>
      <c r="N354" s="10" t="s">
        <v>36</v>
      </c>
      <c r="O354" s="10" t="s">
        <v>37</v>
      </c>
      <c r="P354" s="10" t="s">
        <v>1056</v>
      </c>
      <c r="Q354" s="13">
        <v>10.0</v>
      </c>
      <c r="R354" s="13" t="s">
        <v>53</v>
      </c>
      <c r="S354" s="13"/>
      <c r="T354" s="13"/>
      <c r="U354" s="13" t="s">
        <v>40</v>
      </c>
      <c r="V354" s="13"/>
      <c r="W354" s="13"/>
      <c r="X354" s="13"/>
    </row>
    <row r="355" ht="14.25" customHeight="1">
      <c r="A355" s="10" t="s">
        <v>754</v>
      </c>
      <c r="B355" s="10" t="s">
        <v>31</v>
      </c>
      <c r="C355" s="10">
        <v>355.0</v>
      </c>
      <c r="D355" s="11" t="s">
        <v>1057</v>
      </c>
      <c r="E355" s="11" t="s">
        <v>1058</v>
      </c>
      <c r="F355" s="11" t="s">
        <v>34</v>
      </c>
      <c r="G355" s="10">
        <v>355.0</v>
      </c>
      <c r="H355" s="10">
        <f>VLOOKUP(F355,'Generos y Familia'!$A$1:$C$623,2,FALSE)</f>
        <v>27</v>
      </c>
      <c r="I355" s="12" t="str">
        <f t="shared" si="1"/>
        <v>Copaifera canime</v>
      </c>
      <c r="J355" s="10" t="str">
        <f t="shared" si="2"/>
        <v>355 Copaifera canime</v>
      </c>
      <c r="K355" s="10" t="str">
        <f t="shared" si="3"/>
        <v>Canime; Aceite; Copaiba; Copayero</v>
      </c>
      <c r="L355" s="10" t="str">
        <f t="shared" si="4"/>
        <v>355 Canime; Aceite; Copaiba; Copayero</v>
      </c>
      <c r="M355" s="10" t="s">
        <v>35</v>
      </c>
      <c r="N355" s="10" t="s">
        <v>36</v>
      </c>
      <c r="O355" s="10" t="s">
        <v>37</v>
      </c>
      <c r="P355" s="10" t="s">
        <v>1059</v>
      </c>
      <c r="Q355" s="13">
        <v>20.0</v>
      </c>
      <c r="R355" s="13" t="s">
        <v>53</v>
      </c>
      <c r="S355" s="13"/>
      <c r="T355" s="13"/>
      <c r="U355" s="13" t="s">
        <v>40</v>
      </c>
      <c r="V355" s="13"/>
      <c r="W355" s="13"/>
      <c r="X355" s="13"/>
    </row>
    <row r="356" ht="14.25" customHeight="1">
      <c r="A356" s="10" t="s">
        <v>754</v>
      </c>
      <c r="B356" s="10" t="s">
        <v>31</v>
      </c>
      <c r="C356" s="10">
        <v>356.0</v>
      </c>
      <c r="D356" s="11" t="s">
        <v>1060</v>
      </c>
      <c r="E356" s="11" t="s">
        <v>1061</v>
      </c>
      <c r="F356" s="11" t="s">
        <v>34</v>
      </c>
      <c r="G356" s="10">
        <v>356.0</v>
      </c>
      <c r="H356" s="10">
        <f>VLOOKUP(F356,'Generos y Familia'!$A$1:$C$623,2,FALSE)</f>
        <v>27</v>
      </c>
      <c r="I356" s="12" t="str">
        <f t="shared" si="1"/>
        <v>Copaifera sp</v>
      </c>
      <c r="J356" s="10" t="str">
        <f t="shared" si="2"/>
        <v>356 Copaifera sp</v>
      </c>
      <c r="K356" s="10" t="str">
        <f t="shared" si="3"/>
        <v>Canines</v>
      </c>
      <c r="L356" s="10" t="str">
        <f t="shared" si="4"/>
        <v>356 Canines</v>
      </c>
      <c r="M356" s="10" t="s">
        <v>46</v>
      </c>
      <c r="N356" s="10" t="s">
        <v>36</v>
      </c>
      <c r="O356" s="10" t="s">
        <v>37</v>
      </c>
      <c r="P356" s="10" t="s">
        <v>1059</v>
      </c>
      <c r="Q356" s="13"/>
      <c r="R356" s="13"/>
      <c r="S356" s="13"/>
      <c r="T356" s="13"/>
      <c r="U356" s="13"/>
      <c r="V356" s="13"/>
      <c r="W356" s="13"/>
      <c r="X356" s="13"/>
    </row>
    <row r="357" ht="14.25" customHeight="1">
      <c r="A357" s="10" t="s">
        <v>754</v>
      </c>
      <c r="B357" s="10" t="s">
        <v>31</v>
      </c>
      <c r="C357" s="10">
        <v>357.0</v>
      </c>
      <c r="D357" s="11" t="s">
        <v>1062</v>
      </c>
      <c r="E357" s="11" t="s">
        <v>1063</v>
      </c>
      <c r="F357" s="11" t="s">
        <v>1064</v>
      </c>
      <c r="G357" s="10">
        <v>357.0</v>
      </c>
      <c r="H357" s="10">
        <f>VLOOKUP(F357,'Generos y Familia'!$A$1:$C$623,2,FALSE)</f>
        <v>22</v>
      </c>
      <c r="I357" s="12" t="str">
        <f t="shared" si="1"/>
        <v>Cordia alliodora</v>
      </c>
      <c r="J357" s="10" t="str">
        <f t="shared" si="2"/>
        <v>357 Cordia alliodora</v>
      </c>
      <c r="K357" s="10" t="str">
        <f t="shared" si="3"/>
        <v>Nogal Cafetero</v>
      </c>
      <c r="L357" s="10" t="str">
        <f t="shared" si="4"/>
        <v>357 Nogal Cafetero</v>
      </c>
      <c r="M357" s="10" t="s">
        <v>35</v>
      </c>
      <c r="N357" s="10" t="s">
        <v>36</v>
      </c>
      <c r="O357" s="10" t="s">
        <v>37</v>
      </c>
      <c r="P357" s="10" t="s">
        <v>1065</v>
      </c>
      <c r="Q357" s="17" t="s">
        <v>54</v>
      </c>
      <c r="R357" s="14" t="s">
        <v>39</v>
      </c>
      <c r="S357" s="17" t="s">
        <v>1066</v>
      </c>
      <c r="T357" s="14" t="s">
        <v>39</v>
      </c>
      <c r="U357" s="14" t="s">
        <v>55</v>
      </c>
      <c r="V357" s="14">
        <v>0.46</v>
      </c>
      <c r="W357" s="17"/>
      <c r="X357" s="14"/>
    </row>
    <row r="358" ht="14.25" customHeight="1">
      <c r="A358" s="10" t="s">
        <v>754</v>
      </c>
      <c r="B358" s="10" t="s">
        <v>31</v>
      </c>
      <c r="C358" s="10">
        <v>358.0</v>
      </c>
      <c r="D358" s="11" t="s">
        <v>1067</v>
      </c>
      <c r="E358" s="11" t="s">
        <v>1068</v>
      </c>
      <c r="F358" s="11" t="s">
        <v>1064</v>
      </c>
      <c r="G358" s="10">
        <v>358.0</v>
      </c>
      <c r="H358" s="10">
        <f>VLOOKUP(F358,'Generos y Familia'!$A$1:$C$623,2,FALSE)</f>
        <v>22</v>
      </c>
      <c r="I358" s="12" t="str">
        <f t="shared" si="1"/>
        <v>Guayubirá</v>
      </c>
      <c r="J358" s="10" t="str">
        <f t="shared" si="2"/>
        <v>358 Guayubirá</v>
      </c>
      <c r="K358" s="10" t="str">
        <f t="shared" si="3"/>
        <v>Guayaibí; Guayaibí Blanco</v>
      </c>
      <c r="L358" s="10" t="str">
        <f t="shared" si="4"/>
        <v>358 Guayaibí; Guayaibí Blanco</v>
      </c>
      <c r="M358" s="10" t="s">
        <v>46</v>
      </c>
      <c r="N358" s="10" t="s">
        <v>36</v>
      </c>
      <c r="O358" s="10" t="s">
        <v>37</v>
      </c>
      <c r="P358" s="10" t="s">
        <v>1067</v>
      </c>
      <c r="Q358" s="13"/>
      <c r="R358" s="13"/>
      <c r="S358" s="13"/>
      <c r="T358" s="13"/>
      <c r="U358" s="13"/>
      <c r="V358" s="13"/>
      <c r="W358" s="13"/>
      <c r="X358" s="13"/>
    </row>
    <row r="359" ht="14.25" customHeight="1">
      <c r="A359" s="10" t="s">
        <v>754</v>
      </c>
      <c r="B359" s="10" t="s">
        <v>31</v>
      </c>
      <c r="C359" s="10">
        <v>359.0</v>
      </c>
      <c r="D359" s="11" t="s">
        <v>1069</v>
      </c>
      <c r="E359" s="11" t="s">
        <v>1070</v>
      </c>
      <c r="F359" s="11" t="s">
        <v>1064</v>
      </c>
      <c r="G359" s="10">
        <v>359.0</v>
      </c>
      <c r="H359" s="10">
        <f>VLOOKUP(F359,'Generos y Familia'!$A$1:$C$623,2,FALSE)</f>
        <v>22</v>
      </c>
      <c r="I359" s="12" t="str">
        <f t="shared" si="1"/>
        <v>Cordia dentata</v>
      </c>
      <c r="J359" s="10" t="str">
        <f t="shared" si="2"/>
        <v>359 Cordia dentata</v>
      </c>
      <c r="K359" s="10" t="str">
        <f t="shared" si="3"/>
        <v>Palo Noble; Uvito</v>
      </c>
      <c r="L359" s="10" t="str">
        <f t="shared" si="4"/>
        <v>359 Palo Noble; Uvito</v>
      </c>
      <c r="M359" s="10" t="s">
        <v>35</v>
      </c>
      <c r="N359" s="10" t="s">
        <v>36</v>
      </c>
      <c r="O359" s="10" t="s">
        <v>37</v>
      </c>
      <c r="P359" s="10" t="s">
        <v>1065</v>
      </c>
      <c r="Q359" s="13"/>
      <c r="R359" s="13"/>
      <c r="S359" s="13"/>
      <c r="T359" s="13"/>
      <c r="U359" s="13"/>
      <c r="V359" s="13"/>
      <c r="W359" s="13"/>
      <c r="X359" s="13"/>
    </row>
    <row r="360" ht="14.25" customHeight="1">
      <c r="A360" s="10" t="s">
        <v>754</v>
      </c>
      <c r="B360" s="10" t="s">
        <v>31</v>
      </c>
      <c r="C360" s="10">
        <v>360.0</v>
      </c>
      <c r="D360" s="11" t="s">
        <v>1071</v>
      </c>
      <c r="E360" s="11" t="s">
        <v>1072</v>
      </c>
      <c r="F360" s="11" t="s">
        <v>1064</v>
      </c>
      <c r="G360" s="10">
        <v>360.0</v>
      </c>
      <c r="H360" s="10">
        <f>VLOOKUP(F360,'Generos y Familia'!$A$1:$C$623,2,FALSE)</f>
        <v>22</v>
      </c>
      <c r="I360" s="12" t="str">
        <f t="shared" si="1"/>
        <v>Cordia gerascanthus</v>
      </c>
      <c r="J360" s="10" t="str">
        <f t="shared" si="2"/>
        <v>360 Cordia gerascanthus</v>
      </c>
      <c r="K360" s="10" t="str">
        <f t="shared" si="3"/>
        <v>Moncoro</v>
      </c>
      <c r="L360" s="10" t="str">
        <f t="shared" si="4"/>
        <v>360 Moncoro</v>
      </c>
      <c r="M360" s="10" t="s">
        <v>46</v>
      </c>
      <c r="N360" s="10" t="s">
        <v>36</v>
      </c>
      <c r="O360" s="10" t="s">
        <v>37</v>
      </c>
      <c r="P360" s="10" t="s">
        <v>1065</v>
      </c>
      <c r="Q360" s="13">
        <v>30.0</v>
      </c>
      <c r="R360" s="13" t="s">
        <v>39</v>
      </c>
      <c r="S360" s="13">
        <v>65.0</v>
      </c>
      <c r="T360" s="13" t="s">
        <v>39</v>
      </c>
      <c r="U360" s="13" t="s">
        <v>55</v>
      </c>
      <c r="V360" s="13">
        <v>0.74</v>
      </c>
      <c r="W360" s="13"/>
      <c r="X360" s="13"/>
    </row>
    <row r="361" ht="14.25" customHeight="1">
      <c r="A361" s="10" t="s">
        <v>754</v>
      </c>
      <c r="B361" s="10" t="s">
        <v>31</v>
      </c>
      <c r="C361" s="10">
        <v>361.0</v>
      </c>
      <c r="D361" s="11" t="s">
        <v>1073</v>
      </c>
      <c r="E361" s="11" t="s">
        <v>1074</v>
      </c>
      <c r="F361" s="11" t="s">
        <v>1064</v>
      </c>
      <c r="G361" s="10">
        <v>361.0</v>
      </c>
      <c r="H361" s="10">
        <f>VLOOKUP(F361,'Generos y Familia'!$A$1:$C$623,2,FALSE)</f>
        <v>22</v>
      </c>
      <c r="I361" s="12" t="str">
        <f t="shared" si="1"/>
        <v>Cordia sebestena</v>
      </c>
      <c r="J361" s="10" t="str">
        <f t="shared" si="2"/>
        <v>361 Cordia sebestena</v>
      </c>
      <c r="K361" s="10" t="str">
        <f t="shared" si="3"/>
        <v>Carambolí; Sanjoaquín; Nomeolvides; Gomo</v>
      </c>
      <c r="L361" s="10" t="str">
        <f t="shared" si="4"/>
        <v>361 Carambolí; Sanjoaquín; Nomeolvides; Gomo</v>
      </c>
      <c r="M361" s="10" t="s">
        <v>35</v>
      </c>
      <c r="N361" s="10" t="s">
        <v>36</v>
      </c>
      <c r="O361" s="10" t="s">
        <v>37</v>
      </c>
      <c r="P361" s="10" t="s">
        <v>1065</v>
      </c>
      <c r="Q361" s="13">
        <v>8.0</v>
      </c>
      <c r="R361" s="13" t="s">
        <v>53</v>
      </c>
      <c r="S361" s="13"/>
      <c r="T361" s="13"/>
      <c r="U361" s="13"/>
      <c r="V361" s="13"/>
      <c r="W361" s="13"/>
      <c r="X361" s="13"/>
    </row>
    <row r="362" ht="14.25" customHeight="1">
      <c r="A362" s="10" t="s">
        <v>754</v>
      </c>
      <c r="B362" s="10" t="s">
        <v>31</v>
      </c>
      <c r="C362" s="10">
        <v>362.0</v>
      </c>
      <c r="D362" s="11" t="s">
        <v>1075</v>
      </c>
      <c r="E362" s="11" t="s">
        <v>1076</v>
      </c>
      <c r="F362" s="11" t="s">
        <v>1064</v>
      </c>
      <c r="G362" s="10">
        <v>362.0</v>
      </c>
      <c r="H362" s="10">
        <f>VLOOKUP(F362,'Generos y Familia'!$A$1:$C$623,2,FALSE)</f>
        <v>22</v>
      </c>
      <c r="I362" s="12" t="str">
        <f t="shared" si="1"/>
        <v>Cordia sp</v>
      </c>
      <c r="J362" s="10" t="str">
        <f t="shared" si="2"/>
        <v>362 Cordia sp</v>
      </c>
      <c r="K362" s="10" t="str">
        <f t="shared" si="3"/>
        <v>Nogal (A otra sp de genero)</v>
      </c>
      <c r="L362" s="10" t="str">
        <f t="shared" si="4"/>
        <v>362 Nogal (A otra sp de genero)</v>
      </c>
      <c r="M362" s="10" t="s">
        <v>46</v>
      </c>
      <c r="N362" s="10" t="s">
        <v>36</v>
      </c>
      <c r="O362" s="10" t="s">
        <v>37</v>
      </c>
      <c r="P362" s="10" t="s">
        <v>1065</v>
      </c>
      <c r="Q362" s="17" t="s">
        <v>683</v>
      </c>
      <c r="R362" s="14" t="s">
        <v>39</v>
      </c>
      <c r="S362" s="17" t="s">
        <v>1077</v>
      </c>
      <c r="T362" s="14" t="s">
        <v>39</v>
      </c>
      <c r="U362" s="14" t="s">
        <v>55</v>
      </c>
      <c r="V362" s="14" t="s">
        <v>1078</v>
      </c>
      <c r="W362" s="18"/>
      <c r="X362" s="14" t="s">
        <v>190</v>
      </c>
    </row>
    <row r="363" ht="14.25" customHeight="1">
      <c r="A363" s="10" t="s">
        <v>754</v>
      </c>
      <c r="B363" s="10" t="s">
        <v>31</v>
      </c>
      <c r="C363" s="10">
        <v>363.0</v>
      </c>
      <c r="D363" s="11" t="s">
        <v>1079</v>
      </c>
      <c r="E363" s="11" t="s">
        <v>1080</v>
      </c>
      <c r="F363" s="11" t="s">
        <v>1064</v>
      </c>
      <c r="G363" s="10">
        <v>363.0</v>
      </c>
      <c r="H363" s="10">
        <f>VLOOKUP(F363,'Generos y Familia'!$A$1:$C$623,2,FALSE)</f>
        <v>22</v>
      </c>
      <c r="I363" s="12" t="str">
        <f t="shared" si="1"/>
        <v>Cordia subcordata</v>
      </c>
      <c r="J363" s="10" t="str">
        <f t="shared" si="2"/>
        <v>363 Cordia subcordata</v>
      </c>
      <c r="K363" s="10" t="str">
        <f t="shared" si="3"/>
        <v>Árbol de Queroseno</v>
      </c>
      <c r="L363" s="10" t="str">
        <f t="shared" si="4"/>
        <v>363 Árbol de Queroseno</v>
      </c>
      <c r="M363" s="10" t="s">
        <v>46</v>
      </c>
      <c r="N363" s="10" t="s">
        <v>36</v>
      </c>
      <c r="O363" s="10" t="s">
        <v>37</v>
      </c>
      <c r="P363" s="10" t="s">
        <v>1065</v>
      </c>
      <c r="Q363" s="10"/>
      <c r="R363" s="10"/>
      <c r="S363" s="13"/>
      <c r="T363" s="13"/>
      <c r="U363" s="13" t="s">
        <v>55</v>
      </c>
      <c r="V363" s="13"/>
      <c r="W363" s="16"/>
      <c r="X363" s="13"/>
    </row>
    <row r="364" ht="14.25" customHeight="1">
      <c r="A364" s="10" t="s">
        <v>754</v>
      </c>
      <c r="B364" s="10" t="s">
        <v>31</v>
      </c>
      <c r="C364" s="10">
        <v>364.0</v>
      </c>
      <c r="D364" s="11" t="s">
        <v>1081</v>
      </c>
      <c r="E364" s="11" t="s">
        <v>1082</v>
      </c>
      <c r="F364" s="11" t="s">
        <v>148</v>
      </c>
      <c r="G364" s="10">
        <v>364.0</v>
      </c>
      <c r="H364" s="10">
        <f>VLOOKUP(F364,'Generos y Familia'!$A$1:$C$623,2,FALSE)</f>
        <v>15</v>
      </c>
      <c r="I364" s="12" t="str">
        <f t="shared" si="1"/>
        <v>Cordyline australis</v>
      </c>
      <c r="J364" s="10" t="str">
        <f t="shared" si="2"/>
        <v>364 Cordyline australis</v>
      </c>
      <c r="K364" s="10" t="str">
        <f t="shared" si="3"/>
        <v>Palma de Torbay</v>
      </c>
      <c r="L364" s="10" t="str">
        <f t="shared" si="4"/>
        <v>364 Palma de Torbay</v>
      </c>
      <c r="M364" s="10" t="s">
        <v>46</v>
      </c>
      <c r="N364" s="10" t="s">
        <v>36</v>
      </c>
      <c r="O364" s="10" t="s">
        <v>47</v>
      </c>
      <c r="P364" s="10" t="s">
        <v>1083</v>
      </c>
      <c r="Q364" s="13"/>
      <c r="R364" s="13"/>
      <c r="S364" s="13"/>
      <c r="T364" s="13"/>
      <c r="U364" s="13"/>
      <c r="V364" s="13"/>
      <c r="W364" s="16"/>
      <c r="X364" s="13"/>
    </row>
    <row r="365" ht="14.25" customHeight="1">
      <c r="A365" s="10" t="s">
        <v>754</v>
      </c>
      <c r="B365" s="10" t="s">
        <v>31</v>
      </c>
      <c r="C365" s="10">
        <v>365.0</v>
      </c>
      <c r="D365" s="11" t="s">
        <v>1084</v>
      </c>
      <c r="E365" s="11" t="s">
        <v>1085</v>
      </c>
      <c r="F365" s="11" t="s">
        <v>148</v>
      </c>
      <c r="G365" s="10">
        <v>365.0</v>
      </c>
      <c r="H365" s="10">
        <f>VLOOKUP(F365,'Generos y Familia'!$A$1:$C$623,2,FALSE)</f>
        <v>15</v>
      </c>
      <c r="I365" s="12" t="str">
        <f t="shared" si="1"/>
        <v>Cordyline fruticosa</v>
      </c>
      <c r="J365" s="10" t="str">
        <f t="shared" si="2"/>
        <v>365 Cordyline fruticosa</v>
      </c>
      <c r="K365" s="10" t="str">
        <f t="shared" si="3"/>
        <v>Carey; Palma de Cementerio; Flor de Difunto</v>
      </c>
      <c r="L365" s="10" t="str">
        <f t="shared" si="4"/>
        <v>365 Carey; Palma de Cementerio; Flor de Difunto</v>
      </c>
      <c r="M365" s="10" t="s">
        <v>46</v>
      </c>
      <c r="N365" s="10" t="s">
        <v>36</v>
      </c>
      <c r="O365" s="10" t="s">
        <v>47</v>
      </c>
      <c r="P365" s="10" t="s">
        <v>1083</v>
      </c>
      <c r="Q365" s="17" t="s">
        <v>632</v>
      </c>
      <c r="R365" s="14" t="s">
        <v>53</v>
      </c>
      <c r="S365" s="17" t="s">
        <v>229</v>
      </c>
      <c r="T365" s="14"/>
      <c r="U365" s="14" t="s">
        <v>40</v>
      </c>
      <c r="V365" s="14"/>
      <c r="W365" s="17"/>
      <c r="X365" s="14" t="s">
        <v>41</v>
      </c>
    </row>
    <row r="366" ht="14.25" customHeight="1">
      <c r="A366" s="10" t="s">
        <v>754</v>
      </c>
      <c r="B366" s="10" t="s">
        <v>31</v>
      </c>
      <c r="C366" s="10">
        <v>366.0</v>
      </c>
      <c r="D366" s="11" t="s">
        <v>1086</v>
      </c>
      <c r="E366" s="11" t="s">
        <v>1087</v>
      </c>
      <c r="F366" s="11" t="s">
        <v>148</v>
      </c>
      <c r="G366" s="10">
        <v>366.0</v>
      </c>
      <c r="H366" s="10">
        <f>VLOOKUP(F366,'Generos y Familia'!$A$1:$C$623,2,FALSE)</f>
        <v>15</v>
      </c>
      <c r="I366" s="12" t="str">
        <f t="shared" si="1"/>
        <v>Cordyline rubra</v>
      </c>
      <c r="J366" s="10" t="str">
        <f t="shared" si="2"/>
        <v>366 Cordyline rubra</v>
      </c>
      <c r="K366" s="10" t="str">
        <f t="shared" si="3"/>
        <v>Drácena Roja</v>
      </c>
      <c r="L366" s="10" t="str">
        <f t="shared" si="4"/>
        <v>366 Drácena Roja</v>
      </c>
      <c r="M366" s="10" t="s">
        <v>46</v>
      </c>
      <c r="N366" s="10" t="s">
        <v>36</v>
      </c>
      <c r="O366" s="10" t="s">
        <v>47</v>
      </c>
      <c r="P366" s="10" t="s">
        <v>1083</v>
      </c>
      <c r="Q366" s="17" t="s">
        <v>632</v>
      </c>
      <c r="R366" s="14" t="s">
        <v>53</v>
      </c>
      <c r="S366" s="17" t="s">
        <v>229</v>
      </c>
      <c r="T366" s="14"/>
      <c r="U366" s="14" t="s">
        <v>73</v>
      </c>
      <c r="V366" s="14"/>
      <c r="W366" s="17"/>
      <c r="X366" s="14" t="s">
        <v>41</v>
      </c>
    </row>
    <row r="367" ht="14.25" customHeight="1">
      <c r="A367" s="10" t="s">
        <v>754</v>
      </c>
      <c r="B367" s="10" t="s">
        <v>31</v>
      </c>
      <c r="C367" s="10">
        <v>368.0</v>
      </c>
      <c r="D367" s="11" t="s">
        <v>1088</v>
      </c>
      <c r="E367" s="11" t="s">
        <v>1089</v>
      </c>
      <c r="F367" s="11" t="s">
        <v>1090</v>
      </c>
      <c r="G367" s="10">
        <v>368.0</v>
      </c>
      <c r="H367" s="10">
        <f>VLOOKUP(F367,'Generos y Familia'!$A$1:$C$623,2,FALSE)</f>
        <v>42</v>
      </c>
      <c r="I367" s="12" t="str">
        <f t="shared" si="1"/>
        <v>Coriaria ruscifolia L</v>
      </c>
      <c r="J367" s="10" t="str">
        <f t="shared" si="2"/>
        <v>368 Coriaria ruscifolia L</v>
      </c>
      <c r="K367" s="10" t="str">
        <f t="shared" si="3"/>
        <v>Sansá; Matarratones</v>
      </c>
      <c r="L367" s="10" t="str">
        <f t="shared" si="4"/>
        <v>368 Sansá; Matarratones</v>
      </c>
      <c r="M367" s="10" t="s">
        <v>46</v>
      </c>
      <c r="N367" s="10" t="s">
        <v>36</v>
      </c>
      <c r="O367" s="10" t="s">
        <v>47</v>
      </c>
      <c r="P367" s="10" t="s">
        <v>1091</v>
      </c>
      <c r="Q367" s="13"/>
      <c r="R367" s="13"/>
      <c r="S367" s="13"/>
      <c r="T367" s="13"/>
      <c r="U367" s="13"/>
      <c r="V367" s="13"/>
      <c r="W367" s="16"/>
      <c r="X367" s="13"/>
    </row>
    <row r="368" ht="14.25" customHeight="1">
      <c r="A368" s="10" t="s">
        <v>754</v>
      </c>
      <c r="B368" s="10" t="s">
        <v>31</v>
      </c>
      <c r="C368" s="10">
        <v>369.0</v>
      </c>
      <c r="D368" s="11" t="s">
        <v>1092</v>
      </c>
      <c r="E368" s="11" t="s">
        <v>1093</v>
      </c>
      <c r="F368" s="11" t="s">
        <v>136</v>
      </c>
      <c r="G368" s="10">
        <v>369.0</v>
      </c>
      <c r="H368" s="10">
        <f>VLOOKUP(F368,'Generos y Familia'!$A$1:$C$623,2,FALSE)</f>
        <v>34</v>
      </c>
      <c r="I368" s="12" t="str">
        <f t="shared" si="1"/>
        <v>Cornutia pyramidata</v>
      </c>
      <c r="J368" s="10" t="str">
        <f t="shared" si="2"/>
        <v>369 Cornutia pyramidata</v>
      </c>
      <c r="K368" s="10" t="str">
        <f t="shared" si="3"/>
        <v>Lengua de Vaca; Ahumapescado</v>
      </c>
      <c r="L368" s="10" t="str">
        <f t="shared" si="4"/>
        <v>369 Lengua de Vaca; Ahumapescado</v>
      </c>
      <c r="M368" s="10" t="s">
        <v>46</v>
      </c>
      <c r="N368" s="10" t="s">
        <v>36</v>
      </c>
      <c r="O368" s="10" t="s">
        <v>47</v>
      </c>
      <c r="P368" s="10" t="s">
        <v>1094</v>
      </c>
      <c r="Q368" s="13"/>
      <c r="R368" s="13"/>
      <c r="S368" s="13" t="s">
        <v>1095</v>
      </c>
      <c r="T368" s="13"/>
      <c r="U368" s="13"/>
      <c r="V368" s="13"/>
      <c r="W368" s="16"/>
      <c r="X368" s="13"/>
    </row>
    <row r="369" ht="14.25" customHeight="1">
      <c r="A369" s="10" t="s">
        <v>754</v>
      </c>
      <c r="B369" s="10" t="s">
        <v>31</v>
      </c>
      <c r="C369" s="10">
        <v>370.0</v>
      </c>
      <c r="D369" s="11" t="s">
        <v>1096</v>
      </c>
      <c r="E369" s="11" t="s">
        <v>1097</v>
      </c>
      <c r="F369" s="11" t="s">
        <v>95</v>
      </c>
      <c r="G369" s="10">
        <v>370.0</v>
      </c>
      <c r="H369" s="10">
        <f>VLOOKUP(F369,'Generos y Familia'!$A$1:$C$623,2,FALSE)</f>
        <v>49</v>
      </c>
      <c r="I369" s="12" t="str">
        <f t="shared" si="1"/>
        <v>Corymbia ficifolia</v>
      </c>
      <c r="J369" s="10" t="str">
        <f t="shared" si="2"/>
        <v>370 Corymbia ficifolia</v>
      </c>
      <c r="K369" s="10" t="str">
        <f t="shared" si="3"/>
        <v>Eucalipto Pomarroso</v>
      </c>
      <c r="L369" s="10" t="str">
        <f t="shared" si="4"/>
        <v>370 Eucalipto Pomarroso</v>
      </c>
      <c r="M369" s="10" t="s">
        <v>46</v>
      </c>
      <c r="N369" s="10" t="s">
        <v>36</v>
      </c>
      <c r="O369" s="10" t="s">
        <v>37</v>
      </c>
      <c r="P369" s="10" t="s">
        <v>1098</v>
      </c>
      <c r="Q369" s="13">
        <v>12.0</v>
      </c>
      <c r="R369" s="13" t="s">
        <v>53</v>
      </c>
      <c r="S369" s="13"/>
      <c r="T369" s="13"/>
      <c r="U369" s="13"/>
      <c r="V369" s="13"/>
      <c r="W369" s="13"/>
      <c r="X369" s="13"/>
    </row>
    <row r="370" ht="14.25" customHeight="1">
      <c r="A370" s="10" t="s">
        <v>754</v>
      </c>
      <c r="B370" s="10" t="s">
        <v>31</v>
      </c>
      <c r="C370" s="10">
        <v>371.0</v>
      </c>
      <c r="D370" s="11" t="s">
        <v>1099</v>
      </c>
      <c r="E370" s="11" t="s">
        <v>1100</v>
      </c>
      <c r="F370" s="11" t="s">
        <v>1101</v>
      </c>
      <c r="G370" s="10">
        <v>371.0</v>
      </c>
      <c r="H370" s="10">
        <f>VLOOKUP(F370,'Generos y Familia'!$A$1:$C$623,2,FALSE)</f>
        <v>43</v>
      </c>
      <c r="I370" s="12" t="str">
        <f t="shared" si="1"/>
        <v>Costus barbatus Suess</v>
      </c>
      <c r="J370" s="10" t="str">
        <f t="shared" si="2"/>
        <v>371 Costus barbatus Suess</v>
      </c>
      <c r="K370" s="10" t="str">
        <f t="shared" si="3"/>
        <v>Jengibre Espiral</v>
      </c>
      <c r="L370" s="10" t="str">
        <f t="shared" si="4"/>
        <v>371 Jengibre Espiral</v>
      </c>
      <c r="M370" s="10" t="s">
        <v>46</v>
      </c>
      <c r="N370" s="10" t="s">
        <v>36</v>
      </c>
      <c r="O370" s="10" t="s">
        <v>47</v>
      </c>
      <c r="P370" s="10" t="s">
        <v>1102</v>
      </c>
      <c r="Q370" s="13"/>
      <c r="R370" s="13"/>
      <c r="S370" s="13" t="s">
        <v>853</v>
      </c>
      <c r="T370" s="13"/>
      <c r="U370" s="13"/>
      <c r="V370" s="13"/>
      <c r="W370" s="13"/>
      <c r="X370" s="13"/>
    </row>
    <row r="371" ht="14.25" customHeight="1">
      <c r="A371" s="10" t="s">
        <v>754</v>
      </c>
      <c r="B371" s="10" t="s">
        <v>31</v>
      </c>
      <c r="C371" s="10">
        <v>372.0</v>
      </c>
      <c r="D371" s="11" t="s">
        <v>1103</v>
      </c>
      <c r="E371" s="11" t="s">
        <v>1104</v>
      </c>
      <c r="F371" s="11" t="s">
        <v>1105</v>
      </c>
      <c r="G371" s="10">
        <v>372.0</v>
      </c>
      <c r="H371" s="10">
        <f>VLOOKUP(F371,'Generos y Familia'!$A$1:$C$623,2,FALSE)</f>
        <v>78</v>
      </c>
      <c r="I371" s="12" t="str">
        <f t="shared" si="1"/>
        <v>Cotoneaster coriaceus</v>
      </c>
      <c r="J371" s="10" t="str">
        <f t="shared" si="2"/>
        <v>372 Cotoneaster coriaceus</v>
      </c>
      <c r="K371" s="10" t="str">
        <f t="shared" si="3"/>
        <v>Griñolera Lechosa</v>
      </c>
      <c r="L371" s="10" t="str">
        <f t="shared" si="4"/>
        <v>372 Griñolera Lechosa</v>
      </c>
      <c r="M371" s="10" t="s">
        <v>46</v>
      </c>
      <c r="N371" s="10" t="s">
        <v>36</v>
      </c>
      <c r="O371" s="10" t="s">
        <v>47</v>
      </c>
      <c r="P371" s="10" t="s">
        <v>1106</v>
      </c>
      <c r="Q371" s="17" t="s">
        <v>347</v>
      </c>
      <c r="R371" s="14" t="s">
        <v>53</v>
      </c>
      <c r="S371" s="17" t="s">
        <v>229</v>
      </c>
      <c r="T371" s="14"/>
      <c r="U371" s="14" t="s">
        <v>40</v>
      </c>
      <c r="V371" s="14"/>
      <c r="W371" s="18"/>
      <c r="X371" s="14" t="s">
        <v>41</v>
      </c>
    </row>
    <row r="372" ht="14.25" customHeight="1">
      <c r="A372" s="10" t="s">
        <v>754</v>
      </c>
      <c r="B372" s="10" t="s">
        <v>31</v>
      </c>
      <c r="C372" s="10">
        <v>373.0</v>
      </c>
      <c r="D372" s="11" t="s">
        <v>1107</v>
      </c>
      <c r="E372" s="11" t="s">
        <v>1108</v>
      </c>
      <c r="F372" s="11" t="s">
        <v>1105</v>
      </c>
      <c r="G372" s="10">
        <v>373.0</v>
      </c>
      <c r="H372" s="10">
        <f>VLOOKUP(F372,'Generos y Familia'!$A$1:$C$623,2,FALSE)</f>
        <v>78</v>
      </c>
      <c r="I372" s="12" t="str">
        <f t="shared" si="1"/>
        <v>Cotoneaster sp</v>
      </c>
      <c r="J372" s="10" t="str">
        <f t="shared" si="2"/>
        <v>373 Cotoneaster sp</v>
      </c>
      <c r="K372" s="10" t="str">
        <f t="shared" si="3"/>
        <v>Holly; Cotonister</v>
      </c>
      <c r="L372" s="10" t="str">
        <f t="shared" si="4"/>
        <v>373 Holly; Cotonister</v>
      </c>
      <c r="M372" s="10" t="s">
        <v>46</v>
      </c>
      <c r="N372" s="10" t="s">
        <v>36</v>
      </c>
      <c r="O372" s="10" t="s">
        <v>47</v>
      </c>
      <c r="P372" s="10" t="s">
        <v>1106</v>
      </c>
      <c r="Q372" s="17" t="s">
        <v>1109</v>
      </c>
      <c r="R372" s="14" t="s">
        <v>53</v>
      </c>
      <c r="S372" s="17" t="s">
        <v>229</v>
      </c>
      <c r="T372" s="14"/>
      <c r="U372" s="14" t="s">
        <v>40</v>
      </c>
      <c r="V372" s="14"/>
      <c r="W372" s="17"/>
      <c r="X372" s="14" t="s">
        <v>41</v>
      </c>
    </row>
    <row r="373" ht="14.25" customHeight="1">
      <c r="A373" s="10" t="s">
        <v>754</v>
      </c>
      <c r="B373" s="10" t="s">
        <v>31</v>
      </c>
      <c r="C373" s="10">
        <v>374.0</v>
      </c>
      <c r="D373" s="11" t="s">
        <v>1110</v>
      </c>
      <c r="E373" s="11" t="s">
        <v>1111</v>
      </c>
      <c r="F373" s="11" t="s">
        <v>728</v>
      </c>
      <c r="G373" s="10">
        <v>374.0</v>
      </c>
      <c r="H373" s="10">
        <f>VLOOKUP(F373,'Generos y Familia'!$A$1:$C$623,2,FALSE)</f>
        <v>36</v>
      </c>
      <c r="I373" s="12" t="str">
        <f t="shared" si="1"/>
        <v>Couratari guianensis</v>
      </c>
      <c r="J373" s="10" t="str">
        <f t="shared" si="2"/>
        <v>374 Couratari guianensis</v>
      </c>
      <c r="K373" s="10" t="str">
        <f t="shared" si="3"/>
        <v>Cabuyo; Cachimbo; Coco Cabuyo; Congolo</v>
      </c>
      <c r="L373" s="10" t="str">
        <f t="shared" si="4"/>
        <v>374 Cabuyo; Cachimbo; Coco Cabuyo; Congolo</v>
      </c>
      <c r="M373" s="10" t="s">
        <v>35</v>
      </c>
      <c r="N373" s="10" t="s">
        <v>36</v>
      </c>
      <c r="O373" s="10" t="s">
        <v>37</v>
      </c>
      <c r="P373" s="10" t="s">
        <v>1112</v>
      </c>
      <c r="Q373" s="13">
        <v>40.0</v>
      </c>
      <c r="R373" s="13" t="s">
        <v>53</v>
      </c>
      <c r="S373" s="13" t="s">
        <v>1113</v>
      </c>
      <c r="T373" s="13"/>
      <c r="U373" s="13" t="s">
        <v>73</v>
      </c>
      <c r="V373" s="13"/>
      <c r="W373" s="13"/>
      <c r="X373" s="13"/>
    </row>
    <row r="374" ht="14.25" customHeight="1">
      <c r="A374" s="10" t="s">
        <v>754</v>
      </c>
      <c r="B374" s="10" t="s">
        <v>31</v>
      </c>
      <c r="C374" s="10">
        <v>375.0</v>
      </c>
      <c r="D374" s="11" t="s">
        <v>1114</v>
      </c>
      <c r="E374" s="11" t="s">
        <v>1115</v>
      </c>
      <c r="F374" s="11" t="s">
        <v>728</v>
      </c>
      <c r="G374" s="10">
        <v>375.0</v>
      </c>
      <c r="H374" s="10">
        <f>VLOOKUP(F374,'Generos y Familia'!$A$1:$C$623,2,FALSE)</f>
        <v>36</v>
      </c>
      <c r="I374" s="12" t="str">
        <f t="shared" si="1"/>
        <v>Couroupita guianensis</v>
      </c>
      <c r="J374" s="10" t="str">
        <f t="shared" si="2"/>
        <v>375 Couroupita guianensis</v>
      </c>
      <c r="K374" s="10" t="str">
        <f t="shared" si="3"/>
        <v>Bala de Cañón; Cocuelo; Ayahuma</v>
      </c>
      <c r="L374" s="10" t="str">
        <f t="shared" si="4"/>
        <v>375 Bala de Cañón; Cocuelo; Ayahuma</v>
      </c>
      <c r="M374" s="10" t="s">
        <v>35</v>
      </c>
      <c r="N374" s="10" t="s">
        <v>36</v>
      </c>
      <c r="O374" s="10" t="s">
        <v>37</v>
      </c>
      <c r="P374" s="10" t="s">
        <v>1116</v>
      </c>
      <c r="Q374" s="13">
        <v>40.0</v>
      </c>
      <c r="R374" s="13" t="s">
        <v>39</v>
      </c>
      <c r="S374" s="13">
        <v>100.0</v>
      </c>
      <c r="T374" s="13" t="s">
        <v>39</v>
      </c>
      <c r="U374" s="13" t="s">
        <v>73</v>
      </c>
      <c r="V374" s="13">
        <v>0.43</v>
      </c>
      <c r="W374" s="13"/>
      <c r="X374" s="13"/>
    </row>
    <row r="375" ht="14.25" customHeight="1">
      <c r="A375" s="10" t="s">
        <v>754</v>
      </c>
      <c r="B375" s="10" t="s">
        <v>31</v>
      </c>
      <c r="C375" s="10">
        <v>376.0</v>
      </c>
      <c r="D375" s="11" t="s">
        <v>1117</v>
      </c>
      <c r="E375" s="11" t="s">
        <v>1118</v>
      </c>
      <c r="F375" s="11" t="s">
        <v>1105</v>
      </c>
      <c r="G375" s="10">
        <v>376.0</v>
      </c>
      <c r="H375" s="10">
        <f>VLOOKUP(F375,'Generos y Familia'!$A$1:$C$623,2,FALSE)</f>
        <v>78</v>
      </c>
      <c r="I375" s="12" t="str">
        <f t="shared" si="1"/>
        <v>Crataegus azarolus</v>
      </c>
      <c r="J375" s="10" t="str">
        <f t="shared" si="2"/>
        <v>376 Crataegus azarolus</v>
      </c>
      <c r="K375" s="10" t="str">
        <f t="shared" si="3"/>
        <v>Acerolo; Acerola</v>
      </c>
      <c r="L375" s="10" t="str">
        <f t="shared" si="4"/>
        <v>376 Acerolo; Acerola</v>
      </c>
      <c r="M375" s="10" t="s">
        <v>46</v>
      </c>
      <c r="N375" s="10" t="s">
        <v>36</v>
      </c>
      <c r="O375" s="10" t="s">
        <v>37</v>
      </c>
      <c r="P375" s="10" t="s">
        <v>1119</v>
      </c>
      <c r="Q375" s="13"/>
      <c r="R375" s="13"/>
      <c r="S375" s="13"/>
      <c r="T375" s="13"/>
      <c r="U375" s="13"/>
      <c r="V375" s="13"/>
      <c r="W375" s="13"/>
      <c r="X375" s="13"/>
    </row>
    <row r="376" ht="14.25" customHeight="1">
      <c r="A376" s="10" t="s">
        <v>754</v>
      </c>
      <c r="B376" s="10" t="s">
        <v>31</v>
      </c>
      <c r="C376" s="10">
        <v>377.0</v>
      </c>
      <c r="D376" s="11" t="s">
        <v>1120</v>
      </c>
      <c r="E376" s="11" t="s">
        <v>1121</v>
      </c>
      <c r="F376" s="11" t="s">
        <v>710</v>
      </c>
      <c r="G376" s="10">
        <v>377.0</v>
      </c>
      <c r="H376" s="10">
        <f>VLOOKUP(F376,'Generos y Familia'!$A$1:$C$623,2,FALSE)</f>
        <v>29</v>
      </c>
      <c r="I376" s="12" t="str">
        <f t="shared" si="1"/>
        <v>Crateva tapia</v>
      </c>
      <c r="J376" s="10" t="str">
        <f t="shared" si="2"/>
        <v>377 Crateva tapia</v>
      </c>
      <c r="K376" s="10" t="str">
        <f t="shared" si="3"/>
        <v>Cachimonda; Naranjuelo; Manzana de Playa</v>
      </c>
      <c r="L376" s="10" t="str">
        <f t="shared" si="4"/>
        <v>377 Cachimonda; Naranjuelo; Manzana de Playa</v>
      </c>
      <c r="M376" s="10" t="s">
        <v>35</v>
      </c>
      <c r="N376" s="10" t="s">
        <v>36</v>
      </c>
      <c r="O376" s="10" t="s">
        <v>37</v>
      </c>
      <c r="P376" s="10" t="s">
        <v>1122</v>
      </c>
      <c r="Q376" s="13">
        <v>15.0</v>
      </c>
      <c r="R376" s="13" t="s">
        <v>53</v>
      </c>
      <c r="S376" s="13"/>
      <c r="T376" s="13"/>
      <c r="U376" s="13" t="s">
        <v>40</v>
      </c>
      <c r="V376" s="13"/>
      <c r="W376" s="13"/>
      <c r="X376" s="13"/>
    </row>
    <row r="377" ht="14.25" customHeight="1">
      <c r="A377" s="10" t="s">
        <v>754</v>
      </c>
      <c r="B377" s="10" t="s">
        <v>31</v>
      </c>
      <c r="C377" s="10">
        <v>378.0</v>
      </c>
      <c r="D377" s="11" t="s">
        <v>1123</v>
      </c>
      <c r="E377" s="11" t="s">
        <v>1124</v>
      </c>
      <c r="F377" s="11" t="s">
        <v>248</v>
      </c>
      <c r="G377" s="10">
        <v>378.0</v>
      </c>
      <c r="H377" s="10">
        <f>VLOOKUP(F377,'Generos y Familia'!$A$1:$C$623,2,FALSE)</f>
        <v>20</v>
      </c>
      <c r="I377" s="12" t="str">
        <f t="shared" si="1"/>
        <v>Crescentia cujete</v>
      </c>
      <c r="J377" s="10" t="str">
        <f t="shared" si="2"/>
        <v>378 Crescentia cujete</v>
      </c>
      <c r="K377" s="10" t="str">
        <f t="shared" si="3"/>
        <v>Totumo; Mate</v>
      </c>
      <c r="L377" s="10" t="str">
        <f t="shared" si="4"/>
        <v>378 Totumo; Mate</v>
      </c>
      <c r="M377" s="10" t="s">
        <v>35</v>
      </c>
      <c r="N377" s="10" t="s">
        <v>36</v>
      </c>
      <c r="O377" s="10" t="s">
        <v>37</v>
      </c>
      <c r="P377" s="10" t="s">
        <v>1125</v>
      </c>
      <c r="Q377" s="13">
        <v>6.0</v>
      </c>
      <c r="R377" s="13" t="s">
        <v>39</v>
      </c>
      <c r="S377" s="13">
        <v>25.0</v>
      </c>
      <c r="T377" s="13" t="s">
        <v>39</v>
      </c>
      <c r="U377" s="13" t="s">
        <v>40</v>
      </c>
      <c r="V377" s="13">
        <v>0.63</v>
      </c>
      <c r="W377" s="13"/>
      <c r="X377" s="13"/>
    </row>
    <row r="378" ht="14.25" customHeight="1">
      <c r="A378" s="10" t="s">
        <v>754</v>
      </c>
      <c r="B378" s="10" t="s">
        <v>31</v>
      </c>
      <c r="C378" s="10">
        <v>379.0</v>
      </c>
      <c r="D378" s="11" t="s">
        <v>1126</v>
      </c>
      <c r="E378" s="11" t="s">
        <v>1127</v>
      </c>
      <c r="F378" s="11" t="s">
        <v>82</v>
      </c>
      <c r="G378" s="10">
        <v>379.0</v>
      </c>
      <c r="H378" s="10">
        <f>VLOOKUP(F378,'Generos y Familia'!$A$1:$C$623,2,FALSE)</f>
        <v>26</v>
      </c>
      <c r="I378" s="12" t="str">
        <f t="shared" si="1"/>
        <v>Croton magdalenensis</v>
      </c>
      <c r="J378" s="10" t="str">
        <f t="shared" si="2"/>
        <v>379 Croton magdalenensis</v>
      </c>
      <c r="K378" s="10" t="str">
        <f t="shared" si="3"/>
        <v>Drago</v>
      </c>
      <c r="L378" s="10" t="str">
        <f t="shared" si="4"/>
        <v>379 Drago</v>
      </c>
      <c r="M378" s="10" t="s">
        <v>35</v>
      </c>
      <c r="N378" s="10" t="s">
        <v>36</v>
      </c>
      <c r="O378" s="10" t="s">
        <v>37</v>
      </c>
      <c r="P378" s="10" t="s">
        <v>1128</v>
      </c>
      <c r="Q378" s="17" t="s">
        <v>229</v>
      </c>
      <c r="R378" s="14" t="s">
        <v>39</v>
      </c>
      <c r="S378" s="17" t="s">
        <v>442</v>
      </c>
      <c r="T378" s="14" t="s">
        <v>39</v>
      </c>
      <c r="U378" s="14" t="s">
        <v>55</v>
      </c>
      <c r="V378" s="14"/>
      <c r="W378" s="17"/>
      <c r="X378" s="14"/>
    </row>
    <row r="379" ht="14.25" customHeight="1">
      <c r="A379" s="10" t="s">
        <v>754</v>
      </c>
      <c r="B379" s="10" t="s">
        <v>31</v>
      </c>
      <c r="C379" s="10">
        <v>380.0</v>
      </c>
      <c r="D379" s="11" t="s">
        <v>1129</v>
      </c>
      <c r="E379" s="11" t="s">
        <v>1130</v>
      </c>
      <c r="F379" s="11" t="s">
        <v>82</v>
      </c>
      <c r="G379" s="10">
        <v>380.0</v>
      </c>
      <c r="H379" s="10">
        <f>VLOOKUP(F379,'Generos y Familia'!$A$1:$C$623,2,FALSE)</f>
        <v>26</v>
      </c>
      <c r="I379" s="12" t="str">
        <f t="shared" si="1"/>
        <v>Croton smithianus</v>
      </c>
      <c r="J379" s="10" t="str">
        <f t="shared" si="2"/>
        <v>380 Croton smithianus</v>
      </c>
      <c r="K379" s="10" t="str">
        <f t="shared" si="3"/>
        <v>Gallinazo; Croton</v>
      </c>
      <c r="L379" s="10" t="str">
        <f t="shared" si="4"/>
        <v>380 Gallinazo; Croton</v>
      </c>
      <c r="M379" s="10" t="s">
        <v>35</v>
      </c>
      <c r="N379" s="10" t="s">
        <v>36</v>
      </c>
      <c r="O379" s="10" t="s">
        <v>37</v>
      </c>
      <c r="P379" s="10" t="s">
        <v>1128</v>
      </c>
      <c r="Q379" s="13">
        <v>25.0</v>
      </c>
      <c r="R379" s="13" t="s">
        <v>53</v>
      </c>
      <c r="S379" s="13"/>
      <c r="T379" s="13"/>
      <c r="U379" s="13"/>
      <c r="V379" s="13"/>
      <c r="W379" s="13"/>
      <c r="X379" s="13"/>
    </row>
    <row r="380" ht="14.25" customHeight="1">
      <c r="A380" s="10" t="s">
        <v>754</v>
      </c>
      <c r="B380" s="10" t="s">
        <v>31</v>
      </c>
      <c r="C380" s="10">
        <v>381.0</v>
      </c>
      <c r="D380" s="11" t="s">
        <v>1131</v>
      </c>
      <c r="E380" s="11" t="s">
        <v>1127</v>
      </c>
      <c r="F380" s="11" t="s">
        <v>82</v>
      </c>
      <c r="G380" s="10">
        <v>381.0</v>
      </c>
      <c r="H380" s="10">
        <f>VLOOKUP(F380,'Generos y Familia'!$A$1:$C$623,2,FALSE)</f>
        <v>26</v>
      </c>
      <c r="I380" s="12" t="str">
        <f t="shared" si="1"/>
        <v>Croton sp</v>
      </c>
      <c r="J380" s="10" t="str">
        <f t="shared" si="2"/>
        <v>381 Croton sp</v>
      </c>
      <c r="K380" s="10" t="str">
        <f t="shared" si="3"/>
        <v>Drago</v>
      </c>
      <c r="L380" s="10" t="str">
        <f t="shared" si="4"/>
        <v>381 Drago</v>
      </c>
      <c r="M380" s="10" t="s">
        <v>35</v>
      </c>
      <c r="N380" s="10" t="s">
        <v>36</v>
      </c>
      <c r="O380" s="10" t="s">
        <v>47</v>
      </c>
      <c r="P380" s="10" t="s">
        <v>1128</v>
      </c>
      <c r="Q380" s="13"/>
      <c r="R380" s="13"/>
      <c r="S380" s="13"/>
      <c r="T380" s="13"/>
      <c r="U380" s="13"/>
      <c r="V380" s="13"/>
      <c r="W380" s="13"/>
      <c r="X380" s="13"/>
    </row>
    <row r="381" ht="14.25" customHeight="1">
      <c r="A381" s="10" t="s">
        <v>754</v>
      </c>
      <c r="B381" s="10" t="s">
        <v>31</v>
      </c>
      <c r="C381" s="10">
        <v>382.0</v>
      </c>
      <c r="D381" s="11" t="s">
        <v>1132</v>
      </c>
      <c r="E381" s="11" t="s">
        <v>1133</v>
      </c>
      <c r="F381" s="11" t="s">
        <v>82</v>
      </c>
      <c r="G381" s="10">
        <v>382.0</v>
      </c>
      <c r="H381" s="10">
        <f>VLOOKUP(F381,'Generos y Familia'!$A$1:$C$623,2,FALSE)</f>
        <v>26</v>
      </c>
      <c r="I381" s="12" t="str">
        <f t="shared" si="1"/>
        <v>Croton urucurana</v>
      </c>
      <c r="J381" s="10" t="str">
        <f t="shared" si="2"/>
        <v>382 Croton urucurana</v>
      </c>
      <c r="K381" s="10" t="str">
        <f t="shared" si="3"/>
        <v>Sangre de Drago</v>
      </c>
      <c r="L381" s="10" t="str">
        <f t="shared" si="4"/>
        <v>382 Sangre de Drago</v>
      </c>
      <c r="M381" s="10" t="s">
        <v>46</v>
      </c>
      <c r="N381" s="10" t="s">
        <v>28</v>
      </c>
      <c r="O381" s="10" t="s">
        <v>37</v>
      </c>
      <c r="P381" s="10" t="s">
        <v>1128</v>
      </c>
      <c r="Q381" s="17" t="s">
        <v>379</v>
      </c>
      <c r="R381" s="14"/>
      <c r="S381" s="17" t="s">
        <v>442</v>
      </c>
      <c r="T381" s="14"/>
      <c r="U381" s="14" t="s">
        <v>55</v>
      </c>
      <c r="V381" s="14"/>
      <c r="W381" s="17"/>
      <c r="X381" s="14"/>
    </row>
    <row r="382" ht="14.25" customHeight="1">
      <c r="A382" s="10" t="s">
        <v>754</v>
      </c>
      <c r="B382" s="10" t="s">
        <v>31</v>
      </c>
      <c r="C382" s="10">
        <v>383.0</v>
      </c>
      <c r="D382" s="11" t="s">
        <v>1134</v>
      </c>
      <c r="E382" s="11" t="s">
        <v>1135</v>
      </c>
      <c r="F382" s="11" t="s">
        <v>116</v>
      </c>
      <c r="G382" s="10">
        <v>383.0</v>
      </c>
      <c r="H382" s="10">
        <f>VLOOKUP(F382,'Generos y Familia'!$A$1:$C$623,2,FALSE)</f>
        <v>14</v>
      </c>
      <c r="I382" s="12" t="str">
        <f t="shared" si="1"/>
        <v>Cryosophila kalbreyeri</v>
      </c>
      <c r="J382" s="10" t="str">
        <f t="shared" si="2"/>
        <v>383 Cryosophila kalbreyeri</v>
      </c>
      <c r="K382" s="10" t="str">
        <f t="shared" si="3"/>
        <v>Palma Escoba; Barbasco</v>
      </c>
      <c r="L382" s="10" t="str">
        <f t="shared" si="4"/>
        <v>383 Palma Escoba; Barbasco</v>
      </c>
      <c r="M382" s="10" t="s">
        <v>797</v>
      </c>
      <c r="N382" s="10" t="s">
        <v>36</v>
      </c>
      <c r="O382" s="10" t="s">
        <v>117</v>
      </c>
      <c r="P382" s="10" t="s">
        <v>1136</v>
      </c>
      <c r="Q382" s="13">
        <v>5.0</v>
      </c>
      <c r="R382" s="13" t="s">
        <v>39</v>
      </c>
      <c r="S382" s="13">
        <v>10.0</v>
      </c>
      <c r="T382" s="13" t="s">
        <v>39</v>
      </c>
      <c r="U382" s="13" t="s">
        <v>73</v>
      </c>
      <c r="V382" s="13"/>
      <c r="W382" s="13"/>
      <c r="X382" s="13"/>
    </row>
    <row r="383" ht="14.25" customHeight="1">
      <c r="A383" s="10" t="s">
        <v>754</v>
      </c>
      <c r="B383" s="10" t="s">
        <v>31</v>
      </c>
      <c r="C383" s="10">
        <v>384.0</v>
      </c>
      <c r="D383" s="11" t="s">
        <v>1137</v>
      </c>
      <c r="E383" s="11" t="s">
        <v>1138</v>
      </c>
      <c r="F383" s="11" t="s">
        <v>673</v>
      </c>
      <c r="G383" s="10">
        <v>384.0</v>
      </c>
      <c r="H383" s="10">
        <f>VLOOKUP(F383,'Generos y Familia'!$A$1:$C$623,2,FALSE)</f>
        <v>45</v>
      </c>
      <c r="I383" s="12" t="str">
        <f t="shared" si="1"/>
        <v>Cryptomeria japonica</v>
      </c>
      <c r="J383" s="10" t="str">
        <f t="shared" si="2"/>
        <v>384 Cryptomeria japonica</v>
      </c>
      <c r="K383" s="10" t="str">
        <f t="shared" si="3"/>
        <v>Cedro Japonés; Sugi</v>
      </c>
      <c r="L383" s="10" t="str">
        <f t="shared" si="4"/>
        <v>384 Cedro Japonés; Sugi</v>
      </c>
      <c r="M383" s="10" t="s">
        <v>46</v>
      </c>
      <c r="N383" s="10" t="s">
        <v>36</v>
      </c>
      <c r="O383" s="10" t="s">
        <v>37</v>
      </c>
      <c r="P383" s="10" t="s">
        <v>1139</v>
      </c>
      <c r="Q383" s="17" t="s">
        <v>794</v>
      </c>
      <c r="R383" s="14" t="s">
        <v>53</v>
      </c>
      <c r="S383" s="17" t="s">
        <v>334</v>
      </c>
      <c r="T383" s="14"/>
      <c r="U383" s="14" t="s">
        <v>55</v>
      </c>
      <c r="V383" s="14"/>
      <c r="W383" s="17"/>
      <c r="X383" s="14" t="s">
        <v>41</v>
      </c>
    </row>
    <row r="384" ht="14.25" customHeight="1">
      <c r="A384" s="10" t="s">
        <v>754</v>
      </c>
      <c r="B384" s="10" t="s">
        <v>31</v>
      </c>
      <c r="C384" s="10">
        <v>385.0</v>
      </c>
      <c r="D384" s="11" t="s">
        <v>1140</v>
      </c>
      <c r="E384" s="11" t="s">
        <v>1138</v>
      </c>
      <c r="F384" s="11" t="s">
        <v>673</v>
      </c>
      <c r="G384" s="10">
        <v>385.0</v>
      </c>
      <c r="H384" s="10">
        <f>VLOOKUP(F384,'Generos y Familia'!$A$1:$C$623,2,FALSE)</f>
        <v>45</v>
      </c>
      <c r="I384" s="12" t="str">
        <f t="shared" si="1"/>
        <v>Cryptomeria japonica elegans</v>
      </c>
      <c r="J384" s="10" t="str">
        <f t="shared" si="2"/>
        <v>385 Cryptomeria japonica elegans</v>
      </c>
      <c r="K384" s="10" t="str">
        <f t="shared" si="3"/>
        <v>Cedro Japonés; Sugi</v>
      </c>
      <c r="L384" s="10" t="str">
        <f t="shared" si="4"/>
        <v>385 Cedro Japonés; Sugi</v>
      </c>
      <c r="M384" s="10" t="s">
        <v>46</v>
      </c>
      <c r="N384" s="10" t="s">
        <v>28</v>
      </c>
      <c r="O384" s="10" t="s">
        <v>37</v>
      </c>
      <c r="P384" s="10" t="s">
        <v>1139</v>
      </c>
      <c r="Q384" s="13">
        <v>14.0</v>
      </c>
      <c r="R384" s="13" t="s">
        <v>53</v>
      </c>
      <c r="S384" s="13"/>
      <c r="T384" s="13"/>
      <c r="U384" s="13" t="s">
        <v>55</v>
      </c>
      <c r="V384" s="13"/>
      <c r="W384" s="16"/>
      <c r="X384" s="13"/>
    </row>
    <row r="385" ht="14.25" customHeight="1">
      <c r="A385" s="10" t="s">
        <v>754</v>
      </c>
      <c r="B385" s="10" t="s">
        <v>31</v>
      </c>
      <c r="C385" s="10">
        <v>386.0</v>
      </c>
      <c r="D385" s="11" t="s">
        <v>1141</v>
      </c>
      <c r="E385" s="11" t="s">
        <v>1142</v>
      </c>
      <c r="F385" s="11" t="s">
        <v>214</v>
      </c>
      <c r="G385" s="10">
        <v>386.0</v>
      </c>
      <c r="H385" s="10">
        <f>VLOOKUP(F385,'Generos y Familia'!$A$1:$C$623,2,FALSE)</f>
        <v>84</v>
      </c>
      <c r="I385" s="12" t="str">
        <f t="shared" si="1"/>
        <v>Cunonia capensis</v>
      </c>
      <c r="J385" s="10" t="str">
        <f t="shared" si="2"/>
        <v>386 Cunonia capensis</v>
      </c>
      <c r="K385" s="10" t="str">
        <f t="shared" si="3"/>
        <v>Aliso Rojo Africano</v>
      </c>
      <c r="L385" s="10" t="str">
        <f t="shared" si="4"/>
        <v>386 Aliso Rojo Africano</v>
      </c>
      <c r="M385" s="10" t="s">
        <v>46</v>
      </c>
      <c r="N385" s="10" t="s">
        <v>28</v>
      </c>
      <c r="O385" s="10" t="s">
        <v>37</v>
      </c>
      <c r="P385" s="10" t="s">
        <v>1143</v>
      </c>
      <c r="Q385" s="13"/>
      <c r="R385" s="15"/>
      <c r="S385" s="13"/>
      <c r="T385" s="15"/>
      <c r="U385" s="13"/>
      <c r="V385" s="13"/>
      <c r="W385" s="16"/>
      <c r="X385" s="13"/>
    </row>
    <row r="386" ht="14.25" customHeight="1">
      <c r="A386" s="10" t="s">
        <v>754</v>
      </c>
      <c r="B386" s="10" t="s">
        <v>31</v>
      </c>
      <c r="C386" s="10">
        <v>387.0</v>
      </c>
      <c r="D386" s="11" t="s">
        <v>1144</v>
      </c>
      <c r="E386" s="11" t="s">
        <v>1145</v>
      </c>
      <c r="F386" s="11" t="s">
        <v>214</v>
      </c>
      <c r="G386" s="10">
        <v>387.0</v>
      </c>
      <c r="H386" s="10">
        <f>VLOOKUP(F386,'Generos y Familia'!$A$1:$C$623,2,FALSE)</f>
        <v>84</v>
      </c>
      <c r="I386" s="12" t="str">
        <f t="shared" si="1"/>
        <v>Cupania americana</v>
      </c>
      <c r="J386" s="10" t="str">
        <f t="shared" si="2"/>
        <v>387 Cupania americana</v>
      </c>
      <c r="K386" s="10" t="str">
        <f t="shared" si="3"/>
        <v>Mestizo; Guacamayo</v>
      </c>
      <c r="L386" s="10" t="str">
        <f t="shared" si="4"/>
        <v>387 Mestizo; Guacamayo</v>
      </c>
      <c r="M386" s="10" t="s">
        <v>35</v>
      </c>
      <c r="N386" s="10" t="s">
        <v>36</v>
      </c>
      <c r="O386" s="10" t="s">
        <v>37</v>
      </c>
      <c r="P386" s="10" t="s">
        <v>1146</v>
      </c>
      <c r="Q386" s="17" t="s">
        <v>448</v>
      </c>
      <c r="R386" s="14" t="s">
        <v>39</v>
      </c>
      <c r="S386" s="17" t="s">
        <v>290</v>
      </c>
      <c r="T386" s="14" t="s">
        <v>39</v>
      </c>
      <c r="U386" s="14" t="s">
        <v>55</v>
      </c>
      <c r="V386" s="14"/>
      <c r="W386" s="18"/>
      <c r="X386" s="14"/>
    </row>
    <row r="387" ht="14.25" customHeight="1">
      <c r="A387" s="10" t="s">
        <v>754</v>
      </c>
      <c r="B387" s="10" t="s">
        <v>31</v>
      </c>
      <c r="C387" s="10">
        <v>388.0</v>
      </c>
      <c r="D387" s="11" t="s">
        <v>1147</v>
      </c>
      <c r="E387" s="11" t="s">
        <v>1148</v>
      </c>
      <c r="F387" s="11" t="s">
        <v>214</v>
      </c>
      <c r="G387" s="10">
        <v>388.0</v>
      </c>
      <c r="H387" s="10">
        <f>VLOOKUP(F387,'Generos y Familia'!$A$1:$C$623,2,FALSE)</f>
        <v>84</v>
      </c>
      <c r="I387" s="12" t="str">
        <f t="shared" si="1"/>
        <v>Cupania cinerea Poepp</v>
      </c>
      <c r="J387" s="10" t="str">
        <f t="shared" si="2"/>
        <v>388 Cupania cinerea Poepp</v>
      </c>
      <c r="K387" s="10" t="str">
        <f t="shared" si="3"/>
        <v>Mestizo; Gaucharaco</v>
      </c>
      <c r="L387" s="10" t="str">
        <f t="shared" si="4"/>
        <v>388 Mestizo; Gaucharaco</v>
      </c>
      <c r="M387" s="10" t="s">
        <v>35</v>
      </c>
      <c r="N387" s="10" t="s">
        <v>36</v>
      </c>
      <c r="O387" s="10" t="s">
        <v>37</v>
      </c>
      <c r="P387" s="10" t="s">
        <v>1146</v>
      </c>
      <c r="Q387" s="17" t="s">
        <v>229</v>
      </c>
      <c r="R387" s="14" t="s">
        <v>53</v>
      </c>
      <c r="S387" s="17" t="s">
        <v>442</v>
      </c>
      <c r="T387" s="14"/>
      <c r="U387" s="14" t="s">
        <v>40</v>
      </c>
      <c r="V387" s="14"/>
      <c r="W387" s="18"/>
      <c r="X387" s="14" t="s">
        <v>41</v>
      </c>
    </row>
    <row r="388" ht="14.25" customHeight="1">
      <c r="A388" s="10" t="s">
        <v>754</v>
      </c>
      <c r="B388" s="10" t="s">
        <v>31</v>
      </c>
      <c r="C388" s="10">
        <v>389.0</v>
      </c>
      <c r="D388" s="11" t="s">
        <v>1149</v>
      </c>
      <c r="E388" s="11" t="s">
        <v>1150</v>
      </c>
      <c r="F388" s="11" t="s">
        <v>673</v>
      </c>
      <c r="G388" s="10">
        <v>389.0</v>
      </c>
      <c r="H388" s="10">
        <f>VLOOKUP(F388,'Generos y Familia'!$A$1:$C$623,2,FALSE)</f>
        <v>45</v>
      </c>
      <c r="I388" s="12" t="str">
        <f t="shared" si="1"/>
        <v>Cupressus glabra</v>
      </c>
      <c r="J388" s="10" t="str">
        <f t="shared" si="2"/>
        <v>389 Cupressus glabra</v>
      </c>
      <c r="K388" s="10" t="str">
        <f t="shared" si="3"/>
        <v>Pino Azul</v>
      </c>
      <c r="L388" s="10" t="str">
        <f t="shared" si="4"/>
        <v>389 Pino Azul</v>
      </c>
      <c r="M388" s="10" t="s">
        <v>46</v>
      </c>
      <c r="N388" s="10" t="s">
        <v>36</v>
      </c>
      <c r="O388" s="10" t="s">
        <v>37</v>
      </c>
      <c r="P388" s="10" t="s">
        <v>1151</v>
      </c>
      <c r="Q388" s="17" t="s">
        <v>106</v>
      </c>
      <c r="R388" s="14"/>
      <c r="S388" s="17" t="s">
        <v>821</v>
      </c>
      <c r="T388" s="14"/>
      <c r="U388" s="14" t="s">
        <v>40</v>
      </c>
      <c r="V388" s="14"/>
      <c r="W388" s="18"/>
      <c r="X388" s="14" t="s">
        <v>41</v>
      </c>
    </row>
    <row r="389" ht="14.25" customHeight="1">
      <c r="A389" s="10" t="s">
        <v>754</v>
      </c>
      <c r="B389" s="10" t="s">
        <v>31</v>
      </c>
      <c r="C389" s="10">
        <v>390.0</v>
      </c>
      <c r="D389" s="11" t="s">
        <v>1152</v>
      </c>
      <c r="E389" s="11" t="s">
        <v>1153</v>
      </c>
      <c r="F389" s="11" t="s">
        <v>673</v>
      </c>
      <c r="G389" s="10">
        <v>390.0</v>
      </c>
      <c r="H389" s="10">
        <f>VLOOKUP(F389,'Generos y Familia'!$A$1:$C$623,2,FALSE)</f>
        <v>45</v>
      </c>
      <c r="I389" s="12" t="str">
        <f t="shared" si="1"/>
        <v>Cupressus lusitanica</v>
      </c>
      <c r="J389" s="10" t="str">
        <f t="shared" si="2"/>
        <v>390 Cupressus lusitanica</v>
      </c>
      <c r="K389" s="10" t="str">
        <f t="shared" si="3"/>
        <v>Pino Ciprés; Cedro Blanco</v>
      </c>
      <c r="L389" s="10" t="str">
        <f t="shared" si="4"/>
        <v>390 Pino Ciprés; Cedro Blanco</v>
      </c>
      <c r="M389" s="10" t="s">
        <v>46</v>
      </c>
      <c r="N389" s="10" t="s">
        <v>36</v>
      </c>
      <c r="O389" s="10" t="s">
        <v>37</v>
      </c>
      <c r="P389" s="10" t="s">
        <v>1151</v>
      </c>
      <c r="Q389" s="17" t="s">
        <v>54</v>
      </c>
      <c r="R389" s="14" t="s">
        <v>39</v>
      </c>
      <c r="S389" s="17" t="s">
        <v>821</v>
      </c>
      <c r="T389" s="14" t="s">
        <v>39</v>
      </c>
      <c r="U389" s="14" t="s">
        <v>55</v>
      </c>
      <c r="V389" s="14">
        <v>0.43</v>
      </c>
      <c r="W389" s="18"/>
      <c r="X389" s="14"/>
    </row>
    <row r="390" ht="14.25" customHeight="1">
      <c r="A390" s="10" t="s">
        <v>754</v>
      </c>
      <c r="B390" s="10" t="s">
        <v>31</v>
      </c>
      <c r="C390" s="10">
        <v>391.0</v>
      </c>
      <c r="D390" s="11" t="s">
        <v>1154</v>
      </c>
      <c r="E390" s="11" t="s">
        <v>1155</v>
      </c>
      <c r="F390" s="11" t="s">
        <v>673</v>
      </c>
      <c r="G390" s="10">
        <v>391.0</v>
      </c>
      <c r="H390" s="10">
        <f>VLOOKUP(F390,'Generos y Familia'!$A$1:$C$623,2,FALSE)</f>
        <v>45</v>
      </c>
      <c r="I390" s="12" t="str">
        <f t="shared" si="1"/>
        <v>Cupressus sempervirens</v>
      </c>
      <c r="J390" s="10" t="str">
        <f t="shared" si="2"/>
        <v>391 Cupressus sempervirens</v>
      </c>
      <c r="K390" s="10" t="str">
        <f t="shared" si="3"/>
        <v>Pino Vela</v>
      </c>
      <c r="L390" s="10" t="str">
        <f t="shared" si="4"/>
        <v>391 Pino Vela</v>
      </c>
      <c r="M390" s="10" t="s">
        <v>46</v>
      </c>
      <c r="N390" s="10" t="s">
        <v>36</v>
      </c>
      <c r="O390" s="10" t="s">
        <v>37</v>
      </c>
      <c r="P390" s="10" t="s">
        <v>1151</v>
      </c>
      <c r="Q390" s="17" t="s">
        <v>817</v>
      </c>
      <c r="R390" s="14" t="s">
        <v>39</v>
      </c>
      <c r="S390" s="17" t="s">
        <v>821</v>
      </c>
      <c r="T390" s="14" t="s">
        <v>39</v>
      </c>
      <c r="U390" s="14" t="s">
        <v>55</v>
      </c>
      <c r="V390" s="14"/>
      <c r="W390" s="18"/>
      <c r="X390" s="14"/>
    </row>
    <row r="391" ht="14.25" customHeight="1">
      <c r="A391" s="10" t="s">
        <v>754</v>
      </c>
      <c r="B391" s="10" t="s">
        <v>31</v>
      </c>
      <c r="C391" s="10">
        <v>392.0</v>
      </c>
      <c r="D391" s="11" t="s">
        <v>1156</v>
      </c>
      <c r="E391" s="11" t="s">
        <v>1157</v>
      </c>
      <c r="F391" s="11" t="s">
        <v>1158</v>
      </c>
      <c r="G391" s="10">
        <v>392.0</v>
      </c>
      <c r="H391" s="10">
        <f>VLOOKUP(F391,'Generos y Familia'!$A$1:$C$623,2,FALSE)</f>
        <v>51</v>
      </c>
      <c r="I391" s="12" t="str">
        <f t="shared" si="1"/>
        <v>Curatella americana</v>
      </c>
      <c r="J391" s="10" t="str">
        <f t="shared" si="2"/>
        <v>392 Curatella americana</v>
      </c>
      <c r="K391" s="10" t="str">
        <f t="shared" si="3"/>
        <v>Chaparro; Peralejo; Paralejo Macho; Chaparro Bobo</v>
      </c>
      <c r="L391" s="10" t="str">
        <f t="shared" si="4"/>
        <v>392 Chaparro; Peralejo; Paralejo Macho; Chaparro Bobo</v>
      </c>
      <c r="M391" s="10" t="s">
        <v>35</v>
      </c>
      <c r="N391" s="10" t="s">
        <v>36</v>
      </c>
      <c r="O391" s="10" t="s">
        <v>37</v>
      </c>
      <c r="P391" s="10" t="s">
        <v>1159</v>
      </c>
      <c r="Q391" s="13"/>
      <c r="R391" s="13"/>
      <c r="S391" s="13"/>
      <c r="T391" s="13"/>
      <c r="U391" s="13"/>
      <c r="V391" s="13"/>
      <c r="W391" s="13"/>
      <c r="X391" s="13"/>
    </row>
    <row r="392" ht="14.25" customHeight="1">
      <c r="A392" s="10" t="s">
        <v>754</v>
      </c>
      <c r="B392" s="10" t="s">
        <v>31</v>
      </c>
      <c r="C392" s="10">
        <v>393.0</v>
      </c>
      <c r="D392" s="11" t="s">
        <v>1160</v>
      </c>
      <c r="E392" s="11" t="s">
        <v>1161</v>
      </c>
      <c r="F392" s="11" t="s">
        <v>1162</v>
      </c>
      <c r="G392" s="10">
        <v>393.0</v>
      </c>
      <c r="H392" s="10">
        <f>VLOOKUP(F392,'Generos y Familia'!$A$1:$C$623,2,FALSE)</f>
        <v>46</v>
      </c>
      <c r="I392" s="12" t="str">
        <f t="shared" si="1"/>
        <v>Cyathea delgadii</v>
      </c>
      <c r="J392" s="10" t="str">
        <f t="shared" si="2"/>
        <v>393 Cyathea delgadii</v>
      </c>
      <c r="K392" s="10" t="str">
        <f t="shared" si="3"/>
        <v>Helecho Arboreo; Helecho Sarro; Sarro</v>
      </c>
      <c r="L392" s="10" t="str">
        <f t="shared" si="4"/>
        <v>393 Helecho Arboreo; Helecho Sarro; Sarro</v>
      </c>
      <c r="M392" s="10" t="s">
        <v>35</v>
      </c>
      <c r="N392" s="10" t="s">
        <v>36</v>
      </c>
      <c r="O392" s="10" t="s">
        <v>1163</v>
      </c>
      <c r="P392" s="10" t="s">
        <v>1164</v>
      </c>
      <c r="Q392" s="13"/>
      <c r="R392" s="13"/>
      <c r="S392" s="13" t="s">
        <v>1165</v>
      </c>
      <c r="T392" s="13"/>
      <c r="U392" s="13"/>
      <c r="V392" s="13"/>
      <c r="W392" s="16"/>
      <c r="X392" s="13"/>
    </row>
    <row r="393" ht="14.25" customHeight="1">
      <c r="A393" s="10" t="s">
        <v>754</v>
      </c>
      <c r="B393" s="10" t="s">
        <v>31</v>
      </c>
      <c r="C393" s="10">
        <v>394.0</v>
      </c>
      <c r="D393" s="11" t="s">
        <v>1166</v>
      </c>
      <c r="E393" s="11" t="s">
        <v>1161</v>
      </c>
      <c r="F393" s="11" t="s">
        <v>1162</v>
      </c>
      <c r="G393" s="10">
        <v>394.0</v>
      </c>
      <c r="H393" s="10">
        <f>VLOOKUP(F393,'Generos y Familia'!$A$1:$C$623,2,FALSE)</f>
        <v>46</v>
      </c>
      <c r="I393" s="12" t="str">
        <f t="shared" si="1"/>
        <v>Cyathea meridensis</v>
      </c>
      <c r="J393" s="10" t="str">
        <f t="shared" si="2"/>
        <v>394 Cyathea meridensis</v>
      </c>
      <c r="K393" s="10" t="str">
        <f t="shared" si="3"/>
        <v>Helecho Arboreo; Helecho Sarro; Sarro</v>
      </c>
      <c r="L393" s="10" t="str">
        <f t="shared" si="4"/>
        <v>394 Helecho Arboreo; Helecho Sarro; Sarro</v>
      </c>
      <c r="M393" s="10" t="s">
        <v>35</v>
      </c>
      <c r="N393" s="10" t="s">
        <v>36</v>
      </c>
      <c r="O393" s="10" t="s">
        <v>1163</v>
      </c>
      <c r="P393" s="10" t="s">
        <v>1164</v>
      </c>
      <c r="Q393" s="13"/>
      <c r="R393" s="13"/>
      <c r="S393" s="13" t="s">
        <v>1165</v>
      </c>
      <c r="T393" s="13"/>
      <c r="U393" s="13"/>
      <c r="V393" s="13"/>
      <c r="W393" s="16"/>
      <c r="X393" s="13"/>
    </row>
    <row r="394" ht="14.25" customHeight="1">
      <c r="A394" s="10" t="s">
        <v>754</v>
      </c>
      <c r="B394" s="10" t="s">
        <v>31</v>
      </c>
      <c r="C394" s="10">
        <v>395.0</v>
      </c>
      <c r="D394" s="11" t="s">
        <v>1167</v>
      </c>
      <c r="E394" s="11" t="s">
        <v>1161</v>
      </c>
      <c r="F394" s="11" t="s">
        <v>1162</v>
      </c>
      <c r="G394" s="10">
        <v>395.0</v>
      </c>
      <c r="H394" s="10">
        <f>VLOOKUP(F394,'Generos y Familia'!$A$1:$C$623,2,FALSE)</f>
        <v>46</v>
      </c>
      <c r="I394" s="12" t="str">
        <f t="shared" si="1"/>
        <v>Cyathea multiflora</v>
      </c>
      <c r="J394" s="10" t="str">
        <f t="shared" si="2"/>
        <v>395 Cyathea multiflora</v>
      </c>
      <c r="K394" s="10" t="str">
        <f t="shared" si="3"/>
        <v>Helecho Arboreo; Helecho Sarro; Sarro</v>
      </c>
      <c r="L394" s="10" t="str">
        <f t="shared" si="4"/>
        <v>395 Helecho Arboreo; Helecho Sarro; Sarro</v>
      </c>
      <c r="M394" s="10" t="s">
        <v>35</v>
      </c>
      <c r="N394" s="10" t="s">
        <v>36</v>
      </c>
      <c r="O394" s="10" t="s">
        <v>1163</v>
      </c>
      <c r="P394" s="10" t="s">
        <v>1164</v>
      </c>
      <c r="Q394" s="13"/>
      <c r="R394" s="13"/>
      <c r="S394" s="13" t="s">
        <v>1165</v>
      </c>
      <c r="T394" s="13"/>
      <c r="U394" s="13"/>
      <c r="V394" s="13"/>
      <c r="W394" s="13"/>
      <c r="X394" s="13"/>
    </row>
    <row r="395" ht="14.25" customHeight="1">
      <c r="A395" s="10" t="s">
        <v>754</v>
      </c>
      <c r="B395" s="10" t="s">
        <v>31</v>
      </c>
      <c r="C395" s="10">
        <v>396.0</v>
      </c>
      <c r="D395" s="11" t="s">
        <v>1168</v>
      </c>
      <c r="E395" s="11" t="s">
        <v>1169</v>
      </c>
      <c r="F395" s="11" t="s">
        <v>1162</v>
      </c>
      <c r="G395" s="10">
        <v>396.0</v>
      </c>
      <c r="H395" s="10">
        <f>VLOOKUP(F395,'Generos y Familia'!$A$1:$C$623,2,FALSE)</f>
        <v>46</v>
      </c>
      <c r="I395" s="12" t="str">
        <f t="shared" si="1"/>
        <v>Cyathea sp</v>
      </c>
      <c r="J395" s="10" t="str">
        <f t="shared" si="2"/>
        <v>396 Cyathea sp</v>
      </c>
      <c r="K395" s="10" t="str">
        <f t="shared" si="3"/>
        <v>Helecho Arboreo</v>
      </c>
      <c r="L395" s="10" t="str">
        <f t="shared" si="4"/>
        <v>396 Helecho Arboreo</v>
      </c>
      <c r="M395" s="10" t="s">
        <v>35</v>
      </c>
      <c r="N395" s="10" t="s">
        <v>36</v>
      </c>
      <c r="O395" s="10" t="s">
        <v>1163</v>
      </c>
      <c r="P395" s="10" t="s">
        <v>1164</v>
      </c>
      <c r="Q395" s="17" t="s">
        <v>668</v>
      </c>
      <c r="R395" s="14" t="s">
        <v>39</v>
      </c>
      <c r="S395" s="17" t="s">
        <v>379</v>
      </c>
      <c r="T395" s="14" t="s">
        <v>39</v>
      </c>
      <c r="U395" s="14" t="s">
        <v>55</v>
      </c>
      <c r="V395" s="14"/>
      <c r="W395" s="18"/>
      <c r="X395" s="14"/>
    </row>
    <row r="396" ht="14.25" customHeight="1">
      <c r="A396" s="10" t="s">
        <v>754</v>
      </c>
      <c r="B396" s="10" t="s">
        <v>31</v>
      </c>
      <c r="C396" s="10">
        <v>397.0</v>
      </c>
      <c r="D396" s="11" t="s">
        <v>1170</v>
      </c>
      <c r="E396" s="11" t="s">
        <v>1170</v>
      </c>
      <c r="F396" s="11" t="s">
        <v>1171</v>
      </c>
      <c r="G396" s="10">
        <v>397.0</v>
      </c>
      <c r="H396" s="10">
        <f>VLOOKUP(F396,'Generos y Familia'!$A$1:$C$623,2,FALSE)</f>
        <v>47</v>
      </c>
      <c r="I396" s="12" t="str">
        <f t="shared" si="1"/>
        <v>Cyca sp</v>
      </c>
      <c r="J396" s="10" t="str">
        <f t="shared" si="2"/>
        <v>397 Cyca sp</v>
      </c>
      <c r="K396" s="10" t="str">
        <f t="shared" si="3"/>
        <v>Cyca sp</v>
      </c>
      <c r="L396" s="10" t="str">
        <f t="shared" si="4"/>
        <v>397 Cyca sp</v>
      </c>
      <c r="M396" s="10" t="s">
        <v>46</v>
      </c>
      <c r="N396" s="10" t="s">
        <v>36</v>
      </c>
      <c r="O396" s="10" t="s">
        <v>1163</v>
      </c>
      <c r="P396" s="10" t="s">
        <v>1172</v>
      </c>
      <c r="Q396" s="17" t="s">
        <v>153</v>
      </c>
      <c r="R396" s="14"/>
      <c r="S396" s="17" t="s">
        <v>290</v>
      </c>
      <c r="T396" s="14"/>
      <c r="U396" s="14" t="s">
        <v>73</v>
      </c>
      <c r="V396" s="14"/>
      <c r="W396" s="18"/>
      <c r="X396" s="14" t="s">
        <v>41</v>
      </c>
    </row>
    <row r="397" ht="14.25" customHeight="1">
      <c r="A397" s="10" t="s">
        <v>754</v>
      </c>
      <c r="B397" s="10" t="s">
        <v>31</v>
      </c>
      <c r="C397" s="10">
        <v>398.0</v>
      </c>
      <c r="D397" s="11" t="s">
        <v>1173</v>
      </c>
      <c r="E397" s="11" t="s">
        <v>1174</v>
      </c>
      <c r="F397" s="11" t="s">
        <v>1171</v>
      </c>
      <c r="G397" s="10">
        <v>398.0</v>
      </c>
      <c r="H397" s="10">
        <f>VLOOKUP(F397,'Generos y Familia'!$A$1:$C$623,2,FALSE)</f>
        <v>47</v>
      </c>
      <c r="I397" s="12" t="str">
        <f t="shared" si="1"/>
        <v>Cycas circinalis</v>
      </c>
      <c r="J397" s="10" t="str">
        <f t="shared" si="2"/>
        <v>398 Cycas circinalis</v>
      </c>
      <c r="K397" s="10" t="str">
        <f t="shared" si="3"/>
        <v>Cica; Palma Helecho; Cica de Hoja Larga</v>
      </c>
      <c r="L397" s="10" t="str">
        <f t="shared" si="4"/>
        <v>398 Cica; Palma Helecho; Cica de Hoja Larga</v>
      </c>
      <c r="M397" s="10" t="s">
        <v>46</v>
      </c>
      <c r="N397" s="10" t="s">
        <v>36</v>
      </c>
      <c r="O397" s="10" t="s">
        <v>1163</v>
      </c>
      <c r="P397" s="10" t="s">
        <v>1175</v>
      </c>
      <c r="Q397" s="17" t="s">
        <v>612</v>
      </c>
      <c r="R397" s="14" t="s">
        <v>53</v>
      </c>
      <c r="S397" s="17" t="s">
        <v>290</v>
      </c>
      <c r="T397" s="14"/>
      <c r="U397" s="14" t="s">
        <v>55</v>
      </c>
      <c r="V397" s="14"/>
      <c r="W397" s="17"/>
      <c r="X397" s="14" t="s">
        <v>41</v>
      </c>
    </row>
    <row r="398" ht="14.25" customHeight="1">
      <c r="A398" s="10" t="s">
        <v>754</v>
      </c>
      <c r="B398" s="10" t="s">
        <v>31</v>
      </c>
      <c r="C398" s="10">
        <v>399.0</v>
      </c>
      <c r="D398" s="11" t="s">
        <v>1176</v>
      </c>
      <c r="E398" s="11" t="s">
        <v>1177</v>
      </c>
      <c r="F398" s="11" t="s">
        <v>1171</v>
      </c>
      <c r="G398" s="10">
        <v>399.0</v>
      </c>
      <c r="H398" s="10">
        <f>VLOOKUP(F398,'Generos y Familia'!$A$1:$C$623,2,FALSE)</f>
        <v>47</v>
      </c>
      <c r="I398" s="12" t="str">
        <f t="shared" si="1"/>
        <v>Cycas revoluta Thunb</v>
      </c>
      <c r="J398" s="10" t="str">
        <f t="shared" si="2"/>
        <v>399 Cycas revoluta Thunb</v>
      </c>
      <c r="K398" s="10" t="str">
        <f t="shared" si="3"/>
        <v>Palma de Segú; Palma Funebre</v>
      </c>
      <c r="L398" s="10" t="str">
        <f t="shared" si="4"/>
        <v>399 Palma de Segú; Palma Funebre</v>
      </c>
      <c r="M398" s="10" t="s">
        <v>46</v>
      </c>
      <c r="N398" s="10" t="s">
        <v>36</v>
      </c>
      <c r="O398" s="10" t="s">
        <v>1163</v>
      </c>
      <c r="P398" s="10" t="s">
        <v>1175</v>
      </c>
      <c r="Q398" s="17" t="s">
        <v>1178</v>
      </c>
      <c r="R398" s="14" t="s">
        <v>53</v>
      </c>
      <c r="S398" s="17" t="s">
        <v>290</v>
      </c>
      <c r="T398" s="14"/>
      <c r="U398" s="14" t="s">
        <v>55</v>
      </c>
      <c r="V398" s="14"/>
      <c r="W398" s="18"/>
      <c r="X398" s="14" t="s">
        <v>41</v>
      </c>
    </row>
    <row r="399" ht="14.25" customHeight="1">
      <c r="A399" s="10" t="s">
        <v>754</v>
      </c>
      <c r="B399" s="10" t="s">
        <v>31</v>
      </c>
      <c r="C399" s="10">
        <v>400.0</v>
      </c>
      <c r="D399" s="11" t="s">
        <v>1179</v>
      </c>
      <c r="E399" s="11" t="s">
        <v>1180</v>
      </c>
      <c r="F399" s="11" t="s">
        <v>1171</v>
      </c>
      <c r="G399" s="10">
        <v>400.0</v>
      </c>
      <c r="H399" s="10">
        <f>VLOOKUP(F399,'Generos y Familia'!$A$1:$C$623,2,FALSE)</f>
        <v>47</v>
      </c>
      <c r="I399" s="12" t="str">
        <f t="shared" si="1"/>
        <v>Cycas rumphii</v>
      </c>
      <c r="J399" s="10" t="str">
        <f t="shared" si="2"/>
        <v>400 Cycas rumphii</v>
      </c>
      <c r="K399" s="10" t="str">
        <f t="shared" si="3"/>
        <v>Palma Cyca</v>
      </c>
      <c r="L399" s="10" t="str">
        <f t="shared" si="4"/>
        <v>400 Palma Cyca</v>
      </c>
      <c r="M399" s="10" t="s">
        <v>46</v>
      </c>
      <c r="N399" s="10" t="s">
        <v>36</v>
      </c>
      <c r="O399" s="10" t="s">
        <v>1163</v>
      </c>
      <c r="P399" s="10" t="s">
        <v>1175</v>
      </c>
      <c r="Q399" s="17" t="s">
        <v>632</v>
      </c>
      <c r="R399" s="14" t="s">
        <v>53</v>
      </c>
      <c r="S399" s="17" t="s">
        <v>290</v>
      </c>
      <c r="T399" s="14"/>
      <c r="U399" s="14" t="s">
        <v>73</v>
      </c>
      <c r="V399" s="14"/>
      <c r="W399" s="18"/>
      <c r="X399" s="14" t="s">
        <v>41</v>
      </c>
    </row>
    <row r="400" ht="14.25" customHeight="1">
      <c r="A400" s="10" t="s">
        <v>754</v>
      </c>
      <c r="B400" s="10" t="s">
        <v>31</v>
      </c>
      <c r="C400" s="10">
        <v>401.0</v>
      </c>
      <c r="D400" s="11" t="s">
        <v>1181</v>
      </c>
      <c r="E400" s="11" t="s">
        <v>1182</v>
      </c>
      <c r="F400" s="11" t="s">
        <v>1171</v>
      </c>
      <c r="G400" s="10">
        <v>401.0</v>
      </c>
      <c r="H400" s="10">
        <f>VLOOKUP(F400,'Generos y Familia'!$A$1:$C$623,2,FALSE)</f>
        <v>47</v>
      </c>
      <c r="I400" s="12" t="str">
        <f t="shared" si="1"/>
        <v>Cycas thouarsii</v>
      </c>
      <c r="J400" s="10" t="str">
        <f t="shared" si="2"/>
        <v>401 Cycas thouarsii</v>
      </c>
      <c r="K400" s="10" t="str">
        <f t="shared" si="3"/>
        <v>Helecho Arbóreo; Sarro; Helecho Macho; Helecho Arborecente</v>
      </c>
      <c r="L400" s="10" t="str">
        <f t="shared" si="4"/>
        <v>401 Helecho Arbóreo; Sarro; Helecho Macho; Helecho Arborecente</v>
      </c>
      <c r="M400" s="10" t="s">
        <v>46</v>
      </c>
      <c r="N400" s="10" t="s">
        <v>36</v>
      </c>
      <c r="O400" s="10" t="s">
        <v>1163</v>
      </c>
      <c r="P400" s="10" t="s">
        <v>1175</v>
      </c>
      <c r="Q400" s="13"/>
      <c r="R400" s="13"/>
      <c r="S400" s="13"/>
      <c r="T400" s="13"/>
      <c r="U400" s="13"/>
      <c r="V400" s="13"/>
      <c r="W400" s="16"/>
      <c r="X400" s="13"/>
    </row>
    <row r="401" ht="14.25" customHeight="1">
      <c r="A401" s="10" t="s">
        <v>754</v>
      </c>
      <c r="B401" s="10" t="s">
        <v>31</v>
      </c>
      <c r="C401" s="10">
        <v>402.0</v>
      </c>
      <c r="D401" s="11" t="s">
        <v>1183</v>
      </c>
      <c r="E401" s="11" t="s">
        <v>1184</v>
      </c>
      <c r="F401" s="11" t="s">
        <v>1185</v>
      </c>
      <c r="G401" s="10">
        <v>402.0</v>
      </c>
      <c r="H401" s="10">
        <f>VLOOKUP(F401,'Generos y Familia'!$A$1:$C$623,2,FALSE)</f>
        <v>49</v>
      </c>
      <c r="I401" s="12" t="str">
        <f t="shared" si="1"/>
        <v>Cyperus involucratus</v>
      </c>
      <c r="J401" s="10" t="str">
        <f t="shared" si="2"/>
        <v>402 Cyperus involucratus</v>
      </c>
      <c r="K401" s="10" t="str">
        <f t="shared" si="3"/>
        <v>Papiro Sombrilla</v>
      </c>
      <c r="L401" s="10" t="str">
        <f t="shared" si="4"/>
        <v>402 Papiro Sombrilla</v>
      </c>
      <c r="M401" s="10" t="s">
        <v>46</v>
      </c>
      <c r="N401" s="10" t="s">
        <v>36</v>
      </c>
      <c r="O401" s="10" t="s">
        <v>47</v>
      </c>
      <c r="P401" s="10" t="s">
        <v>1186</v>
      </c>
      <c r="Q401" s="13"/>
      <c r="R401" s="13"/>
      <c r="S401" s="13" t="s">
        <v>1187</v>
      </c>
      <c r="T401" s="13"/>
      <c r="U401" s="13"/>
      <c r="V401" s="13"/>
      <c r="W401" s="13"/>
      <c r="X401" s="13"/>
    </row>
    <row r="402" ht="14.25" customHeight="1">
      <c r="A402" s="10" t="s">
        <v>754</v>
      </c>
      <c r="B402" s="10" t="s">
        <v>31</v>
      </c>
      <c r="C402" s="10">
        <v>403.0</v>
      </c>
      <c r="D402" s="11" t="s">
        <v>1188</v>
      </c>
      <c r="E402" s="11" t="s">
        <v>1189</v>
      </c>
      <c r="F402" s="11" t="s">
        <v>1185</v>
      </c>
      <c r="G402" s="10">
        <v>403.0</v>
      </c>
      <c r="H402" s="10">
        <f>VLOOKUP(F402,'Generos y Familia'!$A$1:$C$623,2,FALSE)</f>
        <v>49</v>
      </c>
      <c r="I402" s="12" t="str">
        <f t="shared" si="1"/>
        <v>Cyperus papyrus L</v>
      </c>
      <c r="J402" s="10" t="str">
        <f t="shared" si="2"/>
        <v>403 Cyperus papyrus L</v>
      </c>
      <c r="K402" s="10" t="str">
        <f t="shared" si="3"/>
        <v>Papiro</v>
      </c>
      <c r="L402" s="10" t="str">
        <f t="shared" si="4"/>
        <v>403 Papiro</v>
      </c>
      <c r="M402" s="10" t="s">
        <v>46</v>
      </c>
      <c r="N402" s="10" t="s">
        <v>36</v>
      </c>
      <c r="O402" s="10" t="s">
        <v>47</v>
      </c>
      <c r="P402" s="10" t="s">
        <v>1186</v>
      </c>
      <c r="Q402" s="13"/>
      <c r="R402" s="13"/>
      <c r="S402" s="13" t="s">
        <v>1190</v>
      </c>
      <c r="T402" s="13"/>
      <c r="U402" s="13"/>
      <c r="V402" s="13"/>
      <c r="W402" s="16"/>
      <c r="X402" s="13"/>
    </row>
    <row r="403" ht="14.25" customHeight="1">
      <c r="A403" s="10" t="s">
        <v>754</v>
      </c>
      <c r="B403" s="10" t="s">
        <v>31</v>
      </c>
      <c r="C403" s="10">
        <v>404.0</v>
      </c>
      <c r="D403" s="11" t="s">
        <v>1191</v>
      </c>
      <c r="E403" s="11" t="s">
        <v>1192</v>
      </c>
      <c r="F403" s="11" t="s">
        <v>103</v>
      </c>
      <c r="G403" s="10">
        <v>404.0</v>
      </c>
      <c r="H403" s="10">
        <f>VLOOKUP(F403,'Generos y Familia'!$A$1:$C$623,2,FALSE)</f>
        <v>89</v>
      </c>
      <c r="I403" s="12" t="str">
        <f t="shared" si="1"/>
        <v>Cyphomandra betacea</v>
      </c>
      <c r="J403" s="10" t="str">
        <f t="shared" si="2"/>
        <v>404 Cyphomandra betacea</v>
      </c>
      <c r="K403" s="10" t="str">
        <f t="shared" si="3"/>
        <v>Tamarillo; Tomate de Palo</v>
      </c>
      <c r="L403" s="10" t="str">
        <f t="shared" si="4"/>
        <v>404 Tamarillo; Tomate de Palo</v>
      </c>
      <c r="M403" s="10" t="s">
        <v>46</v>
      </c>
      <c r="N403" s="10" t="s">
        <v>36</v>
      </c>
      <c r="O403" s="10" t="s">
        <v>47</v>
      </c>
      <c r="P403" s="10" t="s">
        <v>1193</v>
      </c>
      <c r="Q403" s="13"/>
      <c r="R403" s="13"/>
      <c r="S403" s="13" t="s">
        <v>1194</v>
      </c>
      <c r="T403" s="13"/>
      <c r="U403" s="13"/>
      <c r="V403" s="13"/>
      <c r="W403" s="16"/>
      <c r="X403" s="13"/>
    </row>
    <row r="404" ht="14.25" customHeight="1">
      <c r="A404" s="10" t="s">
        <v>754</v>
      </c>
      <c r="B404" s="10" t="s">
        <v>31</v>
      </c>
      <c r="C404" s="10">
        <v>405.0</v>
      </c>
      <c r="D404" s="11" t="s">
        <v>1195</v>
      </c>
      <c r="E404" s="11" t="s">
        <v>1196</v>
      </c>
      <c r="F404" s="11" t="s">
        <v>116</v>
      </c>
      <c r="G404" s="10">
        <v>405.0</v>
      </c>
      <c r="H404" s="10">
        <f>VLOOKUP(F404,'Generos y Familia'!$A$1:$C$623,2,FALSE)</f>
        <v>14</v>
      </c>
      <c r="I404" s="12" t="str">
        <f t="shared" si="1"/>
        <v>Cyrtostachys renda</v>
      </c>
      <c r="J404" s="10" t="str">
        <f t="shared" si="2"/>
        <v>405 Cyrtostachys renda</v>
      </c>
      <c r="K404" s="10" t="str">
        <f t="shared" si="3"/>
        <v>Palma Roja</v>
      </c>
      <c r="L404" s="10" t="str">
        <f t="shared" si="4"/>
        <v>405 Palma Roja</v>
      </c>
      <c r="M404" s="10" t="s">
        <v>46</v>
      </c>
      <c r="N404" s="10" t="s">
        <v>36</v>
      </c>
      <c r="O404" s="10" t="s">
        <v>117</v>
      </c>
      <c r="P404" s="10" t="s">
        <v>1197</v>
      </c>
      <c r="Q404" s="13">
        <v>10.0</v>
      </c>
      <c r="R404" s="13" t="s">
        <v>39</v>
      </c>
      <c r="S404" s="13">
        <v>7.0</v>
      </c>
      <c r="T404" s="13" t="s">
        <v>39</v>
      </c>
      <c r="U404" s="13"/>
      <c r="V404" s="13"/>
      <c r="W404" s="16"/>
      <c r="X404" s="13"/>
    </row>
    <row r="405" ht="14.25" customHeight="1">
      <c r="A405" s="10" t="s">
        <v>754</v>
      </c>
      <c r="B405" s="10" t="s">
        <v>31</v>
      </c>
      <c r="C405" s="10">
        <v>406.0</v>
      </c>
      <c r="D405" s="11" t="s">
        <v>1198</v>
      </c>
      <c r="E405" s="11" t="s">
        <v>1199</v>
      </c>
      <c r="F405" s="11" t="s">
        <v>362</v>
      </c>
      <c r="G405" s="10">
        <v>406.0</v>
      </c>
      <c r="H405" s="10">
        <f>VLOOKUP(F405,'Generos y Familia'!$A$1:$C$623,2,FALSE)</f>
        <v>17</v>
      </c>
      <c r="I405" s="12" t="str">
        <f t="shared" si="1"/>
        <v>Dahlia x pinnata</v>
      </c>
      <c r="J405" s="10" t="str">
        <f t="shared" si="2"/>
        <v>406 Dahlia x pinnata</v>
      </c>
      <c r="K405" s="10" t="str">
        <f t="shared" si="3"/>
        <v>Dalia</v>
      </c>
      <c r="L405" s="10" t="str">
        <f t="shared" si="4"/>
        <v>406 Dalia</v>
      </c>
      <c r="M405" s="10" t="s">
        <v>46</v>
      </c>
      <c r="N405" s="10" t="s">
        <v>36</v>
      </c>
      <c r="O405" s="10" t="s">
        <v>47</v>
      </c>
      <c r="P405" s="10" t="s">
        <v>1200</v>
      </c>
      <c r="Q405" s="13"/>
      <c r="R405" s="13"/>
      <c r="S405" s="13"/>
      <c r="T405" s="13"/>
      <c r="U405" s="13"/>
      <c r="V405" s="13"/>
      <c r="W405" s="13"/>
      <c r="X405" s="13"/>
    </row>
    <row r="406" ht="14.25" customHeight="1">
      <c r="A406" s="10" t="s">
        <v>754</v>
      </c>
      <c r="B406" s="10" t="s">
        <v>31</v>
      </c>
      <c r="C406" s="10">
        <v>407.0</v>
      </c>
      <c r="D406" s="11" t="s">
        <v>1201</v>
      </c>
      <c r="E406" s="11" t="s">
        <v>1202</v>
      </c>
      <c r="F406" s="11" t="s">
        <v>34</v>
      </c>
      <c r="G406" s="10">
        <v>407.0</v>
      </c>
      <c r="H406" s="10">
        <f>VLOOKUP(F406,'Generos y Familia'!$A$1:$C$623,2,FALSE)</f>
        <v>27</v>
      </c>
      <c r="I406" s="12" t="str">
        <f t="shared" si="1"/>
        <v>Delonix regia</v>
      </c>
      <c r="J406" s="10" t="str">
        <f t="shared" si="2"/>
        <v>407 Delonix regia</v>
      </c>
      <c r="K406" s="10" t="str">
        <f t="shared" si="3"/>
        <v>Acacia Roja; Flamboyán</v>
      </c>
      <c r="L406" s="10" t="str">
        <f t="shared" si="4"/>
        <v>407 Acacia Roja; Flamboyán</v>
      </c>
      <c r="M406" s="10" t="s">
        <v>46</v>
      </c>
      <c r="N406" s="10" t="s">
        <v>36</v>
      </c>
      <c r="O406" s="10" t="s">
        <v>37</v>
      </c>
      <c r="P406" s="10" t="s">
        <v>1203</v>
      </c>
      <c r="Q406" s="17" t="s">
        <v>145</v>
      </c>
      <c r="R406" s="14" t="s">
        <v>53</v>
      </c>
      <c r="S406" s="17" t="s">
        <v>62</v>
      </c>
      <c r="T406" s="14"/>
      <c r="U406" s="14" t="s">
        <v>55</v>
      </c>
      <c r="V406" s="14"/>
      <c r="W406" s="17"/>
      <c r="X406" s="14" t="s">
        <v>41</v>
      </c>
    </row>
    <row r="407" ht="14.25" customHeight="1">
      <c r="A407" s="10" t="s">
        <v>754</v>
      </c>
      <c r="B407" s="10" t="s">
        <v>31</v>
      </c>
      <c r="C407" s="10">
        <v>408.0</v>
      </c>
      <c r="D407" s="11" t="s">
        <v>1204</v>
      </c>
      <c r="E407" s="11" t="s">
        <v>1205</v>
      </c>
      <c r="F407" s="11" t="s">
        <v>248</v>
      </c>
      <c r="G407" s="10">
        <v>408.0</v>
      </c>
      <c r="H407" s="10">
        <f>VLOOKUP(F407,'Generos y Familia'!$A$1:$C$623,2,FALSE)</f>
        <v>20</v>
      </c>
      <c r="I407" s="12" t="str">
        <f t="shared" si="1"/>
        <v>Delostoma integrifolium</v>
      </c>
      <c r="J407" s="10" t="str">
        <f t="shared" si="2"/>
        <v>408 Delostoma integrifolium</v>
      </c>
      <c r="K407" s="10" t="str">
        <f t="shared" si="3"/>
        <v>Teterete; Navajuelo</v>
      </c>
      <c r="L407" s="10" t="str">
        <f t="shared" si="4"/>
        <v>408 Teterete; Navajuelo</v>
      </c>
      <c r="M407" s="10" t="s">
        <v>35</v>
      </c>
      <c r="N407" s="10" t="s">
        <v>36</v>
      </c>
      <c r="O407" s="10" t="s">
        <v>37</v>
      </c>
      <c r="P407" s="10" t="s">
        <v>1206</v>
      </c>
      <c r="Q407" s="17" t="s">
        <v>379</v>
      </c>
      <c r="R407" s="14" t="s">
        <v>53</v>
      </c>
      <c r="S407" s="17" t="s">
        <v>54</v>
      </c>
      <c r="T407" s="14" t="s">
        <v>39</v>
      </c>
      <c r="U407" s="14" t="s">
        <v>55</v>
      </c>
      <c r="V407" s="14"/>
      <c r="W407" s="18"/>
      <c r="X407" s="14"/>
    </row>
    <row r="408" ht="14.25" customHeight="1">
      <c r="A408" s="10" t="s">
        <v>754</v>
      </c>
      <c r="B408" s="10" t="s">
        <v>31</v>
      </c>
      <c r="C408" s="10">
        <v>410.0</v>
      </c>
      <c r="D408" s="11" t="s">
        <v>1207</v>
      </c>
      <c r="E408" s="11" t="s">
        <v>1208</v>
      </c>
      <c r="F408" s="11" t="s">
        <v>248</v>
      </c>
      <c r="G408" s="10">
        <v>410.0</v>
      </c>
      <c r="H408" s="10">
        <f>VLOOKUP(F408,'Generos y Familia'!$A$1:$C$623,2,FALSE)</f>
        <v>20</v>
      </c>
      <c r="I408" s="12" t="str">
        <f t="shared" si="1"/>
        <v>Delostoma sp</v>
      </c>
      <c r="J408" s="10" t="str">
        <f t="shared" si="2"/>
        <v>410 Delostoma sp</v>
      </c>
      <c r="K408" s="10" t="str">
        <f t="shared" si="3"/>
        <v>Guayacan de Tierra Fria; Navajuelo</v>
      </c>
      <c r="L408" s="10" t="str">
        <f t="shared" si="4"/>
        <v>410 Guayacan de Tierra Fria; Navajuelo</v>
      </c>
      <c r="M408" s="10" t="s">
        <v>35</v>
      </c>
      <c r="N408" s="10" t="s">
        <v>36</v>
      </c>
      <c r="O408" s="10" t="s">
        <v>37</v>
      </c>
      <c r="P408" s="10" t="s">
        <v>1206</v>
      </c>
      <c r="Q408" s="13">
        <v>10.0</v>
      </c>
      <c r="R408" s="13" t="s">
        <v>39</v>
      </c>
      <c r="S408" s="13">
        <v>30.0</v>
      </c>
      <c r="T408" s="13" t="s">
        <v>39</v>
      </c>
      <c r="U408" s="13" t="s">
        <v>55</v>
      </c>
      <c r="V408" s="13"/>
      <c r="W408" s="13"/>
      <c r="X408" s="14" t="s">
        <v>41</v>
      </c>
    </row>
    <row r="409" ht="14.25" customHeight="1">
      <c r="A409" s="10" t="s">
        <v>754</v>
      </c>
      <c r="B409" s="10" t="s">
        <v>31</v>
      </c>
      <c r="C409" s="10">
        <v>411.0</v>
      </c>
      <c r="D409" s="11" t="s">
        <v>1209</v>
      </c>
      <c r="E409" s="11" t="s">
        <v>1210</v>
      </c>
      <c r="F409" s="11" t="s">
        <v>502</v>
      </c>
      <c r="G409" s="10">
        <v>411.0</v>
      </c>
      <c r="H409" s="10">
        <f>VLOOKUP(F409,'Generos y Familia'!$A$1:$C$623,2,FALSE)</f>
        <v>95</v>
      </c>
      <c r="I409" s="12" t="str">
        <f t="shared" si="1"/>
        <v>Dendrocnide moroides</v>
      </c>
      <c r="J409" s="10" t="str">
        <f t="shared" si="2"/>
        <v>411 Dendrocnide moroides</v>
      </c>
      <c r="K409" s="10" t="str">
        <f t="shared" si="3"/>
        <v>Gimpi Gimpi O Yimpi Yimpi</v>
      </c>
      <c r="L409" s="10" t="str">
        <f t="shared" si="4"/>
        <v>411 Gimpi Gimpi O Yimpi Yimpi</v>
      </c>
      <c r="M409" s="10" t="s">
        <v>46</v>
      </c>
      <c r="N409" s="10"/>
      <c r="O409" s="10" t="s">
        <v>47</v>
      </c>
      <c r="P409" s="10" t="s">
        <v>1211</v>
      </c>
      <c r="Q409" s="13"/>
      <c r="R409" s="13"/>
      <c r="S409" s="13"/>
      <c r="T409" s="13"/>
      <c r="U409" s="13"/>
      <c r="V409" s="13"/>
      <c r="W409" s="13"/>
      <c r="X409" s="13"/>
    </row>
    <row r="410" ht="14.25" customHeight="1">
      <c r="A410" s="10" t="s">
        <v>754</v>
      </c>
      <c r="B410" s="10" t="s">
        <v>31</v>
      </c>
      <c r="C410" s="10">
        <v>412.0</v>
      </c>
      <c r="D410" s="11" t="s">
        <v>1212</v>
      </c>
      <c r="E410" s="11" t="s">
        <v>1213</v>
      </c>
      <c r="F410" s="11" t="s">
        <v>324</v>
      </c>
      <c r="G410" s="10">
        <v>412.0</v>
      </c>
      <c r="H410" s="10">
        <f>VLOOKUP(F410,'Generos y Familia'!$A$1:$C$623,2,FALSE)</f>
        <v>12</v>
      </c>
      <c r="I410" s="12" t="str">
        <f t="shared" si="1"/>
        <v>Dendropanax arboreus</v>
      </c>
      <c r="J410" s="10" t="str">
        <f t="shared" si="2"/>
        <v>412 Dendropanax arboreus</v>
      </c>
      <c r="K410" s="10" t="str">
        <f t="shared" si="3"/>
        <v>Zapotillo</v>
      </c>
      <c r="L410" s="10" t="str">
        <f t="shared" si="4"/>
        <v>412 Zapotillo</v>
      </c>
      <c r="M410" s="10" t="s">
        <v>35</v>
      </c>
      <c r="N410" s="10" t="s">
        <v>36</v>
      </c>
      <c r="O410" s="10" t="s">
        <v>37</v>
      </c>
      <c r="P410" s="10" t="s">
        <v>1214</v>
      </c>
      <c r="Q410" s="13"/>
      <c r="R410" s="13"/>
      <c r="S410" s="13"/>
      <c r="T410" s="13"/>
      <c r="U410" s="13"/>
      <c r="V410" s="13"/>
      <c r="W410" s="13"/>
      <c r="X410" s="13"/>
    </row>
    <row r="411" ht="14.25" customHeight="1">
      <c r="A411" s="10" t="s">
        <v>754</v>
      </c>
      <c r="B411" s="10" t="s">
        <v>31</v>
      </c>
      <c r="C411" s="10">
        <v>413.0</v>
      </c>
      <c r="D411" s="11" t="s">
        <v>1215</v>
      </c>
      <c r="E411" s="11" t="s">
        <v>1213</v>
      </c>
      <c r="F411" s="11" t="s">
        <v>324</v>
      </c>
      <c r="G411" s="10">
        <v>413.0</v>
      </c>
      <c r="H411" s="10">
        <f>VLOOKUP(F411,'Generos y Familia'!$A$1:$C$623,2,FALSE)</f>
        <v>12</v>
      </c>
      <c r="I411" s="12" t="str">
        <f t="shared" si="1"/>
        <v>Dendropanax sp</v>
      </c>
      <c r="J411" s="10" t="str">
        <f t="shared" si="2"/>
        <v>413 Dendropanax sp</v>
      </c>
      <c r="K411" s="10" t="str">
        <f t="shared" si="3"/>
        <v>Zapotillo</v>
      </c>
      <c r="L411" s="10" t="str">
        <f t="shared" si="4"/>
        <v>413 Zapotillo</v>
      </c>
      <c r="M411" s="10" t="s">
        <v>46</v>
      </c>
      <c r="N411" s="10" t="s">
        <v>36</v>
      </c>
      <c r="O411" s="10" t="s">
        <v>37</v>
      </c>
      <c r="P411" s="10" t="s">
        <v>1214</v>
      </c>
      <c r="Q411" s="13"/>
      <c r="R411" s="13"/>
      <c r="S411" s="13"/>
      <c r="T411" s="13"/>
      <c r="U411" s="13"/>
      <c r="V411" s="13"/>
      <c r="W411" s="13"/>
      <c r="X411" s="13"/>
    </row>
    <row r="412" ht="14.25" customHeight="1">
      <c r="A412" s="10" t="s">
        <v>754</v>
      </c>
      <c r="B412" s="10" t="s">
        <v>31</v>
      </c>
      <c r="C412" s="10">
        <v>414.0</v>
      </c>
      <c r="D412" s="11" t="s">
        <v>1216</v>
      </c>
      <c r="E412" s="11" t="s">
        <v>1217</v>
      </c>
      <c r="F412" s="11" t="s">
        <v>34</v>
      </c>
      <c r="G412" s="10">
        <v>414.0</v>
      </c>
      <c r="H412" s="10">
        <f>VLOOKUP(F412,'Generos y Familia'!$A$1:$C$623,2,FALSE)</f>
        <v>27</v>
      </c>
      <c r="I412" s="12" t="str">
        <f t="shared" si="1"/>
        <v>Dialium guianensis</v>
      </c>
      <c r="J412" s="10" t="str">
        <f t="shared" si="2"/>
        <v>414 Dialium guianensis</v>
      </c>
      <c r="K412" s="10" t="str">
        <f t="shared" si="3"/>
        <v>Tamarindo de Monte</v>
      </c>
      <c r="L412" s="10" t="str">
        <f t="shared" si="4"/>
        <v>414 Tamarindo de Monte</v>
      </c>
      <c r="M412" s="10" t="s">
        <v>35</v>
      </c>
      <c r="N412" s="10" t="s">
        <v>36</v>
      </c>
      <c r="O412" s="10" t="s">
        <v>37</v>
      </c>
      <c r="P412" s="10" t="s">
        <v>1218</v>
      </c>
      <c r="Q412" s="13">
        <v>45.0</v>
      </c>
      <c r="R412" s="13" t="s">
        <v>53</v>
      </c>
      <c r="S412" s="13"/>
      <c r="T412" s="13"/>
      <c r="U412" s="13" t="s">
        <v>73</v>
      </c>
      <c r="V412" s="13"/>
      <c r="W412" s="13"/>
      <c r="X412" s="13"/>
    </row>
    <row r="413" ht="14.25" customHeight="1">
      <c r="A413" s="10" t="s">
        <v>754</v>
      </c>
      <c r="B413" s="10" t="s">
        <v>31</v>
      </c>
      <c r="C413" s="10">
        <v>415.0</v>
      </c>
      <c r="D413" s="11" t="s">
        <v>1219</v>
      </c>
      <c r="E413" s="11" t="s">
        <v>1220</v>
      </c>
      <c r="F413" s="11" t="s">
        <v>320</v>
      </c>
      <c r="G413" s="10">
        <v>415.0</v>
      </c>
      <c r="H413" s="10">
        <f>VLOOKUP(F413,'Generos y Familia'!$A$1:$C$623,2,FALSE)</f>
        <v>1</v>
      </c>
      <c r="I413" s="12" t="str">
        <f t="shared" si="1"/>
        <v>Dianthera secunda</v>
      </c>
      <c r="J413" s="10" t="str">
        <f t="shared" si="2"/>
        <v>415 Dianthera secunda</v>
      </c>
      <c r="K413" s="10" t="str">
        <f t="shared" si="3"/>
        <v>Sangria; Singamochila</v>
      </c>
      <c r="L413" s="10" t="str">
        <f t="shared" si="4"/>
        <v>415 Sangria; Singamochila</v>
      </c>
      <c r="M413" s="10" t="s">
        <v>35</v>
      </c>
      <c r="N413" s="10" t="s">
        <v>36</v>
      </c>
      <c r="O413" s="10" t="s">
        <v>47</v>
      </c>
      <c r="P413" s="10" t="s">
        <v>1221</v>
      </c>
      <c r="Q413" s="17" t="s">
        <v>421</v>
      </c>
      <c r="R413" s="14"/>
      <c r="S413" s="17" t="s">
        <v>379</v>
      </c>
      <c r="T413" s="14"/>
      <c r="U413" s="14" t="s">
        <v>73</v>
      </c>
      <c r="V413" s="14"/>
      <c r="W413" s="17"/>
      <c r="X413" s="14" t="s">
        <v>41</v>
      </c>
    </row>
    <row r="414" ht="14.25" customHeight="1">
      <c r="A414" s="10" t="s">
        <v>754</v>
      </c>
      <c r="B414" s="10" t="s">
        <v>31</v>
      </c>
      <c r="C414" s="10">
        <v>416.0</v>
      </c>
      <c r="D414" s="11" t="s">
        <v>1222</v>
      </c>
      <c r="E414" s="11" t="s">
        <v>1161</v>
      </c>
      <c r="F414" s="11" t="s">
        <v>1223</v>
      </c>
      <c r="G414" s="10">
        <v>416.0</v>
      </c>
      <c r="H414" s="10">
        <f>VLOOKUP(F414,'Generos y Familia'!$A$1:$C$623,2,FALSE)</f>
        <v>50</v>
      </c>
      <c r="I414" s="12" t="str">
        <f t="shared" si="1"/>
        <v>Dicksonia sellowiana</v>
      </c>
      <c r="J414" s="10" t="str">
        <f t="shared" si="2"/>
        <v>416 Dicksonia sellowiana</v>
      </c>
      <c r="K414" s="10" t="str">
        <f t="shared" si="3"/>
        <v>Helecho Arboreo; Helecho Sarro; Sarro</v>
      </c>
      <c r="L414" s="10" t="str">
        <f t="shared" si="4"/>
        <v>416 Helecho Arboreo; Helecho Sarro; Sarro</v>
      </c>
      <c r="M414" s="10" t="s">
        <v>35</v>
      </c>
      <c r="N414" s="10" t="s">
        <v>36</v>
      </c>
      <c r="O414" s="10"/>
      <c r="P414" s="10" t="s">
        <v>1224</v>
      </c>
      <c r="Q414" s="13"/>
      <c r="R414" s="13"/>
      <c r="S414" s="13" t="s">
        <v>1165</v>
      </c>
      <c r="T414" s="13"/>
      <c r="U414" s="13"/>
      <c r="V414" s="13"/>
      <c r="W414" s="13"/>
      <c r="X414" s="13"/>
    </row>
    <row r="415" ht="14.25" customHeight="1">
      <c r="A415" s="10" t="s">
        <v>754</v>
      </c>
      <c r="B415" s="10" t="s">
        <v>31</v>
      </c>
      <c r="C415" s="10">
        <v>417.0</v>
      </c>
      <c r="D415" s="11" t="s">
        <v>1225</v>
      </c>
      <c r="E415" s="11" t="s">
        <v>1226</v>
      </c>
      <c r="F415" s="11" t="s">
        <v>116</v>
      </c>
      <c r="G415" s="10">
        <v>417.0</v>
      </c>
      <c r="H415" s="10">
        <f>VLOOKUP(F415,'Generos y Familia'!$A$1:$C$623,2,FALSE)</f>
        <v>14</v>
      </c>
      <c r="I415" s="12" t="str">
        <f t="shared" si="1"/>
        <v>Dictyocaryum lamarckianum</v>
      </c>
      <c r="J415" s="10" t="str">
        <f t="shared" si="2"/>
        <v>417 Dictyocaryum lamarckianum</v>
      </c>
      <c r="K415" s="10" t="str">
        <f t="shared" si="3"/>
        <v>Macana; Barrigona Blanca; Mapora</v>
      </c>
      <c r="L415" s="10" t="str">
        <f t="shared" si="4"/>
        <v>417 Macana; Barrigona Blanca; Mapora</v>
      </c>
      <c r="M415" s="10" t="s">
        <v>797</v>
      </c>
      <c r="N415" s="10" t="s">
        <v>36</v>
      </c>
      <c r="O415" s="10" t="s">
        <v>37</v>
      </c>
      <c r="P415" s="10" t="s">
        <v>1227</v>
      </c>
      <c r="Q415" s="13"/>
      <c r="R415" s="13"/>
      <c r="S415" s="13"/>
      <c r="T415" s="13"/>
      <c r="U415" s="13"/>
      <c r="V415" s="13"/>
      <c r="W415" s="16"/>
      <c r="X415" s="13"/>
    </row>
    <row r="416" ht="14.25" customHeight="1">
      <c r="A416" s="10" t="s">
        <v>754</v>
      </c>
      <c r="B416" s="10" t="s">
        <v>31</v>
      </c>
      <c r="C416" s="10">
        <v>418.0</v>
      </c>
      <c r="D416" s="11" t="s">
        <v>1228</v>
      </c>
      <c r="E416" s="11" t="s">
        <v>1229</v>
      </c>
      <c r="F416" s="11" t="s">
        <v>214</v>
      </c>
      <c r="G416" s="10">
        <v>418.0</v>
      </c>
      <c r="H416" s="10">
        <f>VLOOKUP(F416,'Generos y Familia'!$A$1:$C$623,2,FALSE)</f>
        <v>84</v>
      </c>
      <c r="I416" s="12" t="str">
        <f t="shared" si="1"/>
        <v>Dilodendron costaricense</v>
      </c>
      <c r="J416" s="10" t="str">
        <f t="shared" si="2"/>
        <v>418 Dilodendron costaricense</v>
      </c>
      <c r="K416" s="10" t="str">
        <f t="shared" si="3"/>
        <v>Loro; Iguano</v>
      </c>
      <c r="L416" s="10" t="str">
        <f t="shared" si="4"/>
        <v>418 Loro; Iguano</v>
      </c>
      <c r="M416" s="10" t="s">
        <v>35</v>
      </c>
      <c r="N416" s="10" t="s">
        <v>36</v>
      </c>
      <c r="O416" s="10" t="s">
        <v>37</v>
      </c>
      <c r="P416" s="10" t="s">
        <v>1230</v>
      </c>
      <c r="Q416" s="13">
        <v>40.0</v>
      </c>
      <c r="R416" s="13" t="s">
        <v>39</v>
      </c>
      <c r="S416" s="13">
        <v>100.0</v>
      </c>
      <c r="T416" s="13" t="s">
        <v>39</v>
      </c>
      <c r="U416" s="13" t="s">
        <v>40</v>
      </c>
      <c r="V416" s="13"/>
      <c r="W416" s="13"/>
      <c r="X416" s="13"/>
    </row>
    <row r="417" ht="14.25" customHeight="1">
      <c r="A417" s="10" t="s">
        <v>754</v>
      </c>
      <c r="B417" s="10" t="s">
        <v>31</v>
      </c>
      <c r="C417" s="10">
        <v>419.0</v>
      </c>
      <c r="D417" s="11" t="s">
        <v>1231</v>
      </c>
      <c r="E417" s="11" t="s">
        <v>1232</v>
      </c>
      <c r="F417" s="11" t="s">
        <v>214</v>
      </c>
      <c r="G417" s="10">
        <v>419.0</v>
      </c>
      <c r="H417" s="10">
        <f>VLOOKUP(F417,'Generos y Familia'!$A$1:$C$623,2,FALSE)</f>
        <v>84</v>
      </c>
      <c r="I417" s="12" t="str">
        <f t="shared" si="1"/>
        <v>Dimocarpus longan</v>
      </c>
      <c r="J417" s="10" t="str">
        <f t="shared" si="2"/>
        <v>419 Dimocarpus longan</v>
      </c>
      <c r="K417" s="10" t="str">
        <f t="shared" si="3"/>
        <v>Ojo de Dragón</v>
      </c>
      <c r="L417" s="10" t="str">
        <f t="shared" si="4"/>
        <v>419 Ojo de Dragón</v>
      </c>
      <c r="M417" s="10" t="s">
        <v>46</v>
      </c>
      <c r="N417" s="10" t="s">
        <v>28</v>
      </c>
      <c r="O417" s="10" t="s">
        <v>37</v>
      </c>
      <c r="P417" s="10" t="s">
        <v>1233</v>
      </c>
      <c r="Q417" s="13"/>
      <c r="R417" s="13"/>
      <c r="S417" s="13" t="s">
        <v>1234</v>
      </c>
      <c r="T417" s="13"/>
      <c r="U417" s="13"/>
      <c r="V417" s="13"/>
      <c r="W417" s="13"/>
      <c r="X417" s="13"/>
    </row>
    <row r="418" ht="14.25" customHeight="1">
      <c r="A418" s="10" t="s">
        <v>754</v>
      </c>
      <c r="B418" s="10" t="s">
        <v>31</v>
      </c>
      <c r="C418" s="10">
        <v>420.0</v>
      </c>
      <c r="D418" s="11" t="s">
        <v>1235</v>
      </c>
      <c r="E418" s="11" t="s">
        <v>1236</v>
      </c>
      <c r="F418" s="11" t="s">
        <v>1237</v>
      </c>
      <c r="G418" s="10">
        <v>420.0</v>
      </c>
      <c r="H418" s="10">
        <f>VLOOKUP(F418,'Generos y Familia'!$A$1:$C$623,2,FALSE)</f>
        <v>21</v>
      </c>
      <c r="I418" s="12" t="str">
        <f t="shared" si="1"/>
        <v>Diospyros blancoi</v>
      </c>
      <c r="J418" s="10" t="str">
        <f t="shared" si="2"/>
        <v>420 Diospyros blancoi</v>
      </c>
      <c r="K418" s="10" t="str">
        <f t="shared" si="3"/>
        <v>Siete Sabores</v>
      </c>
      <c r="L418" s="10" t="str">
        <f t="shared" si="4"/>
        <v>420 Siete Sabores</v>
      </c>
      <c r="M418" s="10" t="s">
        <v>46</v>
      </c>
      <c r="N418" s="10" t="s">
        <v>36</v>
      </c>
      <c r="O418" s="10" t="s">
        <v>37</v>
      </c>
      <c r="P418" s="10" t="s">
        <v>1238</v>
      </c>
      <c r="Q418" s="13"/>
      <c r="R418" s="13"/>
      <c r="S418" s="13"/>
      <c r="T418" s="13"/>
      <c r="U418" s="13"/>
      <c r="V418" s="13"/>
      <c r="W418" s="13"/>
      <c r="X418" s="13"/>
    </row>
    <row r="419" ht="14.25" customHeight="1">
      <c r="A419" s="10" t="s">
        <v>754</v>
      </c>
      <c r="B419" s="10" t="s">
        <v>31</v>
      </c>
      <c r="C419" s="10">
        <v>421.0</v>
      </c>
      <c r="D419" s="11" t="s">
        <v>1239</v>
      </c>
      <c r="E419" s="11" t="s">
        <v>1240</v>
      </c>
      <c r="F419" s="11" t="s">
        <v>1237</v>
      </c>
      <c r="G419" s="10">
        <v>421.0</v>
      </c>
      <c r="H419" s="10">
        <f>VLOOKUP(F419,'Generos y Familia'!$A$1:$C$623,2,FALSE)</f>
        <v>21</v>
      </c>
      <c r="I419" s="12" t="str">
        <f t="shared" si="1"/>
        <v>Diospyros Artanthifolia</v>
      </c>
      <c r="J419" s="10" t="str">
        <f t="shared" si="2"/>
        <v>421 Diospyros Artanthifolia</v>
      </c>
      <c r="K419" s="10" t="str">
        <f t="shared" si="3"/>
        <v>Marfil</v>
      </c>
      <c r="L419" s="10" t="str">
        <f t="shared" si="4"/>
        <v>421 Marfil</v>
      </c>
      <c r="M419" s="10" t="s">
        <v>46</v>
      </c>
      <c r="N419" s="10" t="s">
        <v>36</v>
      </c>
      <c r="O419" s="10" t="s">
        <v>37</v>
      </c>
      <c r="P419" s="10" t="s">
        <v>1238</v>
      </c>
      <c r="Q419" s="13"/>
      <c r="R419" s="13"/>
      <c r="S419" s="13"/>
      <c r="T419" s="13"/>
      <c r="U419" s="13"/>
      <c r="V419" s="13"/>
      <c r="W419" s="13"/>
      <c r="X419" s="13"/>
    </row>
    <row r="420" ht="14.25" customHeight="1">
      <c r="A420" s="10" t="s">
        <v>754</v>
      </c>
      <c r="B420" s="10" t="s">
        <v>31</v>
      </c>
      <c r="C420" s="10">
        <v>422.0</v>
      </c>
      <c r="D420" s="11" t="s">
        <v>1241</v>
      </c>
      <c r="E420" s="11" t="s">
        <v>1242</v>
      </c>
      <c r="F420" s="11" t="s">
        <v>1237</v>
      </c>
      <c r="G420" s="10">
        <v>422.0</v>
      </c>
      <c r="H420" s="10">
        <f>VLOOKUP(F420,'Generos y Familia'!$A$1:$C$623,2,FALSE)</f>
        <v>21</v>
      </c>
      <c r="I420" s="12" t="str">
        <f t="shared" si="1"/>
        <v>Diospyros digyna Jacq</v>
      </c>
      <c r="J420" s="10" t="str">
        <f t="shared" si="2"/>
        <v>422 Diospyros digyna Jacq</v>
      </c>
      <c r="K420" s="10" t="str">
        <f t="shared" si="3"/>
        <v>Zapote Negro; Zapote Prieto; Ébano; Guayabota</v>
      </c>
      <c r="L420" s="10" t="str">
        <f t="shared" si="4"/>
        <v>422 Zapote Negro; Zapote Prieto; Ébano; Guayabota</v>
      </c>
      <c r="M420" s="10" t="s">
        <v>35</v>
      </c>
      <c r="N420" s="10" t="s">
        <v>36</v>
      </c>
      <c r="O420" s="10" t="s">
        <v>37</v>
      </c>
      <c r="P420" s="10" t="s">
        <v>1238</v>
      </c>
      <c r="Q420" s="13"/>
      <c r="R420" s="13"/>
      <c r="S420" s="13" t="s">
        <v>1243</v>
      </c>
      <c r="T420" s="13"/>
      <c r="U420" s="13"/>
      <c r="V420" s="13"/>
      <c r="W420" s="13"/>
      <c r="X420" s="13"/>
    </row>
    <row r="421" ht="14.25" customHeight="1">
      <c r="A421" s="10" t="s">
        <v>754</v>
      </c>
      <c r="B421" s="10" t="s">
        <v>31</v>
      </c>
      <c r="C421" s="10">
        <v>423.0</v>
      </c>
      <c r="D421" s="11" t="s">
        <v>1244</v>
      </c>
      <c r="E421" s="11" t="s">
        <v>1245</v>
      </c>
      <c r="F421" s="11" t="s">
        <v>1237</v>
      </c>
      <c r="G421" s="10">
        <v>423.0</v>
      </c>
      <c r="H421" s="10">
        <f>VLOOKUP(F421,'Generos y Familia'!$A$1:$C$623,2,FALSE)</f>
        <v>21</v>
      </c>
      <c r="I421" s="12" t="str">
        <f t="shared" si="1"/>
        <v>Diospyros inconstans</v>
      </c>
      <c r="J421" s="10" t="str">
        <f t="shared" si="2"/>
        <v>423 Diospyros inconstans</v>
      </c>
      <c r="K421" s="10" t="str">
        <f t="shared" si="3"/>
        <v>Limpiadientes; Diospiro; Juandedios; Limocillo; Granadillo</v>
      </c>
      <c r="L421" s="10" t="str">
        <f t="shared" si="4"/>
        <v>423 Limpiadientes; Diospiro; Juandedios; Limocillo; Granadillo</v>
      </c>
      <c r="M421" s="10" t="s">
        <v>46</v>
      </c>
      <c r="N421" s="10" t="s">
        <v>36</v>
      </c>
      <c r="O421" s="10" t="s">
        <v>37</v>
      </c>
      <c r="P421" s="10" t="s">
        <v>1238</v>
      </c>
      <c r="Q421" s="13"/>
      <c r="R421" s="13"/>
      <c r="S421" s="13"/>
      <c r="T421" s="13"/>
      <c r="U421" s="13"/>
      <c r="V421" s="13"/>
      <c r="W421" s="13"/>
      <c r="X421" s="13"/>
    </row>
    <row r="422" ht="14.25" customHeight="1">
      <c r="A422" s="10" t="s">
        <v>754</v>
      </c>
      <c r="B422" s="10" t="s">
        <v>31</v>
      </c>
      <c r="C422" s="10">
        <v>424.0</v>
      </c>
      <c r="D422" s="11" t="s">
        <v>1246</v>
      </c>
      <c r="E422" s="11" t="s">
        <v>1247</v>
      </c>
      <c r="F422" s="11" t="s">
        <v>1237</v>
      </c>
      <c r="G422" s="10">
        <v>424.0</v>
      </c>
      <c r="H422" s="10">
        <f>VLOOKUP(F422,'Generos y Familia'!$A$1:$C$623,2,FALSE)</f>
        <v>21</v>
      </c>
      <c r="I422" s="12" t="str">
        <f t="shared" si="1"/>
        <v>Diospyros nigra</v>
      </c>
      <c r="J422" s="10" t="str">
        <f t="shared" si="2"/>
        <v>424 Diospyros nigra</v>
      </c>
      <c r="K422" s="10" t="str">
        <f t="shared" si="3"/>
        <v>Zapote Negro; Limpia Dientes</v>
      </c>
      <c r="L422" s="10" t="str">
        <f t="shared" si="4"/>
        <v>424 Zapote Negro; Limpia Dientes</v>
      </c>
      <c r="M422" s="10" t="s">
        <v>35</v>
      </c>
      <c r="N422" s="10" t="s">
        <v>36</v>
      </c>
      <c r="O422" s="10" t="s">
        <v>37</v>
      </c>
      <c r="P422" s="10" t="s">
        <v>1238</v>
      </c>
      <c r="Q422" s="13">
        <v>12.0</v>
      </c>
      <c r="R422" s="13" t="s">
        <v>39</v>
      </c>
      <c r="S422" s="13">
        <v>60.0</v>
      </c>
      <c r="T422" s="13" t="s">
        <v>39</v>
      </c>
      <c r="U422" s="13" t="s">
        <v>73</v>
      </c>
      <c r="V422" s="13"/>
      <c r="W422" s="13"/>
      <c r="X422" s="13"/>
    </row>
    <row r="423" ht="14.25" customHeight="1">
      <c r="A423" s="10" t="s">
        <v>754</v>
      </c>
      <c r="B423" s="10" t="s">
        <v>31</v>
      </c>
      <c r="C423" s="10">
        <v>425.0</v>
      </c>
      <c r="D423" s="11" t="s">
        <v>1248</v>
      </c>
      <c r="E423" s="11" t="s">
        <v>1249</v>
      </c>
      <c r="F423" s="11" t="s">
        <v>1237</v>
      </c>
      <c r="G423" s="10">
        <v>425.0</v>
      </c>
      <c r="H423" s="10">
        <f>VLOOKUP(F423,'Generos y Familia'!$A$1:$C$623,2,FALSE)</f>
        <v>21</v>
      </c>
      <c r="I423" s="12" t="str">
        <f t="shared" si="1"/>
        <v>Diospyros sp</v>
      </c>
      <c r="J423" s="10" t="str">
        <f t="shared" si="2"/>
        <v>425 Diospyros sp</v>
      </c>
      <c r="K423" s="10" t="str">
        <f t="shared" si="3"/>
        <v>Zapote Negro</v>
      </c>
      <c r="L423" s="10" t="str">
        <f t="shared" si="4"/>
        <v>425 Zapote Negro</v>
      </c>
      <c r="M423" s="10" t="s">
        <v>46</v>
      </c>
      <c r="N423" s="10" t="s">
        <v>36</v>
      </c>
      <c r="O423" s="10" t="s">
        <v>37</v>
      </c>
      <c r="P423" s="10" t="s">
        <v>1238</v>
      </c>
      <c r="Q423" s="20">
        <v>45636.0</v>
      </c>
      <c r="R423" s="13" t="s">
        <v>39</v>
      </c>
      <c r="S423" s="13">
        <v>60.0</v>
      </c>
      <c r="T423" s="13"/>
      <c r="U423" s="13" t="s">
        <v>40</v>
      </c>
      <c r="V423" s="13"/>
      <c r="W423" s="16"/>
      <c r="X423" s="14" t="s">
        <v>41</v>
      </c>
    </row>
    <row r="424" ht="14.25" customHeight="1">
      <c r="A424" s="10" t="s">
        <v>754</v>
      </c>
      <c r="B424" s="10" t="s">
        <v>31</v>
      </c>
      <c r="C424" s="10">
        <v>426.0</v>
      </c>
      <c r="D424" s="11" t="s">
        <v>1250</v>
      </c>
      <c r="E424" s="11" t="s">
        <v>1251</v>
      </c>
      <c r="F424" s="11" t="s">
        <v>34</v>
      </c>
      <c r="G424" s="10">
        <v>426.0</v>
      </c>
      <c r="H424" s="10">
        <f>VLOOKUP(F424,'Generos y Familia'!$A$1:$C$623,2,FALSE)</f>
        <v>27</v>
      </c>
      <c r="I424" s="12" t="str">
        <f t="shared" si="1"/>
        <v>Dipteryx oleifera</v>
      </c>
      <c r="J424" s="10" t="str">
        <f t="shared" si="2"/>
        <v>426 Dipteryx oleifera</v>
      </c>
      <c r="K424" s="10" t="str">
        <f t="shared" si="3"/>
        <v>Choibá; Palo de Piedra</v>
      </c>
      <c r="L424" s="10" t="str">
        <f t="shared" si="4"/>
        <v>426 Choibá; Palo de Piedra</v>
      </c>
      <c r="M424" s="10" t="s">
        <v>35</v>
      </c>
      <c r="N424" s="10" t="s">
        <v>36</v>
      </c>
      <c r="O424" s="10" t="s">
        <v>37</v>
      </c>
      <c r="P424" s="10" t="s">
        <v>1252</v>
      </c>
      <c r="Q424" s="13">
        <v>50.0</v>
      </c>
      <c r="R424" s="13" t="s">
        <v>39</v>
      </c>
      <c r="S424" s="13">
        <v>150.0</v>
      </c>
      <c r="T424" s="13" t="s">
        <v>39</v>
      </c>
      <c r="U424" s="13" t="s">
        <v>73</v>
      </c>
      <c r="V424" s="13">
        <v>0.85</v>
      </c>
      <c r="W424" s="16"/>
      <c r="X424" s="13"/>
    </row>
    <row r="425" ht="14.25" customHeight="1">
      <c r="A425" s="10" t="s">
        <v>754</v>
      </c>
      <c r="B425" s="10" t="s">
        <v>31</v>
      </c>
      <c r="C425" s="10">
        <v>427.0</v>
      </c>
      <c r="D425" s="11" t="s">
        <v>1253</v>
      </c>
      <c r="E425" s="11" t="s">
        <v>1254</v>
      </c>
      <c r="F425" s="11" t="s">
        <v>214</v>
      </c>
      <c r="G425" s="10">
        <v>427.0</v>
      </c>
      <c r="H425" s="10">
        <f>VLOOKUP(F425,'Generos y Familia'!$A$1:$C$623,2,FALSE)</f>
        <v>84</v>
      </c>
      <c r="I425" s="12" t="str">
        <f t="shared" si="1"/>
        <v>Dodonaea viscosa</v>
      </c>
      <c r="J425" s="10" t="str">
        <f t="shared" si="2"/>
        <v>427 Dodonaea viscosa</v>
      </c>
      <c r="K425" s="10" t="str">
        <f t="shared" si="3"/>
        <v>Hayuelo</v>
      </c>
      <c r="L425" s="10" t="str">
        <f t="shared" si="4"/>
        <v>427 Hayuelo</v>
      </c>
      <c r="M425" s="10" t="s">
        <v>35</v>
      </c>
      <c r="N425" s="10" t="s">
        <v>36</v>
      </c>
      <c r="O425" s="10" t="s">
        <v>37</v>
      </c>
      <c r="P425" s="10" t="s">
        <v>1255</v>
      </c>
      <c r="Q425" s="21" t="s">
        <v>559</v>
      </c>
      <c r="R425" s="14" t="s">
        <v>39</v>
      </c>
      <c r="S425" s="17" t="s">
        <v>145</v>
      </c>
      <c r="T425" s="14" t="s">
        <v>39</v>
      </c>
      <c r="U425" s="14" t="s">
        <v>55</v>
      </c>
      <c r="V425" s="14"/>
      <c r="W425" s="18"/>
      <c r="X425" s="14"/>
    </row>
    <row r="426" ht="14.25" customHeight="1">
      <c r="A426" s="10" t="s">
        <v>754</v>
      </c>
      <c r="B426" s="10" t="s">
        <v>31</v>
      </c>
      <c r="C426" s="10">
        <v>428.0</v>
      </c>
      <c r="D426" s="11" t="s">
        <v>1256</v>
      </c>
      <c r="E426" s="11" t="s">
        <v>1257</v>
      </c>
      <c r="F426" s="11" t="s">
        <v>45</v>
      </c>
      <c r="G426" s="10">
        <v>428.0</v>
      </c>
      <c r="H426" s="10">
        <f>VLOOKUP(F426,'Generos y Familia'!$A$1:$C$623,2,FALSE)</f>
        <v>40</v>
      </c>
      <c r="I426" s="12" t="str">
        <f t="shared" si="1"/>
        <v>Dombeya wallichii</v>
      </c>
      <c r="J426" s="10" t="str">
        <f t="shared" si="2"/>
        <v>428 Dombeya wallichii</v>
      </c>
      <c r="K426" s="10" t="str">
        <f t="shared" si="3"/>
        <v>Árbol de las Hortensias</v>
      </c>
      <c r="L426" s="10" t="str">
        <f t="shared" si="4"/>
        <v>428 Árbol de las Hortensias</v>
      </c>
      <c r="M426" s="10" t="s">
        <v>46</v>
      </c>
      <c r="N426" s="10" t="s">
        <v>36</v>
      </c>
      <c r="O426" s="10" t="s">
        <v>37</v>
      </c>
      <c r="P426" s="10" t="s">
        <v>1258</v>
      </c>
      <c r="Q426" s="17" t="s">
        <v>612</v>
      </c>
      <c r="R426" s="14" t="s">
        <v>39</v>
      </c>
      <c r="S426" s="17" t="s">
        <v>145</v>
      </c>
      <c r="T426" s="14" t="s">
        <v>39</v>
      </c>
      <c r="U426" s="14" t="s">
        <v>55</v>
      </c>
      <c r="V426" s="14"/>
      <c r="W426" s="18"/>
      <c r="X426" s="14"/>
    </row>
    <row r="427" ht="14.25" customHeight="1">
      <c r="A427" s="10" t="s">
        <v>754</v>
      </c>
      <c r="B427" s="10" t="s">
        <v>31</v>
      </c>
      <c r="C427" s="10">
        <v>429.0</v>
      </c>
      <c r="D427" s="11" t="s">
        <v>1259</v>
      </c>
      <c r="E427" s="11" t="s">
        <v>731</v>
      </c>
      <c r="F427" s="11" t="s">
        <v>762</v>
      </c>
      <c r="G427" s="10">
        <v>429.0</v>
      </c>
      <c r="H427" s="10">
        <f>VLOOKUP(F427,'Generos y Familia'!$A$1:$C$623,2,FALSE)</f>
        <v>82</v>
      </c>
      <c r="I427" s="12" t="str">
        <f t="shared" si="1"/>
        <v>Dovyalis hebecarpa</v>
      </c>
      <c r="J427" s="10" t="str">
        <f t="shared" si="2"/>
        <v>429 Dovyalis hebecarpa</v>
      </c>
      <c r="K427" s="10" t="str">
        <f t="shared" si="3"/>
        <v>Espino</v>
      </c>
      <c r="L427" s="10" t="str">
        <f t="shared" si="4"/>
        <v>429 Espino</v>
      </c>
      <c r="M427" s="10" t="s">
        <v>46</v>
      </c>
      <c r="N427" s="10" t="s">
        <v>36</v>
      </c>
      <c r="O427" s="10" t="s">
        <v>37</v>
      </c>
      <c r="P427" s="10" t="s">
        <v>1260</v>
      </c>
      <c r="Q427" s="13"/>
      <c r="R427" s="13"/>
      <c r="S427" s="13"/>
      <c r="T427" s="13"/>
      <c r="U427" s="13"/>
      <c r="V427" s="13"/>
      <c r="W427" s="16"/>
      <c r="X427" s="13"/>
    </row>
    <row r="428" ht="14.25" customHeight="1">
      <c r="A428" s="10" t="s">
        <v>754</v>
      </c>
      <c r="B428" s="10" t="s">
        <v>31</v>
      </c>
      <c r="C428" s="10">
        <v>430.0</v>
      </c>
      <c r="D428" s="11" t="s">
        <v>1261</v>
      </c>
      <c r="E428" s="11" t="s">
        <v>1262</v>
      </c>
      <c r="F428" s="11" t="s">
        <v>148</v>
      </c>
      <c r="G428" s="10">
        <v>430.0</v>
      </c>
      <c r="H428" s="10">
        <f>VLOOKUP(F428,'Generos y Familia'!$A$1:$C$623,2,FALSE)</f>
        <v>15</v>
      </c>
      <c r="I428" s="12" t="str">
        <f t="shared" si="1"/>
        <v>Dracaena angustifolia</v>
      </c>
      <c r="J428" s="10" t="str">
        <f t="shared" si="2"/>
        <v>430 Dracaena angustifolia</v>
      </c>
      <c r="K428" s="10" t="str">
        <f t="shared" si="3"/>
        <v>Drago de Madagasca; Carey; Banderilla</v>
      </c>
      <c r="L428" s="10" t="str">
        <f t="shared" si="4"/>
        <v>430 Drago de Madagasca; Carey; Banderilla</v>
      </c>
      <c r="M428" s="10" t="s">
        <v>46</v>
      </c>
      <c r="N428" s="10" t="s">
        <v>36</v>
      </c>
      <c r="O428" s="10" t="s">
        <v>47</v>
      </c>
      <c r="P428" s="10" t="s">
        <v>1263</v>
      </c>
      <c r="Q428" s="17" t="s">
        <v>347</v>
      </c>
      <c r="R428" s="14" t="s">
        <v>53</v>
      </c>
      <c r="S428" s="17" t="s">
        <v>145</v>
      </c>
      <c r="T428" s="14"/>
      <c r="U428" s="14" t="s">
        <v>40</v>
      </c>
      <c r="V428" s="14"/>
      <c r="W428" s="17"/>
      <c r="X428" s="14"/>
    </row>
    <row r="429" ht="14.25" customHeight="1">
      <c r="A429" s="10" t="s">
        <v>754</v>
      </c>
      <c r="B429" s="10" t="s">
        <v>63</v>
      </c>
      <c r="C429" s="10">
        <v>431.0</v>
      </c>
      <c r="D429" s="11" t="s">
        <v>1264</v>
      </c>
      <c r="E429" s="11" t="s">
        <v>1265</v>
      </c>
      <c r="F429" s="11" t="s">
        <v>148</v>
      </c>
      <c r="G429" s="10">
        <v>431.0</v>
      </c>
      <c r="H429" s="10">
        <f>VLOOKUP(F429,'Generos y Familia'!$A$1:$C$623,2,FALSE)</f>
        <v>15</v>
      </c>
      <c r="I429" s="12" t="str">
        <f t="shared" si="1"/>
        <v>Dracaena arborea</v>
      </c>
      <c r="J429" s="10" t="str">
        <f t="shared" si="2"/>
        <v>431 Dracaena arborea</v>
      </c>
      <c r="K429" s="10" t="str">
        <f t="shared" si="3"/>
        <v>Dracena; Cana de Maiz</v>
      </c>
      <c r="L429" s="10" t="str">
        <f t="shared" si="4"/>
        <v>431 Dracena; Cana de Maiz</v>
      </c>
      <c r="M429" s="10" t="s">
        <v>46</v>
      </c>
      <c r="N429" s="10" t="s">
        <v>28</v>
      </c>
      <c r="O429" s="10" t="s">
        <v>47</v>
      </c>
      <c r="P429" s="10" t="s">
        <v>1263</v>
      </c>
      <c r="Q429" s="17" t="s">
        <v>612</v>
      </c>
      <c r="R429" s="14" t="s">
        <v>53</v>
      </c>
      <c r="S429" s="17" t="s">
        <v>145</v>
      </c>
      <c r="T429" s="14"/>
      <c r="U429" s="14" t="s">
        <v>40</v>
      </c>
      <c r="V429" s="14"/>
      <c r="W429" s="17"/>
      <c r="X429" s="14"/>
    </row>
    <row r="430" ht="14.25" customHeight="1">
      <c r="A430" s="10" t="s">
        <v>754</v>
      </c>
      <c r="B430" s="10" t="s">
        <v>31</v>
      </c>
      <c r="C430" s="10">
        <v>432.0</v>
      </c>
      <c r="D430" s="11" t="s">
        <v>1266</v>
      </c>
      <c r="E430" s="11" t="s">
        <v>1267</v>
      </c>
      <c r="F430" s="11" t="s">
        <v>148</v>
      </c>
      <c r="G430" s="10">
        <v>432.0</v>
      </c>
      <c r="H430" s="10">
        <f>VLOOKUP(F430,'Generos y Familia'!$A$1:$C$623,2,FALSE)</f>
        <v>15</v>
      </c>
      <c r="I430" s="12" t="str">
        <f t="shared" si="1"/>
        <v>Dracaena braunii</v>
      </c>
      <c r="J430" s="10" t="str">
        <f t="shared" si="2"/>
        <v>432 Dracaena braunii</v>
      </c>
      <c r="K430" s="10" t="str">
        <f t="shared" si="3"/>
        <v>Bambú de la Suerte</v>
      </c>
      <c r="L430" s="10" t="str">
        <f t="shared" si="4"/>
        <v>432 Bambú de la Suerte</v>
      </c>
      <c r="M430" s="10" t="s">
        <v>46</v>
      </c>
      <c r="N430" s="10" t="s">
        <v>36</v>
      </c>
      <c r="O430" s="10" t="s">
        <v>47</v>
      </c>
      <c r="P430" s="10" t="s">
        <v>1263</v>
      </c>
      <c r="Q430" s="13">
        <v>2.0</v>
      </c>
      <c r="R430" s="13" t="s">
        <v>53</v>
      </c>
      <c r="S430" s="13"/>
      <c r="T430" s="13"/>
      <c r="U430" s="13" t="s">
        <v>40</v>
      </c>
      <c r="V430" s="13"/>
      <c r="W430" s="13"/>
      <c r="X430" s="13"/>
    </row>
    <row r="431" ht="14.25" customHeight="1">
      <c r="A431" s="10" t="s">
        <v>754</v>
      </c>
      <c r="B431" s="10" t="s">
        <v>31</v>
      </c>
      <c r="C431" s="10">
        <v>433.0</v>
      </c>
      <c r="D431" s="11" t="s">
        <v>1268</v>
      </c>
      <c r="E431" s="11" t="s">
        <v>1269</v>
      </c>
      <c r="F431" s="11" t="s">
        <v>148</v>
      </c>
      <c r="G431" s="10">
        <v>433.0</v>
      </c>
      <c r="H431" s="10">
        <f>VLOOKUP(F431,'Generos y Familia'!$A$1:$C$623,2,FALSE)</f>
        <v>15</v>
      </c>
      <c r="I431" s="12" t="str">
        <f t="shared" si="1"/>
        <v>Dracaena concinna</v>
      </c>
      <c r="J431" s="10" t="str">
        <f t="shared" si="2"/>
        <v>433 Dracaena concinna</v>
      </c>
      <c r="K431" s="10" t="str">
        <f t="shared" si="3"/>
        <v>Árbol Dragon</v>
      </c>
      <c r="L431" s="10" t="str">
        <f t="shared" si="4"/>
        <v>433 Árbol Dragon</v>
      </c>
      <c r="M431" s="10" t="s">
        <v>46</v>
      </c>
      <c r="N431" s="10" t="s">
        <v>28</v>
      </c>
      <c r="O431" s="10" t="s">
        <v>47</v>
      </c>
      <c r="P431" s="10" t="s">
        <v>1263</v>
      </c>
      <c r="Q431" s="13"/>
      <c r="R431" s="13"/>
      <c r="S431" s="13" t="s">
        <v>1270</v>
      </c>
      <c r="T431" s="13"/>
      <c r="U431" s="13"/>
      <c r="V431" s="13"/>
      <c r="W431" s="13"/>
      <c r="X431" s="13"/>
    </row>
    <row r="432" ht="14.25" customHeight="1">
      <c r="A432" s="10" t="s">
        <v>754</v>
      </c>
      <c r="B432" s="10" t="s">
        <v>31</v>
      </c>
      <c r="C432" s="10">
        <v>434.0</v>
      </c>
      <c r="D432" s="11" t="s">
        <v>1271</v>
      </c>
      <c r="E432" s="11" t="s">
        <v>1272</v>
      </c>
      <c r="F432" s="11" t="s">
        <v>148</v>
      </c>
      <c r="G432" s="10">
        <v>434.0</v>
      </c>
      <c r="H432" s="10">
        <f>VLOOKUP(F432,'Generos y Familia'!$A$1:$C$623,2,FALSE)</f>
        <v>15</v>
      </c>
      <c r="I432" s="12" t="str">
        <f t="shared" si="1"/>
        <v>Dracaena deremensis</v>
      </c>
      <c r="J432" s="10" t="str">
        <f t="shared" si="2"/>
        <v>434 Dracaena deremensis</v>
      </c>
      <c r="K432" s="10" t="str">
        <f t="shared" si="3"/>
        <v>Cinta Variegada</v>
      </c>
      <c r="L432" s="10" t="str">
        <f t="shared" si="4"/>
        <v>434 Cinta Variegada</v>
      </c>
      <c r="M432" s="10" t="s">
        <v>46</v>
      </c>
      <c r="N432" s="10" t="s">
        <v>36</v>
      </c>
      <c r="O432" s="10" t="s">
        <v>47</v>
      </c>
      <c r="P432" s="10" t="s">
        <v>1263</v>
      </c>
      <c r="Q432" s="13"/>
      <c r="R432" s="13"/>
      <c r="S432" s="13"/>
      <c r="T432" s="13"/>
      <c r="U432" s="13"/>
      <c r="V432" s="13"/>
      <c r="W432" s="13"/>
      <c r="X432" s="13"/>
    </row>
    <row r="433" ht="14.25" customHeight="1">
      <c r="A433" s="10" t="s">
        <v>754</v>
      </c>
      <c r="B433" s="10" t="s">
        <v>31</v>
      </c>
      <c r="C433" s="10">
        <v>435.0</v>
      </c>
      <c r="D433" s="11" t="s">
        <v>1273</v>
      </c>
      <c r="E433" s="11" t="s">
        <v>1274</v>
      </c>
      <c r="F433" s="11" t="s">
        <v>148</v>
      </c>
      <c r="G433" s="10">
        <v>435.0</v>
      </c>
      <c r="H433" s="10">
        <f>VLOOKUP(F433,'Generos y Familia'!$A$1:$C$623,2,FALSE)</f>
        <v>15</v>
      </c>
      <c r="I433" s="12" t="str">
        <f t="shared" si="1"/>
        <v>Dracaena fragrans</v>
      </c>
      <c r="J433" s="10" t="str">
        <f t="shared" si="2"/>
        <v>435 Dracaena fragrans</v>
      </c>
      <c r="K433" s="10" t="str">
        <f t="shared" si="3"/>
        <v>Árbol de la Felicidad</v>
      </c>
      <c r="L433" s="10" t="str">
        <f t="shared" si="4"/>
        <v>435 Árbol de la Felicidad</v>
      </c>
      <c r="M433" s="10" t="s">
        <v>46</v>
      </c>
      <c r="N433" s="10" t="s">
        <v>36</v>
      </c>
      <c r="O433" s="10" t="s">
        <v>47</v>
      </c>
      <c r="P433" s="10" t="s">
        <v>1263</v>
      </c>
      <c r="Q433" s="17" t="s">
        <v>612</v>
      </c>
      <c r="R433" s="14" t="s">
        <v>53</v>
      </c>
      <c r="S433" s="17" t="s">
        <v>145</v>
      </c>
      <c r="T433" s="14"/>
      <c r="U433" s="14" t="s">
        <v>73</v>
      </c>
      <c r="V433" s="14"/>
      <c r="W433" s="17"/>
      <c r="X433" s="14"/>
    </row>
    <row r="434" ht="14.25" customHeight="1">
      <c r="A434" s="10" t="s">
        <v>754</v>
      </c>
      <c r="B434" s="10" t="s">
        <v>31</v>
      </c>
      <c r="C434" s="10">
        <v>436.0</v>
      </c>
      <c r="D434" s="11" t="s">
        <v>1275</v>
      </c>
      <c r="E434" s="11" t="s">
        <v>1276</v>
      </c>
      <c r="F434" s="11" t="s">
        <v>148</v>
      </c>
      <c r="G434" s="10">
        <v>436.0</v>
      </c>
      <c r="H434" s="10">
        <f>VLOOKUP(F434,'Generos y Familia'!$A$1:$C$623,2,FALSE)</f>
        <v>15</v>
      </c>
      <c r="I434" s="12" t="str">
        <f t="shared" si="1"/>
        <v>Dracaena reflexa</v>
      </c>
      <c r="J434" s="10" t="str">
        <f t="shared" si="2"/>
        <v>436 Dracaena reflexa</v>
      </c>
      <c r="K434" s="10" t="str">
        <f t="shared" si="3"/>
        <v>Dracaena (Reflexa); Canción de la India</v>
      </c>
      <c r="L434" s="10" t="str">
        <f t="shared" si="4"/>
        <v>436 Dracaena (Reflexa); Canción de la India</v>
      </c>
      <c r="M434" s="10" t="s">
        <v>46</v>
      </c>
      <c r="N434" s="10" t="s">
        <v>36</v>
      </c>
      <c r="O434" s="10" t="s">
        <v>47</v>
      </c>
      <c r="P434" s="10" t="s">
        <v>1263</v>
      </c>
      <c r="Q434" s="17" t="s">
        <v>347</v>
      </c>
      <c r="R434" s="14" t="s">
        <v>53</v>
      </c>
      <c r="S434" s="17" t="s">
        <v>145</v>
      </c>
      <c r="T434" s="14"/>
      <c r="U434" s="14" t="s">
        <v>40</v>
      </c>
      <c r="V434" s="14"/>
      <c r="W434" s="18"/>
      <c r="X434" s="14"/>
    </row>
    <row r="435" ht="14.25" customHeight="1">
      <c r="A435" s="10" t="s">
        <v>754</v>
      </c>
      <c r="B435" s="10" t="s">
        <v>31</v>
      </c>
      <c r="C435" s="10">
        <v>437.0</v>
      </c>
      <c r="D435" s="11" t="s">
        <v>1277</v>
      </c>
      <c r="E435" s="11" t="s">
        <v>1278</v>
      </c>
      <c r="F435" s="11" t="s">
        <v>148</v>
      </c>
      <c r="G435" s="10">
        <v>437.0</v>
      </c>
      <c r="H435" s="10">
        <f>VLOOKUP(F435,'Generos y Familia'!$A$1:$C$623,2,FALSE)</f>
        <v>15</v>
      </c>
      <c r="I435" s="12" t="str">
        <f t="shared" si="1"/>
        <v>Dracaena rubra</v>
      </c>
      <c r="J435" s="10" t="str">
        <f t="shared" si="2"/>
        <v>437 Dracaena rubra</v>
      </c>
      <c r="K435" s="10" t="str">
        <f t="shared" si="3"/>
        <v>Palma de Carey; Drácena Roja</v>
      </c>
      <c r="L435" s="10" t="str">
        <f t="shared" si="4"/>
        <v>437 Palma de Carey; Drácena Roja</v>
      </c>
      <c r="M435" s="10" t="s">
        <v>46</v>
      </c>
      <c r="N435" s="10" t="s">
        <v>36</v>
      </c>
      <c r="O435" s="10" t="s">
        <v>47</v>
      </c>
      <c r="P435" s="10" t="s">
        <v>1263</v>
      </c>
      <c r="Q435" s="13"/>
      <c r="R435" s="13"/>
      <c r="S435" s="13"/>
      <c r="T435" s="13"/>
      <c r="U435" s="13"/>
      <c r="V435" s="13"/>
      <c r="W435" s="16"/>
      <c r="X435" s="13"/>
    </row>
    <row r="436" ht="14.25" customHeight="1">
      <c r="A436" s="10" t="s">
        <v>754</v>
      </c>
      <c r="B436" s="10" t="s">
        <v>31</v>
      </c>
      <c r="C436" s="10">
        <v>438.0</v>
      </c>
      <c r="D436" s="11" t="s">
        <v>1279</v>
      </c>
      <c r="E436" s="11" t="s">
        <v>1280</v>
      </c>
      <c r="F436" s="11" t="s">
        <v>148</v>
      </c>
      <c r="G436" s="10">
        <v>438.0</v>
      </c>
      <c r="H436" s="10">
        <f>VLOOKUP(F436,'Generos y Familia'!$A$1:$C$623,2,FALSE)</f>
        <v>15</v>
      </c>
      <c r="I436" s="12" t="str">
        <f t="shared" si="1"/>
        <v>Dracaena sp</v>
      </c>
      <c r="J436" s="10" t="str">
        <f t="shared" si="2"/>
        <v>438 Dracaena sp</v>
      </c>
      <c r="K436" s="10" t="str">
        <f t="shared" si="3"/>
        <v>Palo de Brasil</v>
      </c>
      <c r="L436" s="10" t="str">
        <f t="shared" si="4"/>
        <v>438 Palo de Brasil</v>
      </c>
      <c r="M436" s="10" t="s">
        <v>35</v>
      </c>
      <c r="N436" s="10" t="s">
        <v>36</v>
      </c>
      <c r="O436" s="10" t="s">
        <v>47</v>
      </c>
      <c r="P436" s="10" t="s">
        <v>1263</v>
      </c>
      <c r="Q436" s="17" t="s">
        <v>107</v>
      </c>
      <c r="R436" s="14" t="s">
        <v>53</v>
      </c>
      <c r="S436" s="17" t="s">
        <v>145</v>
      </c>
      <c r="T436" s="14"/>
      <c r="U436" s="14" t="s">
        <v>40</v>
      </c>
      <c r="V436" s="14"/>
      <c r="W436" s="18"/>
      <c r="X436" s="14"/>
    </row>
    <row r="437" ht="14.25" customHeight="1">
      <c r="A437" s="10" t="s">
        <v>754</v>
      </c>
      <c r="B437" s="10" t="s">
        <v>31</v>
      </c>
      <c r="C437" s="10">
        <v>439.0</v>
      </c>
      <c r="D437" s="11" t="s">
        <v>1281</v>
      </c>
      <c r="E437" s="11" t="s">
        <v>1282</v>
      </c>
      <c r="F437" s="11" t="s">
        <v>148</v>
      </c>
      <c r="G437" s="10">
        <v>439.0</v>
      </c>
      <c r="H437" s="10">
        <f>VLOOKUP(F437,'Generos y Familia'!$A$1:$C$623,2,FALSE)</f>
        <v>15</v>
      </c>
      <c r="I437" s="12" t="str">
        <f t="shared" si="1"/>
        <v>Dracaena compacta</v>
      </c>
      <c r="J437" s="10" t="str">
        <f t="shared" si="2"/>
        <v>439 Dracaena compacta</v>
      </c>
      <c r="K437" s="10" t="str">
        <f t="shared" si="3"/>
        <v>Tronco del Brasil</v>
      </c>
      <c r="L437" s="10" t="str">
        <f t="shared" si="4"/>
        <v>439 Tronco del Brasil</v>
      </c>
      <c r="M437" s="10" t="s">
        <v>35</v>
      </c>
      <c r="N437" s="10" t="s">
        <v>36</v>
      </c>
      <c r="O437" s="10" t="s">
        <v>47</v>
      </c>
      <c r="P437" s="10" t="s">
        <v>1263</v>
      </c>
      <c r="Q437" s="13"/>
      <c r="R437" s="13"/>
      <c r="S437" s="13"/>
      <c r="T437" s="13"/>
      <c r="U437" s="13"/>
      <c r="V437" s="13"/>
      <c r="W437" s="16"/>
      <c r="X437" s="13"/>
    </row>
    <row r="438" ht="14.25" customHeight="1">
      <c r="A438" s="10" t="s">
        <v>754</v>
      </c>
      <c r="B438" s="10" t="s">
        <v>31</v>
      </c>
      <c r="C438" s="10">
        <v>440.0</v>
      </c>
      <c r="D438" s="11" t="s">
        <v>1283</v>
      </c>
      <c r="E438" s="11" t="s">
        <v>1284</v>
      </c>
      <c r="F438" s="11" t="s">
        <v>227</v>
      </c>
      <c r="G438" s="10">
        <v>440.0</v>
      </c>
      <c r="H438" s="10">
        <f>VLOOKUP(F438,'Generos y Familia'!$A$1:$C$623,2,FALSE)</f>
        <v>96</v>
      </c>
      <c r="I438" s="12" t="str">
        <f t="shared" si="1"/>
        <v>Duranta erecta</v>
      </c>
      <c r="J438" s="10" t="str">
        <f t="shared" si="2"/>
        <v>440 Duranta erecta</v>
      </c>
      <c r="K438" s="10" t="str">
        <f t="shared" si="3"/>
        <v>Duranta</v>
      </c>
      <c r="L438" s="10" t="str">
        <f t="shared" si="4"/>
        <v>440 Duranta</v>
      </c>
      <c r="M438" s="10" t="s">
        <v>46</v>
      </c>
      <c r="N438" s="10" t="s">
        <v>36</v>
      </c>
      <c r="O438" s="10" t="s">
        <v>47</v>
      </c>
      <c r="P438" s="10" t="s">
        <v>1284</v>
      </c>
      <c r="Q438" s="14">
        <v>6.0</v>
      </c>
      <c r="R438" s="14" t="s">
        <v>53</v>
      </c>
      <c r="S438" s="17" t="s">
        <v>379</v>
      </c>
      <c r="T438" s="14"/>
      <c r="U438" s="14" t="s">
        <v>40</v>
      </c>
      <c r="V438" s="14"/>
      <c r="W438" s="17"/>
      <c r="X438" s="14" t="s">
        <v>41</v>
      </c>
    </row>
    <row r="439" ht="14.25" customHeight="1">
      <c r="A439" s="10" t="s">
        <v>754</v>
      </c>
      <c r="B439" s="10" t="s">
        <v>31</v>
      </c>
      <c r="C439" s="10">
        <v>441.0</v>
      </c>
      <c r="D439" s="11" t="s">
        <v>1285</v>
      </c>
      <c r="E439" s="11" t="s">
        <v>731</v>
      </c>
      <c r="F439" s="11" t="s">
        <v>227</v>
      </c>
      <c r="G439" s="10">
        <v>441.0</v>
      </c>
      <c r="H439" s="10">
        <f>VLOOKUP(F439,'Generos y Familia'!$A$1:$C$623,2,FALSE)</f>
        <v>96</v>
      </c>
      <c r="I439" s="12" t="str">
        <f t="shared" si="1"/>
        <v>Duranta mutisii</v>
      </c>
      <c r="J439" s="10" t="str">
        <f t="shared" si="2"/>
        <v>441 Duranta mutisii</v>
      </c>
      <c r="K439" s="10" t="str">
        <f t="shared" si="3"/>
        <v>Espino</v>
      </c>
      <c r="L439" s="10" t="str">
        <f t="shared" si="4"/>
        <v>441 Espino</v>
      </c>
      <c r="M439" s="10" t="s">
        <v>35</v>
      </c>
      <c r="N439" s="10" t="s">
        <v>36</v>
      </c>
      <c r="O439" s="10" t="s">
        <v>47</v>
      </c>
      <c r="P439" s="10" t="s">
        <v>1284</v>
      </c>
      <c r="Q439" s="13">
        <v>8.0</v>
      </c>
      <c r="R439" s="13" t="s">
        <v>53</v>
      </c>
      <c r="S439" s="13"/>
      <c r="T439" s="13"/>
      <c r="U439" s="13" t="s">
        <v>40</v>
      </c>
      <c r="V439" s="13"/>
      <c r="W439" s="13"/>
      <c r="X439" s="13"/>
    </row>
    <row r="440" ht="14.25" customHeight="1">
      <c r="A440" s="10" t="s">
        <v>754</v>
      </c>
      <c r="B440" s="10" t="s">
        <v>31</v>
      </c>
      <c r="C440" s="10">
        <v>442.0</v>
      </c>
      <c r="D440" s="11" t="s">
        <v>1286</v>
      </c>
      <c r="E440" s="11" t="s">
        <v>1284</v>
      </c>
      <c r="F440" s="11" t="s">
        <v>227</v>
      </c>
      <c r="G440" s="10">
        <v>442.0</v>
      </c>
      <c r="H440" s="10">
        <f>VLOOKUP(F440,'Generos y Familia'!$A$1:$C$623,2,FALSE)</f>
        <v>96</v>
      </c>
      <c r="I440" s="12" t="str">
        <f t="shared" si="1"/>
        <v>Duranta repens</v>
      </c>
      <c r="J440" s="10" t="str">
        <f t="shared" si="2"/>
        <v>442 Duranta repens</v>
      </c>
      <c r="K440" s="10" t="str">
        <f t="shared" si="3"/>
        <v>Duranta</v>
      </c>
      <c r="L440" s="10" t="str">
        <f t="shared" si="4"/>
        <v>442 Duranta</v>
      </c>
      <c r="M440" s="10" t="s">
        <v>46</v>
      </c>
      <c r="N440" s="10" t="s">
        <v>36</v>
      </c>
      <c r="O440" s="10" t="s">
        <v>47</v>
      </c>
      <c r="P440" s="10" t="s">
        <v>1284</v>
      </c>
      <c r="Q440" s="17" t="s">
        <v>612</v>
      </c>
      <c r="R440" s="14" t="s">
        <v>53</v>
      </c>
      <c r="S440" s="17" t="s">
        <v>379</v>
      </c>
      <c r="T440" s="14"/>
      <c r="U440" s="14" t="s">
        <v>40</v>
      </c>
      <c r="V440" s="14"/>
      <c r="W440" s="17"/>
      <c r="X440" s="14" t="s">
        <v>41</v>
      </c>
    </row>
    <row r="441" ht="14.25" customHeight="1">
      <c r="A441" s="10" t="s">
        <v>754</v>
      </c>
      <c r="B441" s="10" t="s">
        <v>31</v>
      </c>
      <c r="C441" s="10">
        <v>443.0</v>
      </c>
      <c r="D441" s="11" t="s">
        <v>1287</v>
      </c>
      <c r="E441" s="11" t="s">
        <v>1284</v>
      </c>
      <c r="F441" s="11" t="s">
        <v>227</v>
      </c>
      <c r="G441" s="10">
        <v>443.0</v>
      </c>
      <c r="H441" s="10">
        <f>VLOOKUP(F441,'Generos y Familia'!$A$1:$C$623,2,FALSE)</f>
        <v>96</v>
      </c>
      <c r="I441" s="12" t="str">
        <f t="shared" si="1"/>
        <v>Duranta sp</v>
      </c>
      <c r="J441" s="10" t="str">
        <f t="shared" si="2"/>
        <v>443 Duranta sp</v>
      </c>
      <c r="K441" s="10" t="str">
        <f t="shared" si="3"/>
        <v>Duranta</v>
      </c>
      <c r="L441" s="10" t="str">
        <f t="shared" si="4"/>
        <v>443 Duranta</v>
      </c>
      <c r="M441" s="10" t="s">
        <v>35</v>
      </c>
      <c r="N441" s="10" t="s">
        <v>36</v>
      </c>
      <c r="O441" s="10" t="s">
        <v>47</v>
      </c>
      <c r="P441" s="10" t="s">
        <v>1284</v>
      </c>
      <c r="Q441" s="13"/>
      <c r="R441" s="13"/>
      <c r="S441" s="13"/>
      <c r="T441" s="13"/>
      <c r="U441" s="13"/>
      <c r="V441" s="13"/>
      <c r="W441" s="13"/>
      <c r="X441" s="13"/>
    </row>
    <row r="442" ht="14.25" customHeight="1">
      <c r="A442" s="10" t="s">
        <v>754</v>
      </c>
      <c r="B442" s="10" t="s">
        <v>31</v>
      </c>
      <c r="C442" s="10">
        <v>444.0</v>
      </c>
      <c r="D442" s="11" t="s">
        <v>1288</v>
      </c>
      <c r="E442" s="11" t="s">
        <v>1289</v>
      </c>
      <c r="F442" s="11" t="s">
        <v>116</v>
      </c>
      <c r="G442" s="10">
        <v>444.0</v>
      </c>
      <c r="H442" s="10">
        <f>VLOOKUP(F442,'Generos y Familia'!$A$1:$C$623,2,FALSE)</f>
        <v>14</v>
      </c>
      <c r="I442" s="12" t="str">
        <f t="shared" si="1"/>
        <v>Dypsis decaryi</v>
      </c>
      <c r="J442" s="10" t="str">
        <f t="shared" si="2"/>
        <v>444 Dypsis decaryi</v>
      </c>
      <c r="K442" s="10" t="str">
        <f t="shared" si="3"/>
        <v>Palma Triangular</v>
      </c>
      <c r="L442" s="10" t="str">
        <f t="shared" si="4"/>
        <v>444 Palma Triangular</v>
      </c>
      <c r="M442" s="10" t="s">
        <v>46</v>
      </c>
      <c r="N442" s="10" t="s">
        <v>36</v>
      </c>
      <c r="O442" s="10" t="s">
        <v>117</v>
      </c>
      <c r="P442" s="10" t="s">
        <v>1290</v>
      </c>
      <c r="Q442" s="13">
        <v>6.0</v>
      </c>
      <c r="R442" s="13" t="s">
        <v>53</v>
      </c>
      <c r="S442" s="13"/>
      <c r="T442" s="13"/>
      <c r="U442" s="13" t="s">
        <v>40</v>
      </c>
      <c r="V442" s="13"/>
      <c r="W442" s="13"/>
      <c r="X442" s="13"/>
    </row>
    <row r="443" ht="14.25" customHeight="1">
      <c r="A443" s="10" t="s">
        <v>754</v>
      </c>
      <c r="B443" s="10" t="s">
        <v>31</v>
      </c>
      <c r="C443" s="10">
        <v>445.0</v>
      </c>
      <c r="D443" s="11" t="s">
        <v>1291</v>
      </c>
      <c r="E443" s="11" t="s">
        <v>1292</v>
      </c>
      <c r="F443" s="11" t="s">
        <v>116</v>
      </c>
      <c r="G443" s="10">
        <v>445.0</v>
      </c>
      <c r="H443" s="10">
        <f>VLOOKUP(F443,'Generos y Familia'!$A$1:$C$623,2,FALSE)</f>
        <v>14</v>
      </c>
      <c r="I443" s="12" t="str">
        <f t="shared" si="1"/>
        <v>Dypsis lutescens</v>
      </c>
      <c r="J443" s="10" t="str">
        <f t="shared" si="2"/>
        <v>445 Dypsis lutescens</v>
      </c>
      <c r="K443" s="10" t="str">
        <f t="shared" si="3"/>
        <v>Palma Areca; Palma de Frutos de Oro</v>
      </c>
      <c r="L443" s="10" t="str">
        <f t="shared" si="4"/>
        <v>445 Palma Areca; Palma de Frutos de Oro</v>
      </c>
      <c r="M443" s="10" t="s">
        <v>46</v>
      </c>
      <c r="N443" s="10" t="s">
        <v>36</v>
      </c>
      <c r="O443" s="10" t="s">
        <v>117</v>
      </c>
      <c r="P443" s="10" t="s">
        <v>1290</v>
      </c>
      <c r="Q443" s="17" t="s">
        <v>379</v>
      </c>
      <c r="R443" s="14" t="s">
        <v>39</v>
      </c>
      <c r="S443" s="17" t="s">
        <v>145</v>
      </c>
      <c r="T443" s="14" t="s">
        <v>39</v>
      </c>
      <c r="U443" s="14" t="s">
        <v>55</v>
      </c>
      <c r="V443" s="14"/>
      <c r="W443" s="17" t="s">
        <v>229</v>
      </c>
      <c r="X443" s="14"/>
    </row>
    <row r="444" ht="14.25" customHeight="1">
      <c r="A444" s="10" t="s">
        <v>754</v>
      </c>
      <c r="B444" s="10" t="s">
        <v>31</v>
      </c>
      <c r="C444" s="10">
        <v>446.0</v>
      </c>
      <c r="D444" s="11" t="s">
        <v>1293</v>
      </c>
      <c r="E444" s="11" t="s">
        <v>1294</v>
      </c>
      <c r="F444" s="11" t="s">
        <v>116</v>
      </c>
      <c r="G444" s="10">
        <v>446.0</v>
      </c>
      <c r="H444" s="10">
        <f>VLOOKUP(F444,'Generos y Familia'!$A$1:$C$623,2,FALSE)</f>
        <v>14</v>
      </c>
      <c r="I444" s="12" t="str">
        <f t="shared" si="1"/>
        <v>Dypsis madagascariensis</v>
      </c>
      <c r="J444" s="10" t="str">
        <f t="shared" si="2"/>
        <v>446 Dypsis madagascariensis</v>
      </c>
      <c r="K444" s="10" t="str">
        <f t="shared" si="3"/>
        <v>Palma de Madagascar</v>
      </c>
      <c r="L444" s="10" t="str">
        <f t="shared" si="4"/>
        <v>446 Palma de Madagascar</v>
      </c>
      <c r="M444" s="10" t="s">
        <v>46</v>
      </c>
      <c r="N444" s="10" t="s">
        <v>36</v>
      </c>
      <c r="O444" s="10" t="s">
        <v>117</v>
      </c>
      <c r="P444" s="10" t="s">
        <v>1290</v>
      </c>
      <c r="Q444" s="13">
        <v>5.0</v>
      </c>
      <c r="R444" s="13" t="s">
        <v>53</v>
      </c>
      <c r="S444" s="13"/>
      <c r="T444" s="13"/>
      <c r="U444" s="13" t="s">
        <v>40</v>
      </c>
      <c r="V444" s="13"/>
      <c r="W444" s="13"/>
      <c r="X444" s="13"/>
    </row>
    <row r="445" ht="14.25" customHeight="1">
      <c r="A445" s="10" t="s">
        <v>754</v>
      </c>
      <c r="B445" s="10" t="s">
        <v>31</v>
      </c>
      <c r="C445" s="10">
        <v>447.0</v>
      </c>
      <c r="D445" s="11" t="s">
        <v>1295</v>
      </c>
      <c r="E445" s="11" t="s">
        <v>1296</v>
      </c>
      <c r="F445" s="11" t="s">
        <v>411</v>
      </c>
      <c r="G445" s="10">
        <v>447.0</v>
      </c>
      <c r="H445" s="10">
        <f>VLOOKUP(F445,'Generos y Familia'!$A$1:$C$623,2,FALSE)</f>
        <v>42</v>
      </c>
      <c r="I445" s="12" t="str">
        <f t="shared" si="1"/>
        <v>Dysoxylum gaudichaudianum</v>
      </c>
      <c r="J445" s="10" t="str">
        <f t="shared" si="2"/>
        <v>447 Dysoxylum gaudichaudianum</v>
      </c>
      <c r="K445" s="10" t="str">
        <f t="shared" si="3"/>
        <v>Caoba de Marfil</v>
      </c>
      <c r="L445" s="10" t="str">
        <f t="shared" si="4"/>
        <v>447 Caoba de Marfil</v>
      </c>
      <c r="M445" s="10" t="s">
        <v>46</v>
      </c>
      <c r="N445" s="10" t="s">
        <v>28</v>
      </c>
      <c r="O445" s="10" t="s">
        <v>37</v>
      </c>
      <c r="P445" s="10" t="s">
        <v>1297</v>
      </c>
      <c r="Q445" s="13"/>
      <c r="R445" s="13"/>
      <c r="S445" s="13"/>
      <c r="T445" s="13"/>
      <c r="U445" s="13"/>
      <c r="V445" s="13"/>
      <c r="W445" s="13"/>
      <c r="X445" s="13"/>
    </row>
    <row r="446" ht="14.25" customHeight="1">
      <c r="A446" s="10" t="s">
        <v>754</v>
      </c>
      <c r="B446" s="10" t="s">
        <v>31</v>
      </c>
      <c r="C446" s="10">
        <v>448.0</v>
      </c>
      <c r="D446" s="11" t="s">
        <v>1298</v>
      </c>
      <c r="E446" s="11" t="s">
        <v>1299</v>
      </c>
      <c r="F446" s="11" t="s">
        <v>411</v>
      </c>
      <c r="G446" s="10">
        <v>448.0</v>
      </c>
      <c r="H446" s="10">
        <f>VLOOKUP(F446,'Generos y Familia'!$A$1:$C$623,2,FALSE)</f>
        <v>42</v>
      </c>
      <c r="I446" s="12" t="str">
        <f t="shared" si="1"/>
        <v>Dysoxylum macranthum</v>
      </c>
      <c r="J446" s="10" t="str">
        <f t="shared" si="2"/>
        <v>448 Dysoxylum macranthum</v>
      </c>
      <c r="K446" s="10" t="str">
        <f t="shared" si="3"/>
        <v>Dysoxylum Macranthum</v>
      </c>
      <c r="L446" s="10" t="str">
        <f t="shared" si="4"/>
        <v>448 Dysoxylum Macranthum</v>
      </c>
      <c r="M446" s="10" t="s">
        <v>46</v>
      </c>
      <c r="N446" s="10" t="s">
        <v>36</v>
      </c>
      <c r="O446" s="10" t="s">
        <v>37</v>
      </c>
      <c r="P446" s="10" t="s">
        <v>1297</v>
      </c>
      <c r="Q446" s="13"/>
      <c r="R446" s="13"/>
      <c r="S446" s="13" t="s">
        <v>1300</v>
      </c>
      <c r="T446" s="13"/>
      <c r="U446" s="13"/>
      <c r="V446" s="13"/>
      <c r="W446" s="16"/>
      <c r="X446" s="13"/>
    </row>
    <row r="447" ht="14.25" customHeight="1">
      <c r="A447" s="10" t="s">
        <v>754</v>
      </c>
      <c r="B447" s="10" t="s">
        <v>31</v>
      </c>
      <c r="C447" s="10">
        <v>449.0</v>
      </c>
      <c r="D447" s="11" t="s">
        <v>1301</v>
      </c>
      <c r="E447" s="11" t="s">
        <v>625</v>
      </c>
      <c r="F447" s="11" t="s">
        <v>34</v>
      </c>
      <c r="G447" s="10">
        <v>449.0</v>
      </c>
      <c r="H447" s="10">
        <f>VLOOKUP(F447,'Generos y Familia'!$A$1:$C$623,2,FALSE)</f>
        <v>27</v>
      </c>
      <c r="I447" s="12" t="str">
        <f t="shared" si="1"/>
        <v>Caesalpinia ebano</v>
      </c>
      <c r="J447" s="10" t="str">
        <f t="shared" si="2"/>
        <v>449 Caesalpinia ebano</v>
      </c>
      <c r="K447" s="10" t="str">
        <f t="shared" si="3"/>
        <v>Ébano</v>
      </c>
      <c r="L447" s="10" t="str">
        <f t="shared" si="4"/>
        <v>449 Ébano</v>
      </c>
      <c r="M447" s="10" t="s">
        <v>35</v>
      </c>
      <c r="N447" s="10" t="s">
        <v>36</v>
      </c>
      <c r="O447" s="10" t="s">
        <v>37</v>
      </c>
      <c r="P447" s="10" t="s">
        <v>631</v>
      </c>
      <c r="Q447" s="13">
        <v>18.0</v>
      </c>
      <c r="R447" s="13" t="s">
        <v>39</v>
      </c>
      <c r="S447" s="13">
        <v>50.0</v>
      </c>
      <c r="T447" s="13" t="s">
        <v>39</v>
      </c>
      <c r="U447" s="13" t="s">
        <v>40</v>
      </c>
      <c r="V447" s="13"/>
      <c r="W447" s="13"/>
      <c r="X447" s="13"/>
    </row>
    <row r="448" ht="14.25" customHeight="1">
      <c r="A448" s="10" t="s">
        <v>754</v>
      </c>
      <c r="B448" s="10" t="s">
        <v>31</v>
      </c>
      <c r="C448" s="10">
        <v>450.0</v>
      </c>
      <c r="D448" s="11" t="s">
        <v>1302</v>
      </c>
      <c r="E448" s="11" t="s">
        <v>1303</v>
      </c>
      <c r="F448" s="11" t="s">
        <v>116</v>
      </c>
      <c r="G448" s="10">
        <v>450.0</v>
      </c>
      <c r="H448" s="10">
        <f>VLOOKUP(F448,'Generos y Familia'!$A$1:$C$623,2,FALSE)</f>
        <v>14</v>
      </c>
      <c r="I448" s="12" t="str">
        <f t="shared" si="1"/>
        <v>Elaeis guineensis</v>
      </c>
      <c r="J448" s="10" t="str">
        <f t="shared" si="2"/>
        <v>450 Elaeis guineensis</v>
      </c>
      <c r="K448" s="10" t="str">
        <f t="shared" si="3"/>
        <v>Palma Africana; Palma de Aceite</v>
      </c>
      <c r="L448" s="10" t="str">
        <f t="shared" si="4"/>
        <v>450 Palma Africana; Palma de Aceite</v>
      </c>
      <c r="M448" s="10" t="s">
        <v>46</v>
      </c>
      <c r="N448" s="10" t="s">
        <v>36</v>
      </c>
      <c r="O448" s="10" t="s">
        <v>117</v>
      </c>
      <c r="P448" s="10" t="s">
        <v>1304</v>
      </c>
      <c r="Q448" s="13">
        <v>20.0</v>
      </c>
      <c r="R448" s="13" t="s">
        <v>39</v>
      </c>
      <c r="S448" s="13">
        <v>60.0</v>
      </c>
      <c r="T448" s="13" t="s">
        <v>39</v>
      </c>
      <c r="U448" s="13" t="s">
        <v>55</v>
      </c>
      <c r="V448" s="13"/>
      <c r="W448" s="13"/>
      <c r="X448" s="13"/>
    </row>
    <row r="449" ht="14.25" customHeight="1">
      <c r="A449" s="10" t="s">
        <v>754</v>
      </c>
      <c r="B449" s="10" t="s">
        <v>31</v>
      </c>
      <c r="C449" s="10">
        <v>451.0</v>
      </c>
      <c r="D449" s="11" t="s">
        <v>1305</v>
      </c>
      <c r="E449" s="11" t="s">
        <v>1306</v>
      </c>
      <c r="F449" s="11" t="s">
        <v>116</v>
      </c>
      <c r="G449" s="10">
        <v>451.0</v>
      </c>
      <c r="H449" s="10">
        <f>VLOOKUP(F449,'Generos y Familia'!$A$1:$C$623,2,FALSE)</f>
        <v>14</v>
      </c>
      <c r="I449" s="12" t="str">
        <f t="shared" si="1"/>
        <v>Elaeis oleifera</v>
      </c>
      <c r="J449" s="10" t="str">
        <f t="shared" si="2"/>
        <v>451 Elaeis oleifera</v>
      </c>
      <c r="K449" s="10" t="str">
        <f t="shared" si="3"/>
        <v>Corozo; Nolí; Corozo de Manteca; Coroza</v>
      </c>
      <c r="L449" s="10" t="str">
        <f t="shared" si="4"/>
        <v>451 Corozo; Nolí; Corozo de Manteca; Coroza</v>
      </c>
      <c r="M449" s="10" t="s">
        <v>35</v>
      </c>
      <c r="N449" s="10" t="s">
        <v>36</v>
      </c>
      <c r="O449" s="10" t="s">
        <v>117</v>
      </c>
      <c r="P449" s="10" t="s">
        <v>1304</v>
      </c>
      <c r="Q449" s="13">
        <v>3.0</v>
      </c>
      <c r="R449" s="13" t="s">
        <v>53</v>
      </c>
      <c r="S449" s="13"/>
      <c r="T449" s="13"/>
      <c r="U449" s="13" t="s">
        <v>40</v>
      </c>
      <c r="V449" s="13"/>
      <c r="W449" s="16"/>
      <c r="X449" s="13"/>
    </row>
    <row r="450" ht="14.25" customHeight="1">
      <c r="A450" s="10" t="s">
        <v>754</v>
      </c>
      <c r="B450" s="10" t="s">
        <v>31</v>
      </c>
      <c r="C450" s="10">
        <v>452.0</v>
      </c>
      <c r="D450" s="11" t="s">
        <v>1307</v>
      </c>
      <c r="E450" s="11" t="s">
        <v>1308</v>
      </c>
      <c r="F450" s="11" t="s">
        <v>1309</v>
      </c>
      <c r="G450" s="10">
        <v>452.0</v>
      </c>
      <c r="H450" s="10">
        <f>VLOOKUP(F450,'Generos y Familia'!$A$1:$C$623,2,FALSE)</f>
        <v>22</v>
      </c>
      <c r="I450" s="12" t="str">
        <f t="shared" si="1"/>
        <v>Elaeocarpus angustifolius</v>
      </c>
      <c r="J450" s="10" t="str">
        <f t="shared" si="2"/>
        <v>452 Elaeocarpus angustifolius</v>
      </c>
      <c r="K450" s="10" t="str">
        <f t="shared" si="3"/>
        <v>Cerezo Azul; Higo; Marmol Azul</v>
      </c>
      <c r="L450" s="10" t="str">
        <f t="shared" si="4"/>
        <v>452 Cerezo Azul; Higo; Marmol Azul</v>
      </c>
      <c r="M450" s="10" t="s">
        <v>46</v>
      </c>
      <c r="N450" s="10" t="s">
        <v>28</v>
      </c>
      <c r="O450" s="10" t="s">
        <v>37</v>
      </c>
      <c r="P450" s="10" t="s">
        <v>1310</v>
      </c>
      <c r="Q450" s="13"/>
      <c r="R450" s="13"/>
      <c r="S450" s="13" t="s">
        <v>1311</v>
      </c>
      <c r="T450" s="13"/>
      <c r="U450" s="13"/>
      <c r="V450" s="13"/>
      <c r="W450" s="13"/>
      <c r="X450" s="13"/>
    </row>
    <row r="451" ht="14.25" customHeight="1">
      <c r="A451" s="10" t="s">
        <v>754</v>
      </c>
      <c r="B451" s="10" t="s">
        <v>31</v>
      </c>
      <c r="C451" s="10">
        <v>453.0</v>
      </c>
      <c r="D451" s="11" t="s">
        <v>1312</v>
      </c>
      <c r="E451" s="11" t="s">
        <v>1313</v>
      </c>
      <c r="F451" s="11" t="s">
        <v>158</v>
      </c>
      <c r="G451" s="10">
        <v>453.0</v>
      </c>
      <c r="H451" s="10">
        <f>VLOOKUP(F451,'Generos y Familia'!$A$1:$C$623,2,FALSE)</f>
        <v>35</v>
      </c>
      <c r="I451" s="12" t="str">
        <f t="shared" si="1"/>
        <v>Endlicheria sericea</v>
      </c>
      <c r="J451" s="10" t="str">
        <f t="shared" si="2"/>
        <v>453 Endlicheria sericea</v>
      </c>
      <c r="K451" s="10" t="str">
        <f t="shared" si="3"/>
        <v>Laurel Indio Viejo</v>
      </c>
      <c r="L451" s="10" t="str">
        <f t="shared" si="4"/>
        <v>453 Laurel Indio Viejo</v>
      </c>
      <c r="M451" s="10" t="s">
        <v>46</v>
      </c>
      <c r="N451" s="10" t="s">
        <v>36</v>
      </c>
      <c r="O451" s="10" t="s">
        <v>37</v>
      </c>
      <c r="P451" s="10" t="s">
        <v>1314</v>
      </c>
      <c r="Q451" s="13"/>
      <c r="R451" s="13"/>
      <c r="S451" s="13"/>
      <c r="T451" s="13"/>
      <c r="U451" s="13"/>
      <c r="V451" s="13"/>
      <c r="W451" s="13"/>
      <c r="X451" s="13"/>
    </row>
    <row r="452" ht="14.25" customHeight="1">
      <c r="A452" s="10" t="s">
        <v>754</v>
      </c>
      <c r="B452" s="10" t="s">
        <v>31</v>
      </c>
      <c r="C452" s="10">
        <v>454.0</v>
      </c>
      <c r="D452" s="11" t="s">
        <v>1315</v>
      </c>
      <c r="E452" s="11" t="s">
        <v>1316</v>
      </c>
      <c r="F452" s="11" t="s">
        <v>34</v>
      </c>
      <c r="G452" s="10">
        <v>454.0</v>
      </c>
      <c r="H452" s="10">
        <f>VLOOKUP(F452,'Generos y Familia'!$A$1:$C$623,2,FALSE)</f>
        <v>27</v>
      </c>
      <c r="I452" s="12" t="str">
        <f t="shared" si="1"/>
        <v>Enterolobium cyclocarpum</v>
      </c>
      <c r="J452" s="10" t="str">
        <f t="shared" si="2"/>
        <v>454 Enterolobium cyclocarpum</v>
      </c>
      <c r="K452" s="10" t="str">
        <f t="shared" si="3"/>
        <v>Piñón de Oreja; Orejero; Piñón</v>
      </c>
      <c r="L452" s="10" t="str">
        <f t="shared" si="4"/>
        <v>454 Piñón de Oreja; Orejero; Piñón</v>
      </c>
      <c r="M452" s="10" t="s">
        <v>35</v>
      </c>
      <c r="N452" s="10" t="s">
        <v>36</v>
      </c>
      <c r="O452" s="10" t="s">
        <v>37</v>
      </c>
      <c r="P452" s="10" t="s">
        <v>1317</v>
      </c>
      <c r="Q452" s="13">
        <v>30.0</v>
      </c>
      <c r="R452" s="13" t="s">
        <v>39</v>
      </c>
      <c r="S452" s="13">
        <v>300.0</v>
      </c>
      <c r="T452" s="13" t="s">
        <v>39</v>
      </c>
      <c r="U452" s="13" t="s">
        <v>55</v>
      </c>
      <c r="V452" s="13">
        <v>0.39</v>
      </c>
      <c r="W452" s="16"/>
      <c r="X452" s="13"/>
    </row>
    <row r="453" ht="14.25" customHeight="1">
      <c r="A453" s="10" t="s">
        <v>754</v>
      </c>
      <c r="B453" s="10" t="s">
        <v>31</v>
      </c>
      <c r="C453" s="10">
        <v>455.0</v>
      </c>
      <c r="D453" s="11" t="s">
        <v>1318</v>
      </c>
      <c r="E453" s="11" t="s">
        <v>1319</v>
      </c>
      <c r="F453" s="11" t="s">
        <v>34</v>
      </c>
      <c r="G453" s="10">
        <v>455.0</v>
      </c>
      <c r="H453" s="10">
        <f>VLOOKUP(F453,'Generos y Familia'!$A$1:$C$623,2,FALSE)</f>
        <v>27</v>
      </c>
      <c r="I453" s="12" t="str">
        <f t="shared" si="1"/>
        <v>Eperua sp</v>
      </c>
      <c r="J453" s="10" t="str">
        <f t="shared" si="2"/>
        <v>455 Eperua sp</v>
      </c>
      <c r="K453" s="10" t="str">
        <f t="shared" si="3"/>
        <v>Nazareno</v>
      </c>
      <c r="L453" s="10" t="str">
        <f t="shared" si="4"/>
        <v>455 Nazareno</v>
      </c>
      <c r="M453" s="10" t="s">
        <v>35</v>
      </c>
      <c r="N453" s="10" t="s">
        <v>28</v>
      </c>
      <c r="O453" s="10" t="s">
        <v>37</v>
      </c>
      <c r="P453" s="10" t="s">
        <v>1320</v>
      </c>
      <c r="Q453" s="13"/>
      <c r="R453" s="13"/>
      <c r="S453" s="13"/>
      <c r="T453" s="13"/>
      <c r="U453" s="13"/>
      <c r="V453" s="13"/>
      <c r="W453" s="13"/>
      <c r="X453" s="13"/>
    </row>
    <row r="454" ht="14.25" customHeight="1">
      <c r="A454" s="10" t="s">
        <v>754</v>
      </c>
      <c r="B454" s="10" t="s">
        <v>31</v>
      </c>
      <c r="C454" s="10">
        <v>456.0</v>
      </c>
      <c r="D454" s="11" t="s">
        <v>1321</v>
      </c>
      <c r="E454" s="11" t="s">
        <v>1322</v>
      </c>
      <c r="F454" s="11" t="s">
        <v>1105</v>
      </c>
      <c r="G454" s="10">
        <v>456.0</v>
      </c>
      <c r="H454" s="10">
        <f>VLOOKUP(F454,'Generos y Familia'!$A$1:$C$623,2,FALSE)</f>
        <v>78</v>
      </c>
      <c r="I454" s="12" t="str">
        <f t="shared" si="1"/>
        <v>Eriobotrya japonica</v>
      </c>
      <c r="J454" s="10" t="str">
        <f t="shared" si="2"/>
        <v>456 Eriobotrya japonica</v>
      </c>
      <c r="K454" s="10" t="str">
        <f t="shared" si="3"/>
        <v>Níspero del Japón</v>
      </c>
      <c r="L454" s="10" t="str">
        <f t="shared" si="4"/>
        <v>456 Níspero del Japón</v>
      </c>
      <c r="M454" s="10" t="s">
        <v>46</v>
      </c>
      <c r="N454" s="10" t="s">
        <v>36</v>
      </c>
      <c r="O454" s="10" t="s">
        <v>37</v>
      </c>
      <c r="P454" s="10" t="s">
        <v>1323</v>
      </c>
      <c r="Q454" s="17" t="s">
        <v>612</v>
      </c>
      <c r="R454" s="14" t="s">
        <v>39</v>
      </c>
      <c r="S454" s="14">
        <v>30.0</v>
      </c>
      <c r="T454" s="14" t="s">
        <v>39</v>
      </c>
      <c r="U454" s="14" t="s">
        <v>40</v>
      </c>
      <c r="V454" s="14">
        <v>0.88</v>
      </c>
      <c r="W454" s="17" t="s">
        <v>689</v>
      </c>
      <c r="X454" s="14"/>
    </row>
    <row r="455" ht="14.25" customHeight="1">
      <c r="A455" s="10" t="s">
        <v>754</v>
      </c>
      <c r="B455" s="10" t="s">
        <v>31</v>
      </c>
      <c r="C455" s="10">
        <v>457.0</v>
      </c>
      <c r="D455" s="11" t="s">
        <v>1324</v>
      </c>
      <c r="E455" s="11" t="s">
        <v>1325</v>
      </c>
      <c r="F455" s="11" t="s">
        <v>34</v>
      </c>
      <c r="G455" s="10">
        <v>457.0</v>
      </c>
      <c r="H455" s="10">
        <f>VLOOKUP(F455,'Generos y Familia'!$A$1:$C$623,2,FALSE)</f>
        <v>27</v>
      </c>
      <c r="I455" s="12" t="str">
        <f t="shared" si="1"/>
        <v>Erythrina crista-galli</v>
      </c>
      <c r="J455" s="10" t="str">
        <f t="shared" si="2"/>
        <v>457 Erythrina crista-galli</v>
      </c>
      <c r="K455" s="10" t="str">
        <f t="shared" si="3"/>
        <v>Cresta de Gallo</v>
      </c>
      <c r="L455" s="10" t="str">
        <f t="shared" si="4"/>
        <v>457 Cresta de Gallo</v>
      </c>
      <c r="M455" s="10" t="s">
        <v>46</v>
      </c>
      <c r="N455" s="10" t="s">
        <v>36</v>
      </c>
      <c r="O455" s="10" t="s">
        <v>37</v>
      </c>
      <c r="P455" s="10" t="s">
        <v>1326</v>
      </c>
      <c r="Q455" s="17" t="s">
        <v>559</v>
      </c>
      <c r="R455" s="14" t="s">
        <v>39</v>
      </c>
      <c r="S455" s="17" t="s">
        <v>442</v>
      </c>
      <c r="T455" s="14" t="s">
        <v>39</v>
      </c>
      <c r="U455" s="14" t="s">
        <v>55</v>
      </c>
      <c r="V455" s="14">
        <v>0.27</v>
      </c>
      <c r="W455" s="18"/>
      <c r="X455" s="14"/>
    </row>
    <row r="456" ht="14.25" customHeight="1">
      <c r="A456" s="10" t="s">
        <v>754</v>
      </c>
      <c r="B456" s="10" t="s">
        <v>31</v>
      </c>
      <c r="C456" s="10">
        <v>458.0</v>
      </c>
      <c r="D456" s="11" t="s">
        <v>1327</v>
      </c>
      <c r="E456" s="11" t="s">
        <v>1328</v>
      </c>
      <c r="F456" s="11" t="s">
        <v>34</v>
      </c>
      <c r="G456" s="10">
        <v>458.0</v>
      </c>
      <c r="H456" s="10">
        <f>VLOOKUP(F456,'Generos y Familia'!$A$1:$C$623,2,FALSE)</f>
        <v>27</v>
      </c>
      <c r="I456" s="12" t="str">
        <f t="shared" si="1"/>
        <v>Erythrina edulis</v>
      </c>
      <c r="J456" s="10" t="str">
        <f t="shared" si="2"/>
        <v>458 Erythrina edulis</v>
      </c>
      <c r="K456" s="10" t="str">
        <f t="shared" si="3"/>
        <v>Chachafruto; Poroto; Balu</v>
      </c>
      <c r="L456" s="10" t="str">
        <f t="shared" si="4"/>
        <v>458 Chachafruto; Poroto; Balu</v>
      </c>
      <c r="M456" s="10" t="s">
        <v>35</v>
      </c>
      <c r="N456" s="10" t="s">
        <v>36</v>
      </c>
      <c r="O456" s="10" t="s">
        <v>37</v>
      </c>
      <c r="P456" s="10" t="s">
        <v>1326</v>
      </c>
      <c r="Q456" s="17" t="s">
        <v>379</v>
      </c>
      <c r="R456" s="14" t="s">
        <v>39</v>
      </c>
      <c r="S456" s="17" t="s">
        <v>70</v>
      </c>
      <c r="T456" s="19" t="s">
        <v>39</v>
      </c>
      <c r="U456" s="14" t="s">
        <v>55</v>
      </c>
      <c r="V456" s="14">
        <v>0.22</v>
      </c>
      <c r="W456" s="18"/>
      <c r="X456" s="14"/>
    </row>
    <row r="457" ht="14.25" customHeight="1">
      <c r="A457" s="10" t="s">
        <v>754</v>
      </c>
      <c r="B457" s="10" t="s">
        <v>31</v>
      </c>
      <c r="C457" s="10">
        <v>459.0</v>
      </c>
      <c r="D457" s="11" t="s">
        <v>1329</v>
      </c>
      <c r="E457" s="11" t="s">
        <v>1330</v>
      </c>
      <c r="F457" s="11" t="s">
        <v>34</v>
      </c>
      <c r="G457" s="10">
        <v>459.0</v>
      </c>
      <c r="H457" s="10">
        <f>VLOOKUP(F457,'Generos y Familia'!$A$1:$C$623,2,FALSE)</f>
        <v>27</v>
      </c>
      <c r="I457" s="12" t="str">
        <f t="shared" si="1"/>
        <v>Erythrina fusca</v>
      </c>
      <c r="J457" s="10" t="str">
        <f t="shared" si="2"/>
        <v>459 Erythrina fusca</v>
      </c>
      <c r="K457" s="10" t="str">
        <f t="shared" si="3"/>
        <v>Búcaro</v>
      </c>
      <c r="L457" s="10" t="str">
        <f t="shared" si="4"/>
        <v>459 Búcaro</v>
      </c>
      <c r="M457" s="10" t="s">
        <v>35</v>
      </c>
      <c r="N457" s="10" t="s">
        <v>36</v>
      </c>
      <c r="O457" s="10" t="s">
        <v>37</v>
      </c>
      <c r="P457" s="10" t="s">
        <v>1326</v>
      </c>
      <c r="Q457" s="17" t="s">
        <v>229</v>
      </c>
      <c r="R457" s="14" t="s">
        <v>39</v>
      </c>
      <c r="S457" s="17" t="s">
        <v>1331</v>
      </c>
      <c r="T457" s="14" t="s">
        <v>39</v>
      </c>
      <c r="U457" s="14" t="s">
        <v>55</v>
      </c>
      <c r="V457" s="14">
        <v>0.3</v>
      </c>
      <c r="W457" s="17" t="s">
        <v>291</v>
      </c>
      <c r="X457" s="14"/>
    </row>
    <row r="458" ht="14.25" customHeight="1">
      <c r="A458" s="10" t="s">
        <v>754</v>
      </c>
      <c r="B458" s="10" t="s">
        <v>31</v>
      </c>
      <c r="C458" s="10">
        <v>460.0</v>
      </c>
      <c r="D458" s="11" t="s">
        <v>1332</v>
      </c>
      <c r="E458" s="11" t="s">
        <v>1333</v>
      </c>
      <c r="F458" s="11" t="s">
        <v>34</v>
      </c>
      <c r="G458" s="10">
        <v>460.0</v>
      </c>
      <c r="H458" s="10">
        <f>VLOOKUP(F458,'Generos y Familia'!$A$1:$C$623,2,FALSE)</f>
        <v>27</v>
      </c>
      <c r="I458" s="12" t="str">
        <f t="shared" si="1"/>
        <v>Erythrina poeppigiana</v>
      </c>
      <c r="J458" s="10" t="str">
        <f t="shared" si="2"/>
        <v>460 Erythrina poeppigiana</v>
      </c>
      <c r="K458" s="10" t="str">
        <f t="shared" si="3"/>
        <v>Cámbulo; Cachimbo; Barbatuco</v>
      </c>
      <c r="L458" s="10" t="str">
        <f t="shared" si="4"/>
        <v>460 Cámbulo; Cachimbo; Barbatuco</v>
      </c>
      <c r="M458" s="10" t="s">
        <v>35</v>
      </c>
      <c r="N458" s="10" t="s">
        <v>36</v>
      </c>
      <c r="O458" s="10" t="s">
        <v>37</v>
      </c>
      <c r="P458" s="10" t="s">
        <v>1326</v>
      </c>
      <c r="Q458" s="17" t="s">
        <v>817</v>
      </c>
      <c r="R458" s="14" t="s">
        <v>39</v>
      </c>
      <c r="S458" s="17" t="s">
        <v>821</v>
      </c>
      <c r="T458" s="14" t="s">
        <v>39</v>
      </c>
      <c r="U458" s="14" t="s">
        <v>55</v>
      </c>
      <c r="V458" s="14">
        <v>0.3</v>
      </c>
      <c r="W458" s="17" t="s">
        <v>1334</v>
      </c>
      <c r="X458" s="14"/>
    </row>
    <row r="459" ht="14.25" customHeight="1">
      <c r="A459" s="10" t="s">
        <v>754</v>
      </c>
      <c r="B459" s="10" t="s">
        <v>31</v>
      </c>
      <c r="C459" s="10">
        <v>461.0</v>
      </c>
      <c r="D459" s="11" t="s">
        <v>1335</v>
      </c>
      <c r="E459" s="11" t="s">
        <v>1336</v>
      </c>
      <c r="F459" s="11" t="s">
        <v>34</v>
      </c>
      <c r="G459" s="10">
        <v>461.0</v>
      </c>
      <c r="H459" s="10">
        <f>VLOOKUP(F459,'Generos y Familia'!$A$1:$C$623,2,FALSE)</f>
        <v>27</v>
      </c>
      <c r="I459" s="12" t="str">
        <f t="shared" si="1"/>
        <v>Erythrina rubrinervia</v>
      </c>
      <c r="J459" s="10" t="str">
        <f t="shared" si="2"/>
        <v>461 Erythrina rubrinervia</v>
      </c>
      <c r="K459" s="10" t="str">
        <f t="shared" si="3"/>
        <v>Chocho; Siriguay</v>
      </c>
      <c r="L459" s="10" t="str">
        <f t="shared" si="4"/>
        <v>461 Chocho; Siriguay</v>
      </c>
      <c r="M459" s="10" t="s">
        <v>35</v>
      </c>
      <c r="N459" s="10" t="s">
        <v>36</v>
      </c>
      <c r="O459" s="10" t="s">
        <v>37</v>
      </c>
      <c r="P459" s="10" t="s">
        <v>1326</v>
      </c>
      <c r="Q459" s="13">
        <v>8.0</v>
      </c>
      <c r="R459" s="13" t="s">
        <v>53</v>
      </c>
      <c r="S459" s="13"/>
      <c r="T459" s="13"/>
      <c r="U459" s="13" t="s">
        <v>55</v>
      </c>
      <c r="V459" s="13"/>
      <c r="W459" s="13"/>
      <c r="X459" s="13"/>
    </row>
    <row r="460" ht="14.25" customHeight="1">
      <c r="A460" s="10" t="s">
        <v>754</v>
      </c>
      <c r="B460" s="10" t="s">
        <v>31</v>
      </c>
      <c r="C460" s="10">
        <v>462.0</v>
      </c>
      <c r="D460" s="11" t="s">
        <v>1337</v>
      </c>
      <c r="E460" s="11" t="s">
        <v>1337</v>
      </c>
      <c r="F460" s="11" t="s">
        <v>34</v>
      </c>
      <c r="G460" s="10">
        <v>462.0</v>
      </c>
      <c r="H460" s="10">
        <f>VLOOKUP(F460,'Generos y Familia'!$A$1:$C$623,2,FALSE)</f>
        <v>27</v>
      </c>
      <c r="I460" s="12" t="str">
        <f t="shared" si="1"/>
        <v>Erythrina sp</v>
      </c>
      <c r="J460" s="10" t="str">
        <f t="shared" si="2"/>
        <v>462 Erythrina sp</v>
      </c>
      <c r="K460" s="10" t="str">
        <f t="shared" si="3"/>
        <v>Erythrina sp</v>
      </c>
      <c r="L460" s="10" t="str">
        <f t="shared" si="4"/>
        <v>462 Erythrina sp</v>
      </c>
      <c r="M460" s="10" t="s">
        <v>35</v>
      </c>
      <c r="N460" s="10" t="s">
        <v>36</v>
      </c>
      <c r="O460" s="10" t="s">
        <v>37</v>
      </c>
      <c r="P460" s="10" t="s">
        <v>1326</v>
      </c>
      <c r="Q460" s="17" t="s">
        <v>229</v>
      </c>
      <c r="R460" s="14" t="s">
        <v>1338</v>
      </c>
      <c r="S460" s="17" t="s">
        <v>457</v>
      </c>
      <c r="T460" s="14" t="s">
        <v>1338</v>
      </c>
      <c r="U460" s="14" t="s">
        <v>55</v>
      </c>
      <c r="V460" s="14">
        <v>0.3</v>
      </c>
      <c r="W460" s="17"/>
      <c r="X460" s="14"/>
    </row>
    <row r="461" ht="14.25" customHeight="1">
      <c r="A461" s="10" t="s">
        <v>754</v>
      </c>
      <c r="B461" s="10" t="s">
        <v>31</v>
      </c>
      <c r="C461" s="10">
        <v>463.0</v>
      </c>
      <c r="D461" s="11" t="s">
        <v>1339</v>
      </c>
      <c r="E461" s="11" t="s">
        <v>1340</v>
      </c>
      <c r="F461" s="11" t="s">
        <v>34</v>
      </c>
      <c r="G461" s="10">
        <v>463.0</v>
      </c>
      <c r="H461" s="10">
        <f>VLOOKUP(F461,'Generos y Familia'!$A$1:$C$623,2,FALSE)</f>
        <v>27</v>
      </c>
      <c r="I461" s="12" t="str">
        <f t="shared" si="1"/>
        <v>Erythrina speciosa</v>
      </c>
      <c r="J461" s="10" t="str">
        <f t="shared" si="2"/>
        <v>463 Erythrina speciosa</v>
      </c>
      <c r="K461" s="10" t="str">
        <f t="shared" si="3"/>
        <v>Árbol Coral</v>
      </c>
      <c r="L461" s="10" t="str">
        <f t="shared" si="4"/>
        <v>463 Árbol Coral</v>
      </c>
      <c r="M461" s="10" t="s">
        <v>35</v>
      </c>
      <c r="N461" s="10" t="s">
        <v>36</v>
      </c>
      <c r="O461" s="10" t="s">
        <v>37</v>
      </c>
      <c r="P461" s="10" t="s">
        <v>1326</v>
      </c>
      <c r="Q461" s="13"/>
      <c r="R461" s="13"/>
      <c r="S461" s="13"/>
      <c r="T461" s="13"/>
      <c r="U461" s="13"/>
      <c r="V461" s="13"/>
      <c r="W461" s="13"/>
      <c r="X461" s="13"/>
    </row>
    <row r="462" ht="14.25" customHeight="1">
      <c r="A462" s="10" t="s">
        <v>754</v>
      </c>
      <c r="B462" s="10" t="s">
        <v>31</v>
      </c>
      <c r="C462" s="10">
        <v>464.0</v>
      </c>
      <c r="D462" s="11" t="s">
        <v>1341</v>
      </c>
      <c r="E462" s="11" t="s">
        <v>1342</v>
      </c>
      <c r="F462" s="11" t="s">
        <v>34</v>
      </c>
      <c r="G462" s="10">
        <v>464.0</v>
      </c>
      <c r="H462" s="10">
        <f>VLOOKUP(F462,'Generos y Familia'!$A$1:$C$623,2,FALSE)</f>
        <v>27</v>
      </c>
      <c r="I462" s="12" t="str">
        <f t="shared" si="1"/>
        <v>Erythrina variegata</v>
      </c>
      <c r="J462" s="10" t="str">
        <f t="shared" si="2"/>
        <v>464 Erythrina variegata</v>
      </c>
      <c r="K462" s="10" t="str">
        <f t="shared" si="3"/>
        <v>Búcaro Variegado; Colorin</v>
      </c>
      <c r="L462" s="10" t="str">
        <f t="shared" si="4"/>
        <v>464 Búcaro Variegado; Colorin</v>
      </c>
      <c r="M462" s="10" t="s">
        <v>46</v>
      </c>
      <c r="N462" s="10" t="s">
        <v>36</v>
      </c>
      <c r="O462" s="10" t="s">
        <v>37</v>
      </c>
      <c r="P462" s="10" t="s">
        <v>1326</v>
      </c>
      <c r="Q462" s="17" t="s">
        <v>106</v>
      </c>
      <c r="R462" s="14"/>
      <c r="S462" s="17" t="s">
        <v>821</v>
      </c>
      <c r="T462" s="14"/>
      <c r="U462" s="14" t="s">
        <v>55</v>
      </c>
      <c r="V462" s="14"/>
      <c r="W462" s="17"/>
      <c r="X462" s="14" t="s">
        <v>41</v>
      </c>
    </row>
    <row r="463" ht="14.25" customHeight="1">
      <c r="A463" s="10" t="s">
        <v>754</v>
      </c>
      <c r="B463" s="10" t="s">
        <v>31</v>
      </c>
      <c r="C463" s="10">
        <v>465.0</v>
      </c>
      <c r="D463" s="11" t="s">
        <v>1343</v>
      </c>
      <c r="E463" s="11" t="s">
        <v>1344</v>
      </c>
      <c r="F463" s="11" t="s">
        <v>1345</v>
      </c>
      <c r="G463" s="10">
        <v>465.0</v>
      </c>
      <c r="H463" s="10">
        <f>VLOOKUP(F463,'Generos y Familia'!$A$1:$C$623,2,FALSE)</f>
        <v>24</v>
      </c>
      <c r="I463" s="12" t="str">
        <f t="shared" si="1"/>
        <v>Erythroxylum coca</v>
      </c>
      <c r="J463" s="10" t="str">
        <f t="shared" si="2"/>
        <v>465 Erythroxylum coca</v>
      </c>
      <c r="K463" s="10" t="str">
        <f t="shared" si="3"/>
        <v>Coca</v>
      </c>
      <c r="L463" s="10" t="str">
        <f t="shared" si="4"/>
        <v>465 Coca</v>
      </c>
      <c r="M463" s="10" t="s">
        <v>35</v>
      </c>
      <c r="N463" s="10" t="s">
        <v>36</v>
      </c>
      <c r="O463" s="10" t="s">
        <v>47</v>
      </c>
      <c r="P463" s="10" t="s">
        <v>1346</v>
      </c>
      <c r="Q463" s="13">
        <v>3.0</v>
      </c>
      <c r="R463" s="13" t="s">
        <v>53</v>
      </c>
      <c r="S463" s="13"/>
      <c r="T463" s="13"/>
      <c r="U463" s="13" t="s">
        <v>55</v>
      </c>
      <c r="V463" s="13"/>
      <c r="W463" s="16"/>
      <c r="X463" s="13"/>
    </row>
    <row r="464" ht="14.25" customHeight="1">
      <c r="A464" s="10" t="s">
        <v>754</v>
      </c>
      <c r="B464" s="10" t="s">
        <v>31</v>
      </c>
      <c r="C464" s="10">
        <v>466.0</v>
      </c>
      <c r="D464" s="11" t="s">
        <v>1347</v>
      </c>
      <c r="E464" s="11" t="s">
        <v>1348</v>
      </c>
      <c r="F464" s="11" t="s">
        <v>1349</v>
      </c>
      <c r="G464" s="10">
        <v>466.0</v>
      </c>
      <c r="H464" s="10">
        <f>VLOOKUP(F464,'Generos y Familia'!$A$1:$C$623,2,FALSE)</f>
        <v>25</v>
      </c>
      <c r="I464" s="12" t="str">
        <f t="shared" si="1"/>
        <v>Escallonia pendula</v>
      </c>
      <c r="J464" s="10" t="str">
        <f t="shared" si="2"/>
        <v>466 Escallonia pendula</v>
      </c>
      <c r="K464" s="10" t="str">
        <f t="shared" si="3"/>
        <v>Loqueto; Mangle</v>
      </c>
      <c r="L464" s="10" t="str">
        <f t="shared" si="4"/>
        <v>466 Loqueto; Mangle</v>
      </c>
      <c r="M464" s="10" t="s">
        <v>35</v>
      </c>
      <c r="N464" s="10" t="s">
        <v>36</v>
      </c>
      <c r="O464" s="10" t="s">
        <v>37</v>
      </c>
      <c r="P464" s="10" t="s">
        <v>1350</v>
      </c>
      <c r="Q464" s="17" t="s">
        <v>379</v>
      </c>
      <c r="R464" s="14" t="s">
        <v>53</v>
      </c>
      <c r="S464" s="17" t="s">
        <v>1351</v>
      </c>
      <c r="T464" s="14" t="s">
        <v>39</v>
      </c>
      <c r="U464" s="14" t="s">
        <v>55</v>
      </c>
      <c r="V464" s="14"/>
      <c r="W464" s="18"/>
      <c r="X464" s="14" t="s">
        <v>41</v>
      </c>
    </row>
    <row r="465" ht="14.25" customHeight="1">
      <c r="A465" s="10" t="s">
        <v>754</v>
      </c>
      <c r="B465" s="10" t="s">
        <v>31</v>
      </c>
      <c r="C465" s="10">
        <v>467.0</v>
      </c>
      <c r="D465" s="11" t="s">
        <v>1352</v>
      </c>
      <c r="E465" s="11" t="s">
        <v>1353</v>
      </c>
      <c r="F465" s="11" t="s">
        <v>728</v>
      </c>
      <c r="G465" s="10">
        <v>467.0</v>
      </c>
      <c r="H465" s="10">
        <f>VLOOKUP(F465,'Generos y Familia'!$A$1:$C$623,2,FALSE)</f>
        <v>36</v>
      </c>
      <c r="I465" s="12" t="str">
        <f t="shared" si="1"/>
        <v>Eschweilera antioquensis</v>
      </c>
      <c r="J465" s="10" t="str">
        <f t="shared" si="2"/>
        <v>467 Eschweilera antioquensis</v>
      </c>
      <c r="K465" s="10" t="str">
        <f t="shared" si="3"/>
        <v>Olleto; Catelisoto; Olla de Mono</v>
      </c>
      <c r="L465" s="10" t="str">
        <f t="shared" si="4"/>
        <v>467 Olleto; Catelisoto; Olla de Mono</v>
      </c>
      <c r="M465" s="10" t="s">
        <v>35</v>
      </c>
      <c r="N465" s="10" t="s">
        <v>36</v>
      </c>
      <c r="O465" s="10" t="s">
        <v>37</v>
      </c>
      <c r="P465" s="10" t="s">
        <v>1354</v>
      </c>
      <c r="Q465" s="13">
        <v>15.0</v>
      </c>
      <c r="R465" s="13" t="s">
        <v>53</v>
      </c>
      <c r="S465" s="13"/>
      <c r="T465" s="13"/>
      <c r="U465" s="13"/>
      <c r="V465" s="13"/>
      <c r="W465" s="13"/>
      <c r="X465" s="13"/>
    </row>
    <row r="466" ht="14.25" customHeight="1">
      <c r="A466" s="10" t="s">
        <v>754</v>
      </c>
      <c r="B466" s="10" t="s">
        <v>31</v>
      </c>
      <c r="C466" s="10">
        <v>468.0</v>
      </c>
      <c r="D466" s="11" t="s">
        <v>1355</v>
      </c>
      <c r="E466" s="11" t="s">
        <v>1356</v>
      </c>
      <c r="F466" s="11" t="s">
        <v>728</v>
      </c>
      <c r="G466" s="10">
        <v>468.0</v>
      </c>
      <c r="H466" s="10">
        <f>VLOOKUP(F466,'Generos y Familia'!$A$1:$C$623,2,FALSE)</f>
        <v>36</v>
      </c>
      <c r="I466" s="12" t="str">
        <f t="shared" si="1"/>
        <v>Eschweilera parviflora</v>
      </c>
      <c r="J466" s="10" t="str">
        <f t="shared" si="2"/>
        <v>468 Eschweilera parviflora</v>
      </c>
      <c r="K466" s="10" t="str">
        <f t="shared" si="3"/>
        <v>Fono; Carguero de Boa; Palo de Lombriz; Popay</v>
      </c>
      <c r="L466" s="10" t="str">
        <f t="shared" si="4"/>
        <v>468 Fono; Carguero de Boa; Palo de Lombriz; Popay</v>
      </c>
      <c r="M466" s="10" t="s">
        <v>35</v>
      </c>
      <c r="N466" s="10" t="s">
        <v>36</v>
      </c>
      <c r="O466" s="10" t="s">
        <v>37</v>
      </c>
      <c r="P466" s="10" t="s">
        <v>1354</v>
      </c>
      <c r="Q466" s="13"/>
      <c r="R466" s="13"/>
      <c r="S466" s="13"/>
      <c r="T466" s="13"/>
      <c r="U466" s="13"/>
      <c r="V466" s="13"/>
      <c r="W466" s="13"/>
      <c r="X466" s="13"/>
    </row>
    <row r="467" ht="14.25" customHeight="1">
      <c r="A467" s="10" t="s">
        <v>754</v>
      </c>
      <c r="B467" s="10" t="s">
        <v>31</v>
      </c>
      <c r="C467" s="10">
        <v>469.0</v>
      </c>
      <c r="D467" s="11" t="s">
        <v>1357</v>
      </c>
      <c r="E467" s="11" t="s">
        <v>1358</v>
      </c>
      <c r="F467" s="11" t="s">
        <v>728</v>
      </c>
      <c r="G467" s="10">
        <v>469.0</v>
      </c>
      <c r="H467" s="10">
        <f>VLOOKUP(F467,'Generos y Familia'!$A$1:$C$623,2,FALSE)</f>
        <v>36</v>
      </c>
      <c r="I467" s="12" t="str">
        <f t="shared" si="1"/>
        <v>Eschweilera reversa</v>
      </c>
      <c r="J467" s="10" t="str">
        <f t="shared" si="2"/>
        <v>469 Eschweilera reversa</v>
      </c>
      <c r="K467" s="10" t="str">
        <f t="shared" si="3"/>
        <v>Cargadero Blanco; Coco Blanco</v>
      </c>
      <c r="L467" s="10" t="str">
        <f t="shared" si="4"/>
        <v>469 Cargadero Blanco; Coco Blanco</v>
      </c>
      <c r="M467" s="10" t="s">
        <v>35</v>
      </c>
      <c r="N467" s="10" t="s">
        <v>36</v>
      </c>
      <c r="O467" s="10" t="s">
        <v>37</v>
      </c>
      <c r="P467" s="10" t="s">
        <v>1354</v>
      </c>
      <c r="Q467" s="13"/>
      <c r="R467" s="13"/>
      <c r="S467" s="13"/>
      <c r="T467" s="13"/>
      <c r="U467" s="13"/>
      <c r="V467" s="13"/>
      <c r="W467" s="13"/>
      <c r="X467" s="13"/>
    </row>
    <row r="468" ht="14.25" customHeight="1">
      <c r="A468" s="10" t="s">
        <v>754</v>
      </c>
      <c r="B468" s="10" t="s">
        <v>31</v>
      </c>
      <c r="C468" s="10">
        <v>470.0</v>
      </c>
      <c r="D468" s="11" t="s">
        <v>1359</v>
      </c>
      <c r="E468" s="11" t="s">
        <v>1360</v>
      </c>
      <c r="F468" s="11" t="s">
        <v>728</v>
      </c>
      <c r="G468" s="10">
        <v>470.0</v>
      </c>
      <c r="H468" s="10">
        <f>VLOOKUP(F468,'Generos y Familia'!$A$1:$C$623,2,FALSE)</f>
        <v>36</v>
      </c>
      <c r="I468" s="12" t="str">
        <f t="shared" si="1"/>
        <v>Eschweilera sp</v>
      </c>
      <c r="J468" s="10" t="str">
        <f t="shared" si="2"/>
        <v>470 Eschweilera sp</v>
      </c>
      <c r="K468" s="10" t="str">
        <f t="shared" si="3"/>
        <v>Castaño; Catelisoto</v>
      </c>
      <c r="L468" s="10" t="str">
        <f t="shared" si="4"/>
        <v>470 Castaño; Catelisoto</v>
      </c>
      <c r="M468" s="10" t="s">
        <v>35</v>
      </c>
      <c r="N468" s="10" t="s">
        <v>36</v>
      </c>
      <c r="O468" s="10" t="s">
        <v>37</v>
      </c>
      <c r="P468" s="10" t="s">
        <v>1354</v>
      </c>
      <c r="Q468" s="13"/>
      <c r="R468" s="13"/>
      <c r="S468" s="13"/>
      <c r="T468" s="13"/>
      <c r="U468" s="13"/>
      <c r="V468" s="13"/>
      <c r="W468" s="13"/>
      <c r="X468" s="13"/>
    </row>
    <row r="469" ht="14.25" customHeight="1">
      <c r="A469" s="10" t="s">
        <v>754</v>
      </c>
      <c r="B469" s="10" t="s">
        <v>31</v>
      </c>
      <c r="C469" s="10">
        <v>471.0</v>
      </c>
      <c r="D469" s="11" t="s">
        <v>1361</v>
      </c>
      <c r="E469" s="11" t="s">
        <v>1361</v>
      </c>
      <c r="F469" s="11" t="s">
        <v>1362</v>
      </c>
      <c r="G469" s="10">
        <v>471.0</v>
      </c>
      <c r="H469" s="10">
        <f>VLOOKUP(F469,'Generos y Familia'!$A$1:$C$623,2,FALSE)</f>
        <v>55</v>
      </c>
      <c r="I469" s="12" t="str">
        <f t="shared" si="1"/>
        <v>Escobedia sp</v>
      </c>
      <c r="J469" s="10" t="str">
        <f t="shared" si="2"/>
        <v>471 Escobedia sp</v>
      </c>
      <c r="K469" s="10" t="str">
        <f t="shared" si="3"/>
        <v>Escobedia sp</v>
      </c>
      <c r="L469" s="10" t="str">
        <f t="shared" si="4"/>
        <v>471 Escobedia sp</v>
      </c>
      <c r="M469" s="10" t="s">
        <v>46</v>
      </c>
      <c r="N469" s="10" t="s">
        <v>28</v>
      </c>
      <c r="O469" s="10" t="s">
        <v>37</v>
      </c>
      <c r="P469" s="10" t="s">
        <v>1363</v>
      </c>
      <c r="Q469" s="13"/>
      <c r="R469" s="13"/>
      <c r="S469" s="13"/>
      <c r="T469" s="13"/>
      <c r="U469" s="13"/>
      <c r="V469" s="13"/>
      <c r="W469" s="13"/>
      <c r="X469" s="13"/>
    </row>
    <row r="470" ht="14.25" customHeight="1">
      <c r="A470" s="10" t="s">
        <v>1364</v>
      </c>
      <c r="B470" s="10" t="s">
        <v>63</v>
      </c>
      <c r="C470" s="10">
        <v>472.0</v>
      </c>
      <c r="D470" s="11" t="s">
        <v>1365</v>
      </c>
      <c r="E470" s="11" t="s">
        <v>1366</v>
      </c>
      <c r="F470" s="11" t="s">
        <v>95</v>
      </c>
      <c r="G470" s="10">
        <v>472.0</v>
      </c>
      <c r="H470" s="10">
        <f>VLOOKUP(F470,'Generos y Familia'!$A$1:$C$623,2,FALSE)</f>
        <v>49</v>
      </c>
      <c r="I470" s="12" t="str">
        <f t="shared" si="1"/>
        <v>Eucalyptus camaldulensis</v>
      </c>
      <c r="J470" s="10" t="str">
        <f t="shared" si="2"/>
        <v>472 Eucalyptus camaldulensis</v>
      </c>
      <c r="K470" s="10" t="str">
        <f t="shared" si="3"/>
        <v>Eucalipto</v>
      </c>
      <c r="L470" s="10" t="str">
        <f t="shared" si="4"/>
        <v>472 Eucalipto</v>
      </c>
      <c r="M470" s="10" t="s">
        <v>46</v>
      </c>
      <c r="N470" s="10" t="s">
        <v>36</v>
      </c>
      <c r="O470" s="10" t="s">
        <v>37</v>
      </c>
      <c r="P470" s="10" t="s">
        <v>1367</v>
      </c>
      <c r="Q470" s="13">
        <v>37.0</v>
      </c>
      <c r="R470" s="13" t="s">
        <v>53</v>
      </c>
      <c r="S470" s="13"/>
      <c r="T470" s="13"/>
      <c r="U470" s="13" t="s">
        <v>55</v>
      </c>
      <c r="V470" s="13"/>
      <c r="W470" s="16"/>
      <c r="X470" s="13"/>
    </row>
    <row r="471" ht="14.25" customHeight="1">
      <c r="A471" s="10" t="s">
        <v>1364</v>
      </c>
      <c r="B471" s="10" t="s">
        <v>31</v>
      </c>
      <c r="C471" s="10">
        <v>473.0</v>
      </c>
      <c r="D471" s="11" t="s">
        <v>1368</v>
      </c>
      <c r="E471" s="11" t="s">
        <v>1369</v>
      </c>
      <c r="F471" s="11" t="s">
        <v>95</v>
      </c>
      <c r="G471" s="10">
        <v>473.0</v>
      </c>
      <c r="H471" s="10">
        <f>VLOOKUP(F471,'Generos y Familia'!$A$1:$C$623,2,FALSE)</f>
        <v>49</v>
      </c>
      <c r="I471" s="12" t="str">
        <f t="shared" si="1"/>
        <v>Eucalyptus cinerea</v>
      </c>
      <c r="J471" s="10" t="str">
        <f t="shared" si="2"/>
        <v>473 Eucalyptus cinerea</v>
      </c>
      <c r="K471" s="10" t="str">
        <f t="shared" si="3"/>
        <v>Eucalipto Plateado; Ocalita</v>
      </c>
      <c r="L471" s="10" t="str">
        <f t="shared" si="4"/>
        <v>473 Eucalipto Plateado; Ocalita</v>
      </c>
      <c r="M471" s="10" t="s">
        <v>46</v>
      </c>
      <c r="N471" s="10" t="s">
        <v>36</v>
      </c>
      <c r="O471" s="10" t="s">
        <v>37</v>
      </c>
      <c r="P471" s="10" t="s">
        <v>1367</v>
      </c>
      <c r="Q471" s="17" t="s">
        <v>229</v>
      </c>
      <c r="R471" s="14" t="s">
        <v>53</v>
      </c>
      <c r="S471" s="17" t="s">
        <v>1370</v>
      </c>
      <c r="T471" s="14"/>
      <c r="U471" s="14" t="s">
        <v>55</v>
      </c>
      <c r="V471" s="14"/>
      <c r="W471" s="17"/>
      <c r="X471" s="14"/>
    </row>
    <row r="472" ht="14.25" customHeight="1">
      <c r="A472" s="10" t="s">
        <v>1364</v>
      </c>
      <c r="B472" s="10" t="s">
        <v>31</v>
      </c>
      <c r="C472" s="10">
        <v>474.0</v>
      </c>
      <c r="D472" s="11" t="s">
        <v>1371</v>
      </c>
      <c r="E472" s="11" t="s">
        <v>1372</v>
      </c>
      <c r="F472" s="11" t="s">
        <v>95</v>
      </c>
      <c r="G472" s="10">
        <v>474.0</v>
      </c>
      <c r="H472" s="10">
        <f>VLOOKUP(F472,'Generos y Familia'!$A$1:$C$623,2,FALSE)</f>
        <v>49</v>
      </c>
      <c r="I472" s="12" t="str">
        <f t="shared" si="1"/>
        <v>Eucalyptus deglupta</v>
      </c>
      <c r="J472" s="10" t="str">
        <f t="shared" si="2"/>
        <v>474 Eucalyptus deglupta</v>
      </c>
      <c r="K472" s="10" t="str">
        <f t="shared" si="3"/>
        <v>Eucalipto Arcoíris; Eucalipti Guayabo</v>
      </c>
      <c r="L472" s="10" t="str">
        <f t="shared" si="4"/>
        <v>474 Eucalipto Arcoíris; Eucalipti Guayabo</v>
      </c>
      <c r="M472" s="10" t="s">
        <v>46</v>
      </c>
      <c r="N472" s="10" t="s">
        <v>36</v>
      </c>
      <c r="O472" s="10" t="s">
        <v>37</v>
      </c>
      <c r="P472" s="10" t="s">
        <v>1367</v>
      </c>
      <c r="Q472" s="13">
        <v>27.0</v>
      </c>
      <c r="R472" s="13" t="s">
        <v>53</v>
      </c>
      <c r="S472" s="13"/>
      <c r="T472" s="13"/>
      <c r="U472" s="13" t="s">
        <v>55</v>
      </c>
      <c r="V472" s="13"/>
      <c r="W472" s="13"/>
      <c r="X472" s="13"/>
    </row>
    <row r="473" ht="14.25" customHeight="1">
      <c r="A473" s="10" t="s">
        <v>1364</v>
      </c>
      <c r="B473" s="10" t="s">
        <v>31</v>
      </c>
      <c r="C473" s="10">
        <v>475.0</v>
      </c>
      <c r="D473" s="11" t="s">
        <v>1373</v>
      </c>
      <c r="E473" s="11" t="s">
        <v>1374</v>
      </c>
      <c r="F473" s="11" t="s">
        <v>95</v>
      </c>
      <c r="G473" s="10">
        <v>475.0</v>
      </c>
      <c r="H473" s="10">
        <f>VLOOKUP(F473,'Generos y Familia'!$A$1:$C$623,2,FALSE)</f>
        <v>49</v>
      </c>
      <c r="I473" s="12" t="str">
        <f t="shared" si="1"/>
        <v>Eucalyptus grandis</v>
      </c>
      <c r="J473" s="10" t="str">
        <f t="shared" si="2"/>
        <v>475 Eucalyptus grandis</v>
      </c>
      <c r="K473" s="10" t="str">
        <f t="shared" si="3"/>
        <v>Eucalypto Rosado; Eucalipto</v>
      </c>
      <c r="L473" s="10" t="str">
        <f t="shared" si="4"/>
        <v>475 Eucalypto Rosado; Eucalipto</v>
      </c>
      <c r="M473" s="10" t="s">
        <v>46</v>
      </c>
      <c r="N473" s="10" t="s">
        <v>36</v>
      </c>
      <c r="O473" s="10" t="s">
        <v>37</v>
      </c>
      <c r="P473" s="10" t="s">
        <v>1367</v>
      </c>
      <c r="Q473" s="17" t="s">
        <v>1375</v>
      </c>
      <c r="R473" s="14" t="s">
        <v>53</v>
      </c>
      <c r="S473" s="17" t="s">
        <v>1370</v>
      </c>
      <c r="T473" s="14"/>
      <c r="U473" s="14" t="s">
        <v>55</v>
      </c>
      <c r="V473" s="14"/>
      <c r="W473" s="17"/>
      <c r="X473" s="14"/>
    </row>
    <row r="474" ht="14.25" customHeight="1">
      <c r="A474" s="10" t="s">
        <v>1364</v>
      </c>
      <c r="B474" s="10" t="s">
        <v>31</v>
      </c>
      <c r="C474" s="10">
        <v>476.0</v>
      </c>
      <c r="D474" s="11" t="s">
        <v>1376</v>
      </c>
      <c r="E474" s="11" t="s">
        <v>1377</v>
      </c>
      <c r="F474" s="11" t="s">
        <v>95</v>
      </c>
      <c r="G474" s="10">
        <v>476.0</v>
      </c>
      <c r="H474" s="10">
        <f>VLOOKUP(F474,'Generos y Familia'!$A$1:$C$623,2,FALSE)</f>
        <v>49</v>
      </c>
      <c r="I474" s="12" t="str">
        <f t="shared" si="1"/>
        <v>Eucalyptus polyanthemos</v>
      </c>
      <c r="J474" s="10" t="str">
        <f t="shared" si="2"/>
        <v>476 Eucalyptus polyanthemos</v>
      </c>
      <c r="K474" s="10" t="str">
        <f t="shared" si="3"/>
        <v>Eucalipto Rojo</v>
      </c>
      <c r="L474" s="10" t="str">
        <f t="shared" si="4"/>
        <v>476 Eucalipto Rojo</v>
      </c>
      <c r="M474" s="10" t="s">
        <v>46</v>
      </c>
      <c r="N474" s="10" t="s">
        <v>36</v>
      </c>
      <c r="O474" s="10" t="s">
        <v>37</v>
      </c>
      <c r="P474" s="10" t="s">
        <v>1367</v>
      </c>
      <c r="Q474" s="13"/>
      <c r="R474" s="13"/>
      <c r="S474" s="13"/>
      <c r="T474" s="13"/>
      <c r="U474" s="13"/>
      <c r="V474" s="13"/>
      <c r="W474" s="16"/>
      <c r="X474" s="13"/>
    </row>
    <row r="475" ht="14.25" customHeight="1">
      <c r="A475" s="10" t="s">
        <v>1364</v>
      </c>
      <c r="B475" s="10" t="s">
        <v>31</v>
      </c>
      <c r="C475" s="10">
        <v>477.0</v>
      </c>
      <c r="D475" s="11" t="s">
        <v>1378</v>
      </c>
      <c r="E475" s="11" t="s">
        <v>1379</v>
      </c>
      <c r="F475" s="11" t="s">
        <v>95</v>
      </c>
      <c r="G475" s="10">
        <v>477.0</v>
      </c>
      <c r="H475" s="10">
        <f>VLOOKUP(F475,'Generos y Familia'!$A$1:$C$623,2,FALSE)</f>
        <v>49</v>
      </c>
      <c r="I475" s="12" t="str">
        <f t="shared" si="1"/>
        <v>Eucalyptus robusta</v>
      </c>
      <c r="J475" s="10" t="str">
        <f t="shared" si="2"/>
        <v>477 Eucalyptus robusta</v>
      </c>
      <c r="K475" s="10" t="str">
        <f t="shared" si="3"/>
        <v>Eucalipto Robusto</v>
      </c>
      <c r="L475" s="10" t="str">
        <f t="shared" si="4"/>
        <v>477 Eucalipto Robusto</v>
      </c>
      <c r="M475" s="10" t="s">
        <v>35</v>
      </c>
      <c r="N475" s="10" t="s">
        <v>36</v>
      </c>
      <c r="O475" s="10" t="s">
        <v>37</v>
      </c>
      <c r="P475" s="10" t="s">
        <v>1367</v>
      </c>
      <c r="Q475" s="17" t="s">
        <v>54</v>
      </c>
      <c r="R475" s="14" t="s">
        <v>105</v>
      </c>
      <c r="S475" s="17" t="s">
        <v>1370</v>
      </c>
      <c r="T475" s="14"/>
      <c r="U475" s="14" t="s">
        <v>55</v>
      </c>
      <c r="V475" s="14">
        <v>0.85</v>
      </c>
      <c r="W475" s="17"/>
      <c r="X475" s="14"/>
    </row>
    <row r="476" ht="14.25" customHeight="1">
      <c r="A476" s="10" t="s">
        <v>1364</v>
      </c>
      <c r="B476" s="10" t="s">
        <v>31</v>
      </c>
      <c r="C476" s="10">
        <v>478.0</v>
      </c>
      <c r="D476" s="11" t="s">
        <v>1380</v>
      </c>
      <c r="E476" s="11" t="s">
        <v>1366</v>
      </c>
      <c r="F476" s="11" t="s">
        <v>95</v>
      </c>
      <c r="G476" s="10">
        <v>478.0</v>
      </c>
      <c r="H476" s="10">
        <f>VLOOKUP(F476,'Generos y Familia'!$A$1:$C$623,2,FALSE)</f>
        <v>49</v>
      </c>
      <c r="I476" s="12" t="str">
        <f t="shared" si="1"/>
        <v>Eucalyptus saligna</v>
      </c>
      <c r="J476" s="10" t="str">
        <f t="shared" si="2"/>
        <v>478 Eucalyptus saligna</v>
      </c>
      <c r="K476" s="10" t="str">
        <f t="shared" si="3"/>
        <v>Eucalipto</v>
      </c>
      <c r="L476" s="10" t="str">
        <f t="shared" si="4"/>
        <v>478 Eucalipto</v>
      </c>
      <c r="M476" s="10" t="s">
        <v>46</v>
      </c>
      <c r="N476" s="10" t="s">
        <v>36</v>
      </c>
      <c r="O476" s="10" t="s">
        <v>37</v>
      </c>
      <c r="P476" s="10" t="s">
        <v>1367</v>
      </c>
      <c r="Q476" s="17" t="s">
        <v>290</v>
      </c>
      <c r="R476" s="14"/>
      <c r="S476" s="17" t="s">
        <v>1370</v>
      </c>
      <c r="T476" s="14"/>
      <c r="U476" s="14" t="s">
        <v>55</v>
      </c>
      <c r="V476" s="14"/>
      <c r="W476" s="18"/>
      <c r="X476" s="14"/>
    </row>
    <row r="477" ht="14.25" customHeight="1">
      <c r="A477" s="10" t="s">
        <v>1364</v>
      </c>
      <c r="B477" s="10" t="s">
        <v>31</v>
      </c>
      <c r="C477" s="10">
        <v>479.0</v>
      </c>
      <c r="D477" s="11" t="s">
        <v>1381</v>
      </c>
      <c r="E477" s="11" t="s">
        <v>1366</v>
      </c>
      <c r="F477" s="11" t="s">
        <v>95</v>
      </c>
      <c r="G477" s="10">
        <v>479.0</v>
      </c>
      <c r="H477" s="10">
        <f>VLOOKUP(F477,'Generos y Familia'!$A$1:$C$623,2,FALSE)</f>
        <v>49</v>
      </c>
      <c r="I477" s="12" t="str">
        <f t="shared" si="1"/>
        <v>Eucalyptus sp</v>
      </c>
      <c r="J477" s="10" t="str">
        <f t="shared" si="2"/>
        <v>479 Eucalyptus sp</v>
      </c>
      <c r="K477" s="10" t="str">
        <f t="shared" si="3"/>
        <v>Eucalipto</v>
      </c>
      <c r="L477" s="10" t="str">
        <f t="shared" si="4"/>
        <v>479 Eucalipto</v>
      </c>
      <c r="M477" s="10" t="s">
        <v>46</v>
      </c>
      <c r="N477" s="10" t="s">
        <v>36</v>
      </c>
      <c r="O477" s="10" t="s">
        <v>37</v>
      </c>
      <c r="P477" s="10" t="s">
        <v>1367</v>
      </c>
      <c r="Q477" s="17" t="s">
        <v>1382</v>
      </c>
      <c r="R477" s="14" t="s">
        <v>1338</v>
      </c>
      <c r="S477" s="17" t="s">
        <v>1370</v>
      </c>
      <c r="T477" s="14"/>
      <c r="U477" s="14" t="s">
        <v>55</v>
      </c>
      <c r="V477" s="14"/>
      <c r="W477" s="17"/>
      <c r="X477" s="14"/>
    </row>
    <row r="478" ht="14.25" customHeight="1">
      <c r="A478" s="10" t="s">
        <v>1364</v>
      </c>
      <c r="B478" s="10" t="s">
        <v>31</v>
      </c>
      <c r="C478" s="10">
        <v>480.0</v>
      </c>
      <c r="D478" s="11" t="s">
        <v>1383</v>
      </c>
      <c r="E478" s="11" t="s">
        <v>1384</v>
      </c>
      <c r="F478" s="11" t="s">
        <v>95</v>
      </c>
      <c r="G478" s="10">
        <v>480.0</v>
      </c>
      <c r="H478" s="10">
        <f>VLOOKUP(F478,'Generos y Familia'!$A$1:$C$623,2,FALSE)</f>
        <v>49</v>
      </c>
      <c r="I478" s="12" t="str">
        <f t="shared" si="1"/>
        <v>Eugenia biflora</v>
      </c>
      <c r="J478" s="10" t="str">
        <f t="shared" si="2"/>
        <v>480 Eugenia biflora</v>
      </c>
      <c r="K478" s="10" t="str">
        <f t="shared" si="3"/>
        <v>Grosello; Grosella; Grosellero; Cereza; Ciruela; Arrayán</v>
      </c>
      <c r="L478" s="10" t="str">
        <f t="shared" si="4"/>
        <v>480 Grosello; Grosella; Grosellero; Cereza; Ciruela; Arrayán</v>
      </c>
      <c r="M478" s="10" t="s">
        <v>46</v>
      </c>
      <c r="N478" s="10" t="s">
        <v>36</v>
      </c>
      <c r="O478" s="10" t="s">
        <v>37</v>
      </c>
      <c r="P478" s="10" t="s">
        <v>1385</v>
      </c>
      <c r="Q478" s="17" t="s">
        <v>347</v>
      </c>
      <c r="R478" s="14"/>
      <c r="S478" s="17" t="s">
        <v>54</v>
      </c>
      <c r="T478" s="14"/>
      <c r="U478" s="14" t="s">
        <v>40</v>
      </c>
      <c r="V478" s="14"/>
      <c r="W478" s="17"/>
      <c r="X478" s="14"/>
    </row>
    <row r="479" ht="14.25" customHeight="1">
      <c r="A479" s="10" t="s">
        <v>1364</v>
      </c>
      <c r="B479" s="10" t="s">
        <v>63</v>
      </c>
      <c r="C479" s="10">
        <v>481.0</v>
      </c>
      <c r="D479" s="11" t="s">
        <v>1386</v>
      </c>
      <c r="E479" s="11" t="s">
        <v>1387</v>
      </c>
      <c r="F479" s="11" t="s">
        <v>95</v>
      </c>
      <c r="G479" s="10">
        <v>481.0</v>
      </c>
      <c r="H479" s="10">
        <f>VLOOKUP(F479,'Generos y Familia'!$A$1:$C$623,2,FALSE)</f>
        <v>49</v>
      </c>
      <c r="I479" s="12" t="str">
        <f t="shared" si="1"/>
        <v>Eugenia flavescens</v>
      </c>
      <c r="J479" s="10" t="str">
        <f t="shared" si="2"/>
        <v>481 Eugenia flavescens</v>
      </c>
      <c r="K479" s="10" t="str">
        <f t="shared" si="3"/>
        <v>Arrayán; Arrayán Limón</v>
      </c>
      <c r="L479" s="10" t="str">
        <f t="shared" si="4"/>
        <v>481 Arrayán; Arrayán Limón</v>
      </c>
      <c r="M479" s="10" t="s">
        <v>35</v>
      </c>
      <c r="N479" s="10" t="s">
        <v>36</v>
      </c>
      <c r="O479" s="10" t="s">
        <v>47</v>
      </c>
      <c r="P479" s="10" t="s">
        <v>1385</v>
      </c>
      <c r="Q479" s="17" t="s">
        <v>379</v>
      </c>
      <c r="R479" s="14"/>
      <c r="S479" s="17" t="s">
        <v>54</v>
      </c>
      <c r="T479" s="14"/>
      <c r="U479" s="14" t="s">
        <v>40</v>
      </c>
      <c r="V479" s="14"/>
      <c r="W479" s="18"/>
      <c r="X479" s="14" t="s">
        <v>41</v>
      </c>
    </row>
    <row r="480" ht="14.25" customHeight="1">
      <c r="A480" s="10" t="s">
        <v>1364</v>
      </c>
      <c r="B480" s="10" t="s">
        <v>31</v>
      </c>
      <c r="C480" s="10">
        <v>482.0</v>
      </c>
      <c r="D480" s="11" t="s">
        <v>1388</v>
      </c>
      <c r="E480" s="11" t="s">
        <v>1389</v>
      </c>
      <c r="F480" s="11" t="s">
        <v>95</v>
      </c>
      <c r="G480" s="10">
        <v>482.0</v>
      </c>
      <c r="H480" s="10">
        <f>VLOOKUP(F480,'Generos y Familia'!$A$1:$C$623,2,FALSE)</f>
        <v>49</v>
      </c>
      <c r="I480" s="12" t="str">
        <f t="shared" si="1"/>
        <v>Eugenia florida</v>
      </c>
      <c r="J480" s="10" t="str">
        <f t="shared" si="2"/>
        <v>482 Eugenia florida</v>
      </c>
      <c r="K480" s="10" t="str">
        <f t="shared" si="3"/>
        <v>Flor Azul; Payo; Guayabillo</v>
      </c>
      <c r="L480" s="10" t="str">
        <f t="shared" si="4"/>
        <v>482 Flor Azul; Payo; Guayabillo</v>
      </c>
      <c r="M480" s="10" t="s">
        <v>35</v>
      </c>
      <c r="N480" s="10" t="s">
        <v>36</v>
      </c>
      <c r="O480" s="10" t="s">
        <v>47</v>
      </c>
      <c r="P480" s="10" t="s">
        <v>1385</v>
      </c>
      <c r="Q480" s="17" t="s">
        <v>379</v>
      </c>
      <c r="R480" s="14"/>
      <c r="S480" s="17" t="s">
        <v>54</v>
      </c>
      <c r="T480" s="14"/>
      <c r="U480" s="14" t="s">
        <v>40</v>
      </c>
      <c r="V480" s="14"/>
      <c r="W480" s="18"/>
      <c r="X480" s="14" t="s">
        <v>41</v>
      </c>
    </row>
    <row r="481" ht="14.25" customHeight="1">
      <c r="A481" s="10" t="s">
        <v>1364</v>
      </c>
      <c r="B481" s="10" t="s">
        <v>31</v>
      </c>
      <c r="C481" s="10">
        <v>483.0</v>
      </c>
      <c r="D481" s="11" t="s">
        <v>1390</v>
      </c>
      <c r="E481" s="11" t="s">
        <v>1391</v>
      </c>
      <c r="F481" s="11" t="s">
        <v>95</v>
      </c>
      <c r="G481" s="10">
        <v>483.0</v>
      </c>
      <c r="H481" s="10">
        <f>VLOOKUP(F481,'Generos y Familia'!$A$1:$C$623,2,FALSE)</f>
        <v>49</v>
      </c>
      <c r="I481" s="12" t="str">
        <f t="shared" si="1"/>
        <v>Eugenia involucrata</v>
      </c>
      <c r="J481" s="10" t="str">
        <f t="shared" si="2"/>
        <v>483 Eugenia involucrata</v>
      </c>
      <c r="K481" s="10" t="str">
        <f t="shared" si="3"/>
        <v>Cereza de Río Grande; Cerella ;Cerejeira</v>
      </c>
      <c r="L481" s="10" t="str">
        <f t="shared" si="4"/>
        <v>483 Cereza de Río Grande; Cerella ;Cerejeira</v>
      </c>
      <c r="M481" s="10" t="s">
        <v>46</v>
      </c>
      <c r="N481" s="10" t="s">
        <v>28</v>
      </c>
      <c r="O481" s="10" t="s">
        <v>47</v>
      </c>
      <c r="P481" s="10" t="s">
        <v>1385</v>
      </c>
      <c r="Q481" s="17" t="s">
        <v>338</v>
      </c>
      <c r="R481" s="14" t="s">
        <v>53</v>
      </c>
      <c r="S481" s="17" t="s">
        <v>54</v>
      </c>
      <c r="T481" s="14"/>
      <c r="U481" s="14" t="s">
        <v>73</v>
      </c>
      <c r="V481" s="14"/>
      <c r="W481" s="18"/>
      <c r="X481" s="14" t="s">
        <v>41</v>
      </c>
    </row>
    <row r="482" ht="14.25" customHeight="1">
      <c r="A482" s="10" t="s">
        <v>1364</v>
      </c>
      <c r="B482" s="10" t="s">
        <v>31</v>
      </c>
      <c r="C482" s="10">
        <v>484.0</v>
      </c>
      <c r="D482" s="11" t="s">
        <v>1392</v>
      </c>
      <c r="E482" s="11" t="s">
        <v>1393</v>
      </c>
      <c r="F482" s="11" t="s">
        <v>95</v>
      </c>
      <c r="G482" s="10">
        <v>484.0</v>
      </c>
      <c r="H482" s="10">
        <f>VLOOKUP(F482,'Generos y Familia'!$A$1:$C$623,2,FALSE)</f>
        <v>49</v>
      </c>
      <c r="I482" s="12" t="str">
        <f t="shared" si="1"/>
        <v>Eugenia myrtifolia</v>
      </c>
      <c r="J482" s="10" t="str">
        <f t="shared" si="2"/>
        <v>484 Eugenia myrtifolia</v>
      </c>
      <c r="K482" s="10" t="str">
        <f t="shared" si="3"/>
        <v>Eugenio</v>
      </c>
      <c r="L482" s="10" t="str">
        <f t="shared" si="4"/>
        <v>484 Eugenio</v>
      </c>
      <c r="M482" s="10" t="s">
        <v>46</v>
      </c>
      <c r="N482" s="10" t="s">
        <v>36</v>
      </c>
      <c r="O482" s="10" t="s">
        <v>37</v>
      </c>
      <c r="P482" s="10" t="s">
        <v>1385</v>
      </c>
      <c r="Q482" s="17" t="s">
        <v>379</v>
      </c>
      <c r="R482" s="14"/>
      <c r="S482" s="17" t="s">
        <v>54</v>
      </c>
      <c r="T482" s="14"/>
      <c r="U482" s="14" t="s">
        <v>40</v>
      </c>
      <c r="V482" s="14"/>
      <c r="W482" s="17"/>
      <c r="X482" s="14" t="s">
        <v>41</v>
      </c>
    </row>
    <row r="483" ht="14.25" customHeight="1">
      <c r="A483" s="10" t="s">
        <v>1364</v>
      </c>
      <c r="B483" s="10" t="s">
        <v>31</v>
      </c>
      <c r="C483" s="10">
        <v>485.0</v>
      </c>
      <c r="D483" s="11" t="s">
        <v>1394</v>
      </c>
      <c r="E483" s="11" t="s">
        <v>1395</v>
      </c>
      <c r="F483" s="11" t="s">
        <v>95</v>
      </c>
      <c r="G483" s="10">
        <v>485.0</v>
      </c>
      <c r="H483" s="10">
        <f>VLOOKUP(F483,'Generos y Familia'!$A$1:$C$623,2,FALSE)</f>
        <v>49</v>
      </c>
      <c r="I483" s="12" t="str">
        <f t="shared" si="1"/>
        <v>Eugenia stipitata</v>
      </c>
      <c r="J483" s="10" t="str">
        <f t="shared" si="2"/>
        <v>485 Eugenia stipitata</v>
      </c>
      <c r="K483" s="10" t="str">
        <f t="shared" si="3"/>
        <v>Arazá; Guayaba Brasileña; Arrayán</v>
      </c>
      <c r="L483" s="10" t="str">
        <f t="shared" si="4"/>
        <v>485 Arazá; Guayaba Brasileña; Arrayán</v>
      </c>
      <c r="M483" s="10" t="s">
        <v>35</v>
      </c>
      <c r="N483" s="10" t="s">
        <v>36</v>
      </c>
      <c r="O483" s="10" t="s">
        <v>47</v>
      </c>
      <c r="P483" s="10" t="s">
        <v>1385</v>
      </c>
      <c r="Q483" s="13"/>
      <c r="R483" s="13"/>
      <c r="S483" s="13"/>
      <c r="T483" s="13"/>
      <c r="U483" s="13"/>
      <c r="V483" s="13"/>
      <c r="W483" s="16"/>
      <c r="X483" s="13"/>
    </row>
    <row r="484" ht="14.25" customHeight="1">
      <c r="A484" s="10" t="s">
        <v>1364</v>
      </c>
      <c r="B484" s="10" t="s">
        <v>31</v>
      </c>
      <c r="C484" s="10">
        <v>486.0</v>
      </c>
      <c r="D484" s="11" t="s">
        <v>1396</v>
      </c>
      <c r="E484" s="11" t="s">
        <v>1397</v>
      </c>
      <c r="F484" s="11" t="s">
        <v>95</v>
      </c>
      <c r="G484" s="10">
        <v>486.0</v>
      </c>
      <c r="H484" s="10">
        <f>VLOOKUP(F484,'Generos y Familia'!$A$1:$C$623,2,FALSE)</f>
        <v>49</v>
      </c>
      <c r="I484" s="12" t="str">
        <f t="shared" si="1"/>
        <v>Eugenia uniflora</v>
      </c>
      <c r="J484" s="10" t="str">
        <f t="shared" si="2"/>
        <v>486 Eugenia uniflora</v>
      </c>
      <c r="K484" s="10" t="str">
        <f t="shared" si="3"/>
        <v>Pitanga; Grosella; Mirto; Cereza de Cayena; Uvo</v>
      </c>
      <c r="L484" s="10" t="str">
        <f t="shared" si="4"/>
        <v>486 Pitanga; Grosella; Mirto; Cereza de Cayena; Uvo</v>
      </c>
      <c r="M484" s="10" t="s">
        <v>46</v>
      </c>
      <c r="N484" s="10" t="s">
        <v>36</v>
      </c>
      <c r="O484" s="10" t="s">
        <v>47</v>
      </c>
      <c r="P484" s="10" t="s">
        <v>1385</v>
      </c>
      <c r="Q484" s="17" t="s">
        <v>632</v>
      </c>
      <c r="R484" s="14" t="s">
        <v>53</v>
      </c>
      <c r="S484" s="17" t="s">
        <v>54</v>
      </c>
      <c r="T484" s="14"/>
      <c r="U484" s="14" t="s">
        <v>40</v>
      </c>
      <c r="V484" s="14"/>
      <c r="W484" s="18"/>
      <c r="X484" s="14" t="s">
        <v>41</v>
      </c>
    </row>
    <row r="485" ht="14.25" customHeight="1">
      <c r="A485" s="10" t="s">
        <v>1364</v>
      </c>
      <c r="B485" s="10" t="s">
        <v>31</v>
      </c>
      <c r="C485" s="10">
        <v>487.0</v>
      </c>
      <c r="D485" s="11" t="s">
        <v>1398</v>
      </c>
      <c r="E485" s="11" t="s">
        <v>1399</v>
      </c>
      <c r="F485" s="11" t="s">
        <v>837</v>
      </c>
      <c r="G485" s="10">
        <v>487.0</v>
      </c>
      <c r="H485" s="10">
        <f>VLOOKUP(F485,'Generos y Familia'!$A$1:$C$623,2,FALSE)</f>
        <v>34</v>
      </c>
      <c r="I485" s="12" t="str">
        <f t="shared" si="1"/>
        <v>Euonymus fortunei</v>
      </c>
      <c r="J485" s="10" t="str">
        <f t="shared" si="2"/>
        <v>487 Euonymus fortunei</v>
      </c>
      <c r="K485" s="10" t="str">
        <f t="shared" si="3"/>
        <v>Huso de la Fortuna</v>
      </c>
      <c r="L485" s="10" t="str">
        <f t="shared" si="4"/>
        <v>487 Huso de la Fortuna</v>
      </c>
      <c r="M485" s="10" t="s">
        <v>46</v>
      </c>
      <c r="N485" s="10" t="s">
        <v>36</v>
      </c>
      <c r="O485" s="10" t="s">
        <v>37</v>
      </c>
      <c r="P485" s="10" t="s">
        <v>1400</v>
      </c>
      <c r="Q485" s="13"/>
      <c r="R485" s="13"/>
      <c r="S485" s="13"/>
      <c r="T485" s="13"/>
      <c r="U485" s="13"/>
      <c r="V485" s="13"/>
      <c r="W485" s="13"/>
      <c r="X485" s="13"/>
    </row>
    <row r="486" ht="14.25" customHeight="1">
      <c r="A486" s="10" t="s">
        <v>1364</v>
      </c>
      <c r="B486" s="10" t="s">
        <v>31</v>
      </c>
      <c r="C486" s="10">
        <v>488.0</v>
      </c>
      <c r="D486" s="11" t="s">
        <v>1401</v>
      </c>
      <c r="E486" s="11" t="s">
        <v>1402</v>
      </c>
      <c r="F486" s="11" t="s">
        <v>837</v>
      </c>
      <c r="G486" s="10">
        <v>488.0</v>
      </c>
      <c r="H486" s="10">
        <f>VLOOKUP(F486,'Generos y Familia'!$A$1:$C$623,2,FALSE)</f>
        <v>34</v>
      </c>
      <c r="I486" s="12" t="str">
        <f t="shared" si="1"/>
        <v>Euonymus japonicus</v>
      </c>
      <c r="J486" s="10" t="str">
        <f t="shared" si="2"/>
        <v>488 Euonymus japonicus</v>
      </c>
      <c r="K486" s="10" t="str">
        <f t="shared" si="3"/>
        <v>El Huso Japonés; El Bonetero; El Evónimo</v>
      </c>
      <c r="L486" s="10" t="str">
        <f t="shared" si="4"/>
        <v>488 El Huso Japonés; El Bonetero; El Evónimo</v>
      </c>
      <c r="M486" s="10" t="s">
        <v>46</v>
      </c>
      <c r="N486" s="10" t="s">
        <v>36</v>
      </c>
      <c r="O486" s="10" t="s">
        <v>47</v>
      </c>
      <c r="P486" s="10" t="s">
        <v>1400</v>
      </c>
      <c r="Q486" s="13"/>
      <c r="R486" s="13"/>
      <c r="S486" s="13"/>
      <c r="T486" s="13"/>
      <c r="U486" s="13"/>
      <c r="V486" s="13"/>
      <c r="W486" s="13"/>
      <c r="X486" s="13"/>
    </row>
    <row r="487" ht="14.25" customHeight="1">
      <c r="A487" s="10" t="s">
        <v>1364</v>
      </c>
      <c r="B487" s="10" t="s">
        <v>31</v>
      </c>
      <c r="C487" s="10">
        <v>489.0</v>
      </c>
      <c r="D487" s="11" t="s">
        <v>1403</v>
      </c>
      <c r="E487" s="11" t="s">
        <v>1404</v>
      </c>
      <c r="F487" s="11" t="s">
        <v>82</v>
      </c>
      <c r="G487" s="10">
        <v>489.0</v>
      </c>
      <c r="H487" s="10">
        <f>VLOOKUP(F487,'Generos y Familia'!$A$1:$C$623,2,FALSE)</f>
        <v>26</v>
      </c>
      <c r="I487" s="12" t="str">
        <f t="shared" si="1"/>
        <v>Euphorbia cotinifolia</v>
      </c>
      <c r="J487" s="10" t="str">
        <f t="shared" si="2"/>
        <v>489 Euphorbia cotinifolia</v>
      </c>
      <c r="K487" s="10" t="str">
        <f t="shared" si="3"/>
        <v>Liberal; Lechero; Manzanillo; Caucho; Yuco</v>
      </c>
      <c r="L487" s="10" t="str">
        <f t="shared" si="4"/>
        <v>489 Liberal; Lechero; Manzanillo; Caucho; Yuco</v>
      </c>
      <c r="M487" s="10" t="s">
        <v>35</v>
      </c>
      <c r="N487" s="10" t="s">
        <v>36</v>
      </c>
      <c r="O487" s="10" t="s">
        <v>47</v>
      </c>
      <c r="P487" s="10" t="s">
        <v>1405</v>
      </c>
      <c r="Q487" s="17" t="s">
        <v>632</v>
      </c>
      <c r="R487" s="14" t="s">
        <v>39</v>
      </c>
      <c r="S487" s="17" t="s">
        <v>338</v>
      </c>
      <c r="T487" s="14" t="s">
        <v>39</v>
      </c>
      <c r="U487" s="14" t="s">
        <v>55</v>
      </c>
      <c r="V487" s="14"/>
      <c r="W487" s="17"/>
      <c r="X487" s="14"/>
    </row>
    <row r="488" ht="14.25" customHeight="1">
      <c r="A488" s="10" t="s">
        <v>1364</v>
      </c>
      <c r="B488" s="10" t="s">
        <v>31</v>
      </c>
      <c r="C488" s="10">
        <v>490.0</v>
      </c>
      <c r="D488" s="11" t="s">
        <v>1406</v>
      </c>
      <c r="E488" s="11" t="s">
        <v>1407</v>
      </c>
      <c r="F488" s="11" t="s">
        <v>82</v>
      </c>
      <c r="G488" s="10">
        <v>490.0</v>
      </c>
      <c r="H488" s="10">
        <f>VLOOKUP(F488,'Generos y Familia'!$A$1:$C$623,2,FALSE)</f>
        <v>26</v>
      </c>
      <c r="I488" s="12" t="str">
        <f t="shared" si="1"/>
        <v>Euphorbia grantii</v>
      </c>
      <c r="J488" s="10" t="str">
        <f t="shared" si="2"/>
        <v>490 Euphorbia grantii</v>
      </c>
      <c r="K488" s="10" t="str">
        <f t="shared" si="3"/>
        <v>Euphorbia Grantii</v>
      </c>
      <c r="L488" s="10" t="str">
        <f t="shared" si="4"/>
        <v>490 Euphorbia Grantii</v>
      </c>
      <c r="M488" s="10" t="s">
        <v>46</v>
      </c>
      <c r="N488" s="10" t="s">
        <v>28</v>
      </c>
      <c r="O488" s="10" t="s">
        <v>47</v>
      </c>
      <c r="P488" s="10" t="s">
        <v>1405</v>
      </c>
      <c r="Q488" s="17" t="s">
        <v>347</v>
      </c>
      <c r="R488" s="14"/>
      <c r="S488" s="17" t="s">
        <v>379</v>
      </c>
      <c r="T488" s="14"/>
      <c r="U488" s="14" t="s">
        <v>40</v>
      </c>
      <c r="V488" s="14"/>
      <c r="W488" s="17"/>
      <c r="X488" s="14" t="s">
        <v>41</v>
      </c>
    </row>
    <row r="489" ht="14.25" customHeight="1">
      <c r="A489" s="10" t="s">
        <v>1364</v>
      </c>
      <c r="B489" s="10" t="s">
        <v>31</v>
      </c>
      <c r="C489" s="10">
        <v>491.0</v>
      </c>
      <c r="D489" s="11" t="s">
        <v>1408</v>
      </c>
      <c r="E489" s="11" t="s">
        <v>1409</v>
      </c>
      <c r="F489" s="11" t="s">
        <v>82</v>
      </c>
      <c r="G489" s="10">
        <v>491.0</v>
      </c>
      <c r="H489" s="10">
        <f>VLOOKUP(F489,'Generos y Familia'!$A$1:$C$623,2,FALSE)</f>
        <v>26</v>
      </c>
      <c r="I489" s="12" t="str">
        <f t="shared" si="1"/>
        <v>Euphorbia lactea</v>
      </c>
      <c r="J489" s="10" t="str">
        <f t="shared" si="2"/>
        <v>491 Euphorbia lactea</v>
      </c>
      <c r="K489" s="10" t="str">
        <f t="shared" si="3"/>
        <v>Lechero; Lechero Espinoso; Carató</v>
      </c>
      <c r="L489" s="10" t="str">
        <f t="shared" si="4"/>
        <v>491 Lechero; Lechero Espinoso; Carató</v>
      </c>
      <c r="M489" s="10" t="s">
        <v>46</v>
      </c>
      <c r="N489" s="10" t="s">
        <v>36</v>
      </c>
      <c r="O489" s="10" t="s">
        <v>47</v>
      </c>
      <c r="P489" s="10" t="s">
        <v>1405</v>
      </c>
      <c r="Q489" s="17" t="s">
        <v>612</v>
      </c>
      <c r="R489" s="14" t="s">
        <v>53</v>
      </c>
      <c r="S489" s="17" t="s">
        <v>379</v>
      </c>
      <c r="T489" s="14"/>
      <c r="U489" s="14" t="s">
        <v>73</v>
      </c>
      <c r="V489" s="14"/>
      <c r="W489" s="18"/>
      <c r="X489" s="14" t="s">
        <v>41</v>
      </c>
    </row>
    <row r="490" ht="14.25" customHeight="1">
      <c r="A490" s="10" t="s">
        <v>1364</v>
      </c>
      <c r="B490" s="10" t="s">
        <v>31</v>
      </c>
      <c r="C490" s="10">
        <v>492.0</v>
      </c>
      <c r="D490" s="11" t="s">
        <v>1410</v>
      </c>
      <c r="E490" s="11" t="s">
        <v>1411</v>
      </c>
      <c r="F490" s="11" t="s">
        <v>82</v>
      </c>
      <c r="G490" s="10">
        <v>492.0</v>
      </c>
      <c r="H490" s="10">
        <f>VLOOKUP(F490,'Generos y Familia'!$A$1:$C$623,2,FALSE)</f>
        <v>26</v>
      </c>
      <c r="I490" s="12" t="str">
        <f t="shared" si="1"/>
        <v>Euphorbia pulcherrima</v>
      </c>
      <c r="J490" s="10" t="str">
        <f t="shared" si="2"/>
        <v>492 Euphorbia pulcherrima</v>
      </c>
      <c r="K490" s="10" t="str">
        <f t="shared" si="3"/>
        <v>Navidad; Sombrilla; Olayaherrera; Paragua; Carnaval</v>
      </c>
      <c r="L490" s="10" t="str">
        <f t="shared" si="4"/>
        <v>492 Navidad; Sombrilla; Olayaherrera; Paragua; Carnaval</v>
      </c>
      <c r="M490" s="10" t="s">
        <v>46</v>
      </c>
      <c r="N490" s="10" t="s">
        <v>36</v>
      </c>
      <c r="O490" s="10" t="s">
        <v>47</v>
      </c>
      <c r="P490" s="10" t="s">
        <v>1405</v>
      </c>
      <c r="Q490" s="17" t="s">
        <v>347</v>
      </c>
      <c r="R490" s="14" t="s">
        <v>39</v>
      </c>
      <c r="S490" s="17" t="s">
        <v>379</v>
      </c>
      <c r="T490" s="14" t="s">
        <v>39</v>
      </c>
      <c r="U490" s="14" t="s">
        <v>55</v>
      </c>
      <c r="V490" s="14"/>
      <c r="W490" s="18"/>
      <c r="X490" s="14"/>
    </row>
    <row r="491" ht="14.25" customHeight="1">
      <c r="A491" s="10" t="s">
        <v>1364</v>
      </c>
      <c r="B491" s="10" t="s">
        <v>31</v>
      </c>
      <c r="C491" s="10">
        <v>493.0</v>
      </c>
      <c r="D491" s="11" t="s">
        <v>1412</v>
      </c>
      <c r="E491" s="11" t="s">
        <v>1413</v>
      </c>
      <c r="F491" s="11" t="s">
        <v>82</v>
      </c>
      <c r="G491" s="10">
        <v>493.0</v>
      </c>
      <c r="H491" s="10">
        <f>VLOOKUP(F491,'Generos y Familia'!$A$1:$C$623,2,FALSE)</f>
        <v>26</v>
      </c>
      <c r="I491" s="12" t="str">
        <f t="shared" si="1"/>
        <v>Euphorbia tirucalli</v>
      </c>
      <c r="J491" s="10" t="str">
        <f t="shared" si="2"/>
        <v>493 Euphorbia tirucalli</v>
      </c>
      <c r="K491" s="10" t="str">
        <f t="shared" si="3"/>
        <v>Letra China; Quebradura; Cactus; Coralito</v>
      </c>
      <c r="L491" s="10" t="str">
        <f t="shared" si="4"/>
        <v>493 Letra China; Quebradura; Cactus; Coralito</v>
      </c>
      <c r="M491" s="10" t="s">
        <v>46</v>
      </c>
      <c r="N491" s="10" t="s">
        <v>36</v>
      </c>
      <c r="O491" s="10" t="s">
        <v>47</v>
      </c>
      <c r="P491" s="10" t="s">
        <v>1405</v>
      </c>
      <c r="Q491" s="17" t="s">
        <v>632</v>
      </c>
      <c r="R491" s="14" t="s">
        <v>53</v>
      </c>
      <c r="S491" s="17" t="s">
        <v>379</v>
      </c>
      <c r="T491" s="14"/>
      <c r="U491" s="14" t="s">
        <v>55</v>
      </c>
      <c r="V491" s="14"/>
      <c r="W491" s="18"/>
      <c r="X491" s="14" t="s">
        <v>41</v>
      </c>
    </row>
    <row r="492" ht="14.25" customHeight="1">
      <c r="A492" s="10" t="s">
        <v>1364</v>
      </c>
      <c r="B492" s="10" t="s">
        <v>31</v>
      </c>
      <c r="C492" s="10">
        <v>494.0</v>
      </c>
      <c r="D492" s="11" t="s">
        <v>1414</v>
      </c>
      <c r="E492" s="11" t="s">
        <v>1415</v>
      </c>
      <c r="F492" s="11" t="s">
        <v>82</v>
      </c>
      <c r="G492" s="10">
        <v>494.0</v>
      </c>
      <c r="H492" s="10">
        <f>VLOOKUP(F492,'Generos y Familia'!$A$1:$C$623,2,FALSE)</f>
        <v>26</v>
      </c>
      <c r="I492" s="12" t="str">
        <f t="shared" si="1"/>
        <v>Euphorbia trigona</v>
      </c>
      <c r="J492" s="10" t="str">
        <f t="shared" si="2"/>
        <v>494 Euphorbia trigona</v>
      </c>
      <c r="K492" s="10" t="str">
        <f t="shared" si="3"/>
        <v>Lechero; Cactus</v>
      </c>
      <c r="L492" s="10" t="str">
        <f t="shared" si="4"/>
        <v>494 Lechero; Cactus</v>
      </c>
      <c r="M492" s="10" t="s">
        <v>46</v>
      </c>
      <c r="N492" s="10" t="s">
        <v>36</v>
      </c>
      <c r="O492" s="10" t="s">
        <v>47</v>
      </c>
      <c r="P492" s="10" t="s">
        <v>1405</v>
      </c>
      <c r="Q492" s="13">
        <v>4.0</v>
      </c>
      <c r="R492" s="13" t="s">
        <v>53</v>
      </c>
      <c r="S492" s="13"/>
      <c r="T492" s="13"/>
      <c r="U492" s="13"/>
      <c r="V492" s="13"/>
      <c r="W492" s="16"/>
      <c r="X492" s="13"/>
    </row>
    <row r="493" ht="14.25" customHeight="1">
      <c r="A493" s="10" t="s">
        <v>1364</v>
      </c>
      <c r="B493" s="10" t="s">
        <v>31</v>
      </c>
      <c r="C493" s="10">
        <v>495.0</v>
      </c>
      <c r="D493" s="11" t="s">
        <v>1416</v>
      </c>
      <c r="E493" s="11" t="s">
        <v>1417</v>
      </c>
      <c r="F493" s="11" t="s">
        <v>82</v>
      </c>
      <c r="G493" s="10">
        <v>495.0</v>
      </c>
      <c r="H493" s="10">
        <f>VLOOKUP(F493,'Generos y Familia'!$A$1:$C$623,2,FALSE)</f>
        <v>26</v>
      </c>
      <c r="I493" s="12" t="str">
        <f t="shared" si="1"/>
        <v>Euphorbia umbellata</v>
      </c>
      <c r="J493" s="10" t="str">
        <f t="shared" si="2"/>
        <v>495 Euphorbia umbellata</v>
      </c>
      <c r="K493" s="10" t="str">
        <f t="shared" si="3"/>
        <v>Lechero Africano; Lechero Verde</v>
      </c>
      <c r="L493" s="10" t="str">
        <f t="shared" si="4"/>
        <v>495 Lechero Africano; Lechero Verde</v>
      </c>
      <c r="M493" s="10" t="s">
        <v>46</v>
      </c>
      <c r="N493" s="10" t="s">
        <v>28</v>
      </c>
      <c r="O493" s="10" t="s">
        <v>47</v>
      </c>
      <c r="P493" s="10" t="s">
        <v>1405</v>
      </c>
      <c r="Q493" s="17" t="s">
        <v>632</v>
      </c>
      <c r="R493" s="14"/>
      <c r="S493" s="17" t="s">
        <v>379</v>
      </c>
      <c r="T493" s="14"/>
      <c r="U493" s="14" t="s">
        <v>55</v>
      </c>
      <c r="V493" s="14"/>
      <c r="W493" s="17"/>
      <c r="X493" s="14" t="s">
        <v>41</v>
      </c>
    </row>
    <row r="494" ht="14.25" customHeight="1">
      <c r="A494" s="10" t="s">
        <v>1364</v>
      </c>
      <c r="B494" s="10" t="s">
        <v>31</v>
      </c>
      <c r="C494" s="10">
        <v>496.0</v>
      </c>
      <c r="D494" s="11" t="s">
        <v>1418</v>
      </c>
      <c r="E494" s="11" t="s">
        <v>1419</v>
      </c>
      <c r="F494" s="11" t="s">
        <v>116</v>
      </c>
      <c r="G494" s="10">
        <v>496.0</v>
      </c>
      <c r="H494" s="10">
        <f>VLOOKUP(F494,'Generos y Familia'!$A$1:$C$623,2,FALSE)</f>
        <v>14</v>
      </c>
      <c r="I494" s="12" t="str">
        <f t="shared" si="1"/>
        <v>Euterpe oleracea</v>
      </c>
      <c r="J494" s="10" t="str">
        <f t="shared" si="2"/>
        <v>496 Euterpe oleracea</v>
      </c>
      <c r="K494" s="10" t="str">
        <f t="shared" si="3"/>
        <v>Naidi; Murrapo; Asaí de Pará; Manaca Brasilera; Tapafrío</v>
      </c>
      <c r="L494" s="10" t="str">
        <f t="shared" si="4"/>
        <v>496 Naidi; Murrapo; Asaí de Pará; Manaca Brasilera; Tapafrío</v>
      </c>
      <c r="M494" s="10" t="s">
        <v>35</v>
      </c>
      <c r="N494" s="10" t="s">
        <v>36</v>
      </c>
      <c r="O494" s="10" t="s">
        <v>117</v>
      </c>
      <c r="P494" s="10" t="s">
        <v>1420</v>
      </c>
      <c r="Q494" s="13">
        <v>20.0</v>
      </c>
      <c r="R494" s="13" t="s">
        <v>1338</v>
      </c>
      <c r="S494" s="13">
        <v>18.0</v>
      </c>
      <c r="T494" s="13" t="s">
        <v>1338</v>
      </c>
      <c r="U494" s="13" t="s">
        <v>55</v>
      </c>
      <c r="V494" s="13"/>
      <c r="W494" s="13"/>
      <c r="X494" s="13"/>
    </row>
    <row r="495" ht="14.25" customHeight="1">
      <c r="A495" s="10" t="s">
        <v>1364</v>
      </c>
      <c r="B495" s="10" t="s">
        <v>31</v>
      </c>
      <c r="C495" s="10">
        <v>497.0</v>
      </c>
      <c r="D495" s="11" t="s">
        <v>1421</v>
      </c>
      <c r="E495" s="11" t="s">
        <v>1422</v>
      </c>
      <c r="F495" s="11" t="s">
        <v>116</v>
      </c>
      <c r="G495" s="10">
        <v>497.0</v>
      </c>
      <c r="H495" s="10">
        <f>VLOOKUP(F495,'Generos y Familia'!$A$1:$C$623,2,FALSE)</f>
        <v>14</v>
      </c>
      <c r="I495" s="12" t="str">
        <f t="shared" si="1"/>
        <v>Euterpe precatoria</v>
      </c>
      <c r="J495" s="10" t="str">
        <f t="shared" si="2"/>
        <v>497 Euterpe precatoria</v>
      </c>
      <c r="K495" s="10" t="str">
        <f t="shared" si="3"/>
        <v>Palmicho; Palma Asaí; Asaí; Manaca; Palmito; Palmiche</v>
      </c>
      <c r="L495" s="10" t="str">
        <f t="shared" si="4"/>
        <v>497 Palmicho; Palma Asaí; Asaí; Manaca; Palmito; Palmiche</v>
      </c>
      <c r="M495" s="10" t="s">
        <v>35</v>
      </c>
      <c r="N495" s="10" t="s">
        <v>36</v>
      </c>
      <c r="O495" s="10" t="s">
        <v>117</v>
      </c>
      <c r="P495" s="10" t="s">
        <v>1420</v>
      </c>
      <c r="Q495" s="13">
        <v>8.0</v>
      </c>
      <c r="R495" s="13" t="s">
        <v>53</v>
      </c>
      <c r="S495" s="13"/>
      <c r="T495" s="13"/>
      <c r="U495" s="13" t="s">
        <v>55</v>
      </c>
      <c r="V495" s="13"/>
      <c r="W495" s="16"/>
      <c r="X495" s="13"/>
    </row>
    <row r="496" ht="14.25" customHeight="1">
      <c r="A496" s="10" t="s">
        <v>1364</v>
      </c>
      <c r="B496" s="10" t="s">
        <v>31</v>
      </c>
      <c r="C496" s="10">
        <v>498.0</v>
      </c>
      <c r="D496" s="11" t="s">
        <v>1423</v>
      </c>
      <c r="E496" s="11" t="s">
        <v>1424</v>
      </c>
      <c r="F496" s="11" t="s">
        <v>95</v>
      </c>
      <c r="G496" s="10">
        <v>498.0</v>
      </c>
      <c r="H496" s="10">
        <f>VLOOKUP(F496,'Generos y Familia'!$A$1:$C$623,2,FALSE)</f>
        <v>49</v>
      </c>
      <c r="I496" s="12" t="str">
        <f t="shared" si="1"/>
        <v>Feijoa sellowiana</v>
      </c>
      <c r="J496" s="10" t="str">
        <f t="shared" si="2"/>
        <v>498 Feijoa sellowiana</v>
      </c>
      <c r="K496" s="10" t="str">
        <f t="shared" si="3"/>
        <v>Feijoa; Guayaba Feijoa; Guayabo</v>
      </c>
      <c r="L496" s="10" t="str">
        <f t="shared" si="4"/>
        <v>498 Feijoa; Guayaba Feijoa; Guayabo</v>
      </c>
      <c r="M496" s="10" t="s">
        <v>46</v>
      </c>
      <c r="N496" s="10" t="s">
        <v>36</v>
      </c>
      <c r="O496" s="10" t="s">
        <v>47</v>
      </c>
      <c r="P496" s="10" t="s">
        <v>1425</v>
      </c>
      <c r="Q496" s="17" t="s">
        <v>347</v>
      </c>
      <c r="R496" s="14" t="s">
        <v>1338</v>
      </c>
      <c r="S496" s="17" t="s">
        <v>229</v>
      </c>
      <c r="T496" s="14" t="s">
        <v>1338</v>
      </c>
      <c r="U496" s="14" t="s">
        <v>73</v>
      </c>
      <c r="V496" s="14"/>
      <c r="W496" s="17" t="s">
        <v>457</v>
      </c>
      <c r="X496" s="14" t="s">
        <v>93</v>
      </c>
    </row>
    <row r="497" ht="14.25" customHeight="1">
      <c r="A497" s="10" t="s">
        <v>1364</v>
      </c>
      <c r="B497" s="10" t="s">
        <v>31</v>
      </c>
      <c r="C497" s="10">
        <v>499.0</v>
      </c>
      <c r="D497" s="11" t="s">
        <v>1426</v>
      </c>
      <c r="E497" s="11" t="s">
        <v>1427</v>
      </c>
      <c r="F497" s="11" t="s">
        <v>365</v>
      </c>
      <c r="G497" s="10">
        <v>499.0</v>
      </c>
      <c r="H497" s="10">
        <f>VLOOKUP(F497,'Generos y Familia'!$A$1:$C$623,2,FALSE)</f>
        <v>43</v>
      </c>
      <c r="I497" s="12" t="str">
        <f t="shared" si="1"/>
        <v>Ficus americana</v>
      </c>
      <c r="J497" s="10" t="str">
        <f t="shared" si="2"/>
        <v>499 Ficus americana</v>
      </c>
      <c r="K497" s="10" t="str">
        <f t="shared" si="3"/>
        <v>Caucho Sabanero; Caucho; Lechero; Higuerón; Matapalo</v>
      </c>
      <c r="L497" s="10" t="str">
        <f t="shared" si="4"/>
        <v>499 Caucho Sabanero; Caucho; Lechero; Higuerón; Matapalo</v>
      </c>
      <c r="M497" s="10" t="s">
        <v>35</v>
      </c>
      <c r="N497" s="10" t="s">
        <v>36</v>
      </c>
      <c r="O497" s="10" t="s">
        <v>37</v>
      </c>
      <c r="P497" s="10" t="s">
        <v>1428</v>
      </c>
      <c r="Q497" s="13">
        <v>20.0</v>
      </c>
      <c r="R497" s="13" t="s">
        <v>53</v>
      </c>
      <c r="S497" s="13" t="s">
        <v>1429</v>
      </c>
      <c r="T497" s="13"/>
      <c r="U497" s="13" t="s">
        <v>55</v>
      </c>
      <c r="V497" s="13"/>
      <c r="W497" s="13"/>
      <c r="X497" s="13"/>
    </row>
    <row r="498" ht="14.25" customHeight="1">
      <c r="A498" s="10" t="s">
        <v>1364</v>
      </c>
      <c r="B498" s="10" t="s">
        <v>31</v>
      </c>
      <c r="C498" s="10">
        <v>500.0</v>
      </c>
      <c r="D498" s="11" t="s">
        <v>1430</v>
      </c>
      <c r="E498" s="11" t="s">
        <v>1431</v>
      </c>
      <c r="F498" s="11" t="s">
        <v>365</v>
      </c>
      <c r="G498" s="10">
        <v>500.0</v>
      </c>
      <c r="H498" s="10">
        <f>VLOOKUP(F498,'Generos y Familia'!$A$1:$C$623,2,FALSE)</f>
        <v>43</v>
      </c>
      <c r="I498" s="12" t="str">
        <f t="shared" si="1"/>
        <v>Ficus benjamina</v>
      </c>
      <c r="J498" s="10" t="str">
        <f t="shared" si="2"/>
        <v>500 Ficus benjamina</v>
      </c>
      <c r="K498" s="10" t="str">
        <f t="shared" si="3"/>
        <v>Laurel; Falso Laurel; Ficus Variegata</v>
      </c>
      <c r="L498" s="10" t="str">
        <f t="shared" si="4"/>
        <v>500 Laurel; Falso Laurel; Ficus Variegata</v>
      </c>
      <c r="M498" s="10" t="s">
        <v>46</v>
      </c>
      <c r="N498" s="10" t="s">
        <v>36</v>
      </c>
      <c r="O498" s="10" t="s">
        <v>37</v>
      </c>
      <c r="P498" s="10" t="s">
        <v>1428</v>
      </c>
      <c r="Q498" s="17" t="s">
        <v>106</v>
      </c>
      <c r="R498" s="14" t="s">
        <v>39</v>
      </c>
      <c r="S498" s="17" t="s">
        <v>821</v>
      </c>
      <c r="T498" s="14" t="s">
        <v>39</v>
      </c>
      <c r="U498" s="14" t="s">
        <v>55</v>
      </c>
      <c r="V498" s="14">
        <v>0.46</v>
      </c>
      <c r="W498" s="17" t="s">
        <v>1432</v>
      </c>
      <c r="X498" s="14"/>
    </row>
    <row r="499" ht="14.25" customHeight="1">
      <c r="A499" s="10" t="s">
        <v>1364</v>
      </c>
      <c r="B499" s="10" t="s">
        <v>63</v>
      </c>
      <c r="C499" s="10">
        <v>501.0</v>
      </c>
      <c r="D499" s="11" t="s">
        <v>1433</v>
      </c>
      <c r="E499" s="11" t="s">
        <v>1434</v>
      </c>
      <c r="F499" s="11" t="s">
        <v>365</v>
      </c>
      <c r="G499" s="10">
        <v>501.0</v>
      </c>
      <c r="H499" s="10">
        <f>VLOOKUP(F499,'Generos y Familia'!$A$1:$C$623,2,FALSE)</f>
        <v>43</v>
      </c>
      <c r="I499" s="12" t="str">
        <f t="shared" si="1"/>
        <v>Ficus brevibracteata</v>
      </c>
      <c r="J499" s="10" t="str">
        <f t="shared" si="2"/>
        <v>501 Ficus brevibracteata</v>
      </c>
      <c r="K499" s="10" t="str">
        <f t="shared" si="3"/>
        <v>Higueron</v>
      </c>
      <c r="L499" s="10" t="str">
        <f t="shared" si="4"/>
        <v>501 Higueron</v>
      </c>
      <c r="M499" s="10" t="s">
        <v>35</v>
      </c>
      <c r="N499" s="10" t="s">
        <v>36</v>
      </c>
      <c r="O499" s="10" t="s">
        <v>37</v>
      </c>
      <c r="P499" s="10" t="s">
        <v>1428</v>
      </c>
      <c r="Q499" s="17" t="s">
        <v>229</v>
      </c>
      <c r="R499" s="14"/>
      <c r="S499" s="17" t="s">
        <v>821</v>
      </c>
      <c r="T499" s="14"/>
      <c r="U499" s="14" t="s">
        <v>40</v>
      </c>
      <c r="V499" s="14"/>
      <c r="W499" s="17"/>
      <c r="X499" s="14" t="s">
        <v>41</v>
      </c>
    </row>
    <row r="500" ht="14.25" customHeight="1">
      <c r="A500" s="10" t="s">
        <v>1364</v>
      </c>
      <c r="B500" s="10" t="s">
        <v>31</v>
      </c>
      <c r="C500" s="10">
        <v>502.0</v>
      </c>
      <c r="D500" s="11" t="s">
        <v>1435</v>
      </c>
      <c r="E500" s="11" t="s">
        <v>1436</v>
      </c>
      <c r="F500" s="11" t="s">
        <v>365</v>
      </c>
      <c r="G500" s="10">
        <v>502.0</v>
      </c>
      <c r="H500" s="10">
        <f>VLOOKUP(F500,'Generos y Familia'!$A$1:$C$623,2,FALSE)</f>
        <v>43</v>
      </c>
      <c r="I500" s="12" t="str">
        <f t="shared" si="1"/>
        <v>Ficus callosa</v>
      </c>
      <c r="J500" s="10" t="str">
        <f t="shared" si="2"/>
        <v>502 Ficus callosa</v>
      </c>
      <c r="K500" s="10" t="str">
        <f t="shared" si="3"/>
        <v>Higuera</v>
      </c>
      <c r="L500" s="10" t="str">
        <f t="shared" si="4"/>
        <v>502 Higuera</v>
      </c>
      <c r="M500" s="10" t="s">
        <v>46</v>
      </c>
      <c r="N500" s="10" t="s">
        <v>28</v>
      </c>
      <c r="O500" s="10" t="s">
        <v>37</v>
      </c>
      <c r="P500" s="10" t="s">
        <v>1428</v>
      </c>
      <c r="Q500" s="13"/>
      <c r="R500" s="13"/>
      <c r="S500" s="13"/>
      <c r="T500" s="13"/>
      <c r="U500" s="13"/>
      <c r="V500" s="13"/>
      <c r="W500" s="13"/>
      <c r="X500" s="13"/>
    </row>
    <row r="501" ht="14.25" customHeight="1">
      <c r="A501" s="10" t="s">
        <v>1364</v>
      </c>
      <c r="B501" s="10" t="s">
        <v>31</v>
      </c>
      <c r="C501" s="10">
        <v>503.0</v>
      </c>
      <c r="D501" s="11" t="s">
        <v>1437</v>
      </c>
      <c r="E501" s="11" t="s">
        <v>1438</v>
      </c>
      <c r="F501" s="11" t="s">
        <v>365</v>
      </c>
      <c r="G501" s="10">
        <v>503.0</v>
      </c>
      <c r="H501" s="10">
        <f>VLOOKUP(F501,'Generos y Familia'!$A$1:$C$623,2,FALSE)</f>
        <v>43</v>
      </c>
      <c r="I501" s="12" t="str">
        <f t="shared" si="1"/>
        <v>Ficus carica</v>
      </c>
      <c r="J501" s="10" t="str">
        <f t="shared" si="2"/>
        <v>503 Ficus carica</v>
      </c>
      <c r="K501" s="10" t="str">
        <f t="shared" si="3"/>
        <v>Brevo; Breva; Higo; Higuera; Caucho de la India</v>
      </c>
      <c r="L501" s="10" t="str">
        <f t="shared" si="4"/>
        <v>503 Brevo; Breva; Higo; Higuera; Caucho de la India</v>
      </c>
      <c r="M501" s="10" t="s">
        <v>46</v>
      </c>
      <c r="N501" s="10" t="s">
        <v>36</v>
      </c>
      <c r="O501" s="10" t="s">
        <v>37</v>
      </c>
      <c r="P501" s="10" t="s">
        <v>1428</v>
      </c>
      <c r="Q501" s="17" t="s">
        <v>1439</v>
      </c>
      <c r="R501" s="14" t="s">
        <v>39</v>
      </c>
      <c r="S501" s="17" t="s">
        <v>821</v>
      </c>
      <c r="T501" s="14"/>
      <c r="U501" s="14" t="s">
        <v>55</v>
      </c>
      <c r="V501" s="14"/>
      <c r="W501" s="17"/>
      <c r="X501" s="14" t="s">
        <v>41</v>
      </c>
    </row>
    <row r="502" ht="14.25" customHeight="1">
      <c r="A502" s="10" t="s">
        <v>1364</v>
      </c>
      <c r="B502" s="10" t="s">
        <v>31</v>
      </c>
      <c r="C502" s="10">
        <v>504.0</v>
      </c>
      <c r="D502" s="11" t="s">
        <v>1440</v>
      </c>
      <c r="E502" s="11" t="s">
        <v>1434</v>
      </c>
      <c r="F502" s="11" t="s">
        <v>365</v>
      </c>
      <c r="G502" s="10">
        <v>504.0</v>
      </c>
      <c r="H502" s="10">
        <f>VLOOKUP(F502,'Generos y Familia'!$A$1:$C$623,2,FALSE)</f>
        <v>43</v>
      </c>
      <c r="I502" s="12" t="str">
        <f t="shared" si="1"/>
        <v>Ficus citrifolia</v>
      </c>
      <c r="J502" s="10" t="str">
        <f t="shared" si="2"/>
        <v>504 Ficus citrifolia</v>
      </c>
      <c r="K502" s="10" t="str">
        <f t="shared" si="3"/>
        <v>Higueron</v>
      </c>
      <c r="L502" s="10" t="str">
        <f t="shared" si="4"/>
        <v>504 Higueron</v>
      </c>
      <c r="M502" s="10" t="s">
        <v>35</v>
      </c>
      <c r="N502" s="10" t="s">
        <v>36</v>
      </c>
      <c r="O502" s="10" t="s">
        <v>37</v>
      </c>
      <c r="P502" s="10" t="s">
        <v>1428</v>
      </c>
      <c r="Q502" s="13"/>
      <c r="R502" s="13"/>
      <c r="S502" s="13"/>
      <c r="T502" s="13"/>
      <c r="U502" s="13"/>
      <c r="V502" s="13"/>
      <c r="W502" s="16"/>
      <c r="X502" s="13"/>
    </row>
    <row r="503" ht="14.25" customHeight="1">
      <c r="A503" s="10" t="s">
        <v>1364</v>
      </c>
      <c r="B503" s="10" t="s">
        <v>31</v>
      </c>
      <c r="C503" s="10">
        <v>505.0</v>
      </c>
      <c r="D503" s="11" t="s">
        <v>1441</v>
      </c>
      <c r="E503" s="11" t="s">
        <v>1442</v>
      </c>
      <c r="F503" s="11" t="s">
        <v>365</v>
      </c>
      <c r="G503" s="10">
        <v>505.0</v>
      </c>
      <c r="H503" s="10">
        <f>VLOOKUP(F503,'Generos y Familia'!$A$1:$C$623,2,FALSE)</f>
        <v>43</v>
      </c>
      <c r="I503" s="12" t="str">
        <f t="shared" si="1"/>
        <v>Ficus cuatrecasasiana</v>
      </c>
      <c r="J503" s="10" t="str">
        <f t="shared" si="2"/>
        <v>505 Ficus cuatrecasasiana</v>
      </c>
      <c r="K503" s="10" t="str">
        <f t="shared" si="3"/>
        <v>Mata Palo</v>
      </c>
      <c r="L503" s="10" t="str">
        <f t="shared" si="4"/>
        <v>505 Mata Palo</v>
      </c>
      <c r="M503" s="10" t="s">
        <v>46</v>
      </c>
      <c r="N503" s="10" t="s">
        <v>28</v>
      </c>
      <c r="O503" s="10" t="s">
        <v>37</v>
      </c>
      <c r="P503" s="10" t="s">
        <v>1428</v>
      </c>
      <c r="Q503" s="13">
        <v>30.0</v>
      </c>
      <c r="R503" s="13" t="s">
        <v>53</v>
      </c>
      <c r="S503" s="13"/>
      <c r="T503" s="13"/>
      <c r="U503" s="13"/>
      <c r="V503" s="13"/>
      <c r="W503" s="16"/>
      <c r="X503" s="13"/>
    </row>
    <row r="504" ht="14.25" customHeight="1">
      <c r="A504" s="10" t="s">
        <v>1364</v>
      </c>
      <c r="B504" s="10" t="s">
        <v>63</v>
      </c>
      <c r="C504" s="10">
        <v>506.0</v>
      </c>
      <c r="D504" s="11" t="s">
        <v>1443</v>
      </c>
      <c r="E504" s="11" t="s">
        <v>1444</v>
      </c>
      <c r="F504" s="11" t="s">
        <v>365</v>
      </c>
      <c r="G504" s="10">
        <v>506.0</v>
      </c>
      <c r="H504" s="10">
        <f>VLOOKUP(F504,'Generos y Familia'!$A$1:$C$623,2,FALSE)</f>
        <v>43</v>
      </c>
      <c r="I504" s="12" t="str">
        <f t="shared" si="1"/>
        <v>Ficus dendrocida</v>
      </c>
      <c r="J504" s="10" t="str">
        <f t="shared" si="2"/>
        <v>506 Ficus dendrocida</v>
      </c>
      <c r="K504" s="10" t="str">
        <f t="shared" si="3"/>
        <v>Caucho Matapalo; Matapalo; Suan; Abrazapalo; Higuerón; Caucho</v>
      </c>
      <c r="L504" s="10" t="str">
        <f t="shared" si="4"/>
        <v>506 Caucho Matapalo; Matapalo; Suan; Abrazapalo; Higuerón; Caucho</v>
      </c>
      <c r="M504" s="10" t="s">
        <v>35</v>
      </c>
      <c r="N504" s="10" t="s">
        <v>36</v>
      </c>
      <c r="O504" s="10" t="s">
        <v>37</v>
      </c>
      <c r="P504" s="10" t="s">
        <v>1428</v>
      </c>
      <c r="Q504" s="13">
        <v>20.0</v>
      </c>
      <c r="R504" s="13" t="s">
        <v>53</v>
      </c>
      <c r="S504" s="13"/>
      <c r="T504" s="13"/>
      <c r="U504" s="13" t="s">
        <v>55</v>
      </c>
      <c r="V504" s="13"/>
      <c r="W504" s="13"/>
      <c r="X504" s="13"/>
    </row>
    <row r="505" ht="14.25" customHeight="1">
      <c r="A505" s="10" t="s">
        <v>1364</v>
      </c>
      <c r="B505" s="10" t="s">
        <v>31</v>
      </c>
      <c r="C505" s="10">
        <v>507.0</v>
      </c>
      <c r="D505" s="11" t="s">
        <v>1445</v>
      </c>
      <c r="E505" s="11" t="s">
        <v>1446</v>
      </c>
      <c r="F505" s="11" t="s">
        <v>365</v>
      </c>
      <c r="G505" s="10">
        <v>507.0</v>
      </c>
      <c r="H505" s="10">
        <f>VLOOKUP(F505,'Generos y Familia'!$A$1:$C$623,2,FALSE)</f>
        <v>43</v>
      </c>
      <c r="I505" s="12" t="str">
        <f t="shared" si="1"/>
        <v>Ficus dulciaria</v>
      </c>
      <c r="J505" s="10" t="str">
        <f t="shared" si="2"/>
        <v>507 Ficus dulciaria</v>
      </c>
      <c r="K505" s="10" t="str">
        <f t="shared" si="3"/>
        <v>Higuerón Guayabo; Higuerón; Breva de Monte</v>
      </c>
      <c r="L505" s="10" t="str">
        <f t="shared" si="4"/>
        <v>507 Higuerón Guayabo; Higuerón; Breva de Monte</v>
      </c>
      <c r="M505" s="10" t="s">
        <v>35</v>
      </c>
      <c r="N505" s="10" t="s">
        <v>36</v>
      </c>
      <c r="O505" s="10" t="s">
        <v>37</v>
      </c>
      <c r="P505" s="10" t="s">
        <v>1428</v>
      </c>
      <c r="Q505" s="13">
        <v>15.0</v>
      </c>
      <c r="R505" s="13" t="s">
        <v>53</v>
      </c>
      <c r="S505" s="13"/>
      <c r="T505" s="13"/>
      <c r="U505" s="13"/>
      <c r="V505" s="13"/>
      <c r="W505" s="13"/>
      <c r="X505" s="13"/>
    </row>
    <row r="506" ht="14.25" customHeight="1">
      <c r="A506" s="10" t="s">
        <v>1364</v>
      </c>
      <c r="B506" s="10" t="s">
        <v>31</v>
      </c>
      <c r="C506" s="10">
        <v>508.0</v>
      </c>
      <c r="D506" s="11" t="s">
        <v>1447</v>
      </c>
      <c r="E506" s="11" t="s">
        <v>1448</v>
      </c>
      <c r="F506" s="11" t="s">
        <v>365</v>
      </c>
      <c r="G506" s="10">
        <v>508.0</v>
      </c>
      <c r="H506" s="10">
        <f>VLOOKUP(F506,'Generos y Familia'!$A$1:$C$623,2,FALSE)</f>
        <v>43</v>
      </c>
      <c r="I506" s="12" t="str">
        <f t="shared" si="1"/>
        <v>Ficus elastica</v>
      </c>
      <c r="J506" s="10" t="str">
        <f t="shared" si="2"/>
        <v>508 Ficus elastica</v>
      </c>
      <c r="K506" s="10" t="str">
        <f t="shared" si="3"/>
        <v>Caucho; Caucho de la India; Falso Caucho; Lechón</v>
      </c>
      <c r="L506" s="10" t="str">
        <f t="shared" si="4"/>
        <v>508 Caucho; Caucho de la India; Falso Caucho; Lechón</v>
      </c>
      <c r="M506" s="10" t="s">
        <v>46</v>
      </c>
      <c r="N506" s="10" t="s">
        <v>36</v>
      </c>
      <c r="O506" s="10" t="s">
        <v>37</v>
      </c>
      <c r="P506" s="10" t="s">
        <v>1428</v>
      </c>
      <c r="Q506" s="17" t="s">
        <v>54</v>
      </c>
      <c r="R506" s="14" t="s">
        <v>39</v>
      </c>
      <c r="S506" s="17" t="s">
        <v>1331</v>
      </c>
      <c r="T506" s="14" t="s">
        <v>39</v>
      </c>
      <c r="U506" s="14" t="s">
        <v>40</v>
      </c>
      <c r="V506" s="14">
        <v>0.62</v>
      </c>
      <c r="W506" s="17" t="s">
        <v>379</v>
      </c>
      <c r="X506" s="14"/>
    </row>
    <row r="507" ht="14.25" customHeight="1">
      <c r="A507" s="10" t="s">
        <v>1364</v>
      </c>
      <c r="B507" s="10" t="s">
        <v>31</v>
      </c>
      <c r="C507" s="10">
        <v>509.0</v>
      </c>
      <c r="D507" s="11" t="s">
        <v>1449</v>
      </c>
      <c r="E507" s="11" t="s">
        <v>1450</v>
      </c>
      <c r="F507" s="11" t="s">
        <v>365</v>
      </c>
      <c r="G507" s="10">
        <v>509.0</v>
      </c>
      <c r="H507" s="10">
        <f>VLOOKUP(F507,'Generos y Familia'!$A$1:$C$623,2,FALSE)</f>
        <v>43</v>
      </c>
      <c r="I507" s="12" t="str">
        <f t="shared" si="1"/>
        <v>Ficus hartwegii</v>
      </c>
      <c r="J507" s="10" t="str">
        <f t="shared" si="2"/>
        <v>509 Ficus hartwegii</v>
      </c>
      <c r="K507" s="10" t="str">
        <f t="shared" si="3"/>
        <v>Caucho; Cauchito; Caucho Higuerón; Caucho Rosado; Lechero</v>
      </c>
      <c r="L507" s="10" t="str">
        <f t="shared" si="4"/>
        <v>509 Caucho; Cauchito; Caucho Higuerón; Caucho Rosado; Lechero</v>
      </c>
      <c r="M507" s="10" t="s">
        <v>35</v>
      </c>
      <c r="N507" s="10" t="s">
        <v>36</v>
      </c>
      <c r="O507" s="10" t="s">
        <v>37</v>
      </c>
      <c r="P507" s="10" t="s">
        <v>1428</v>
      </c>
      <c r="Q507" s="13">
        <v>15.0</v>
      </c>
      <c r="R507" s="13" t="s">
        <v>53</v>
      </c>
      <c r="S507" s="13"/>
      <c r="T507" s="13"/>
      <c r="U507" s="13" t="s">
        <v>55</v>
      </c>
      <c r="V507" s="13"/>
      <c r="W507" s="13"/>
      <c r="X507" s="13"/>
    </row>
    <row r="508" ht="14.25" customHeight="1">
      <c r="A508" s="10" t="s">
        <v>1364</v>
      </c>
      <c r="B508" s="10" t="s">
        <v>31</v>
      </c>
      <c r="C508" s="10">
        <v>510.0</v>
      </c>
      <c r="D508" s="11" t="s">
        <v>1451</v>
      </c>
      <c r="E508" s="11" t="s">
        <v>1452</v>
      </c>
      <c r="F508" s="11" t="s">
        <v>365</v>
      </c>
      <c r="G508" s="10">
        <v>510.0</v>
      </c>
      <c r="H508" s="10">
        <f>VLOOKUP(F508,'Generos y Familia'!$A$1:$C$623,2,FALSE)</f>
        <v>43</v>
      </c>
      <c r="I508" s="12" t="str">
        <f t="shared" si="1"/>
        <v>Ficus ingens</v>
      </c>
      <c r="J508" s="10" t="str">
        <f t="shared" si="2"/>
        <v>510 Ficus ingens</v>
      </c>
      <c r="K508" s="10" t="str">
        <f t="shared" si="3"/>
        <v>Higo</v>
      </c>
      <c r="L508" s="10" t="str">
        <f t="shared" si="4"/>
        <v>510 Higo</v>
      </c>
      <c r="M508" s="10" t="s">
        <v>46</v>
      </c>
      <c r="N508" s="10" t="s">
        <v>28</v>
      </c>
      <c r="O508" s="10" t="s">
        <v>37</v>
      </c>
      <c r="P508" s="10" t="s">
        <v>1428</v>
      </c>
      <c r="Q508" s="13"/>
      <c r="R508" s="13"/>
      <c r="S508" s="13"/>
      <c r="T508" s="13"/>
      <c r="U508" s="13"/>
      <c r="V508" s="13"/>
      <c r="W508" s="13"/>
      <c r="X508" s="13"/>
    </row>
    <row r="509" ht="14.25" customHeight="1">
      <c r="A509" s="10" t="s">
        <v>1364</v>
      </c>
      <c r="B509" s="10" t="s">
        <v>31</v>
      </c>
      <c r="C509" s="10">
        <v>511.0</v>
      </c>
      <c r="D509" s="11" t="s">
        <v>1453</v>
      </c>
      <c r="E509" s="11" t="s">
        <v>1454</v>
      </c>
      <c r="F509" s="11" t="s">
        <v>365</v>
      </c>
      <c r="G509" s="10">
        <v>511.0</v>
      </c>
      <c r="H509" s="10">
        <f>VLOOKUP(F509,'Generos y Familia'!$A$1:$C$623,2,FALSE)</f>
        <v>43</v>
      </c>
      <c r="I509" s="12" t="str">
        <f t="shared" si="1"/>
        <v>Ficus insipida</v>
      </c>
      <c r="J509" s="10" t="str">
        <f t="shared" si="2"/>
        <v>511 Ficus insipida</v>
      </c>
      <c r="K509" s="10" t="str">
        <f t="shared" si="3"/>
        <v>Higuerón; Matapalo; Ojé; Copé; Caucho Glabrata; Caucho Incipida</v>
      </c>
      <c r="L509" s="10" t="str">
        <f t="shared" si="4"/>
        <v>511 Higuerón; Matapalo; Ojé; Copé; Caucho Glabrata; Caucho Incipida</v>
      </c>
      <c r="M509" s="10" t="s">
        <v>35</v>
      </c>
      <c r="N509" s="10" t="s">
        <v>36</v>
      </c>
      <c r="O509" s="10" t="s">
        <v>37</v>
      </c>
      <c r="P509" s="10" t="s">
        <v>1428</v>
      </c>
      <c r="Q509" s="17" t="s">
        <v>106</v>
      </c>
      <c r="R509" s="14" t="s">
        <v>39</v>
      </c>
      <c r="S509" s="17" t="s">
        <v>290</v>
      </c>
      <c r="T509" s="14"/>
      <c r="U509" s="14" t="s">
        <v>55</v>
      </c>
      <c r="V509" s="14"/>
      <c r="W509" s="17"/>
      <c r="X509" s="14" t="s">
        <v>41</v>
      </c>
    </row>
    <row r="510" ht="14.25" customHeight="1">
      <c r="A510" s="10" t="s">
        <v>1364</v>
      </c>
      <c r="B510" s="10" t="s">
        <v>31</v>
      </c>
      <c r="C510" s="10">
        <v>512.0</v>
      </c>
      <c r="D510" s="11" t="s">
        <v>1455</v>
      </c>
      <c r="E510" s="11" t="s">
        <v>1456</v>
      </c>
      <c r="F510" s="11" t="s">
        <v>365</v>
      </c>
      <c r="G510" s="10">
        <v>512.0</v>
      </c>
      <c r="H510" s="10">
        <f>VLOOKUP(F510,'Generos y Familia'!$A$1:$C$623,2,FALSE)</f>
        <v>43</v>
      </c>
      <c r="I510" s="12" t="str">
        <f t="shared" si="1"/>
        <v>Ficus involuta</v>
      </c>
      <c r="J510" s="10" t="str">
        <f t="shared" si="2"/>
        <v>512 Ficus involuta</v>
      </c>
      <c r="K510" s="10" t="str">
        <f t="shared" si="3"/>
        <v>Caucho; Higuero; Lechero</v>
      </c>
      <c r="L510" s="10" t="str">
        <f t="shared" si="4"/>
        <v>512 Caucho; Higuero; Lechero</v>
      </c>
      <c r="M510" s="10" t="s">
        <v>35</v>
      </c>
      <c r="N510" s="10" t="s">
        <v>36</v>
      </c>
      <c r="O510" s="10" t="s">
        <v>37</v>
      </c>
      <c r="P510" s="10" t="s">
        <v>1428</v>
      </c>
      <c r="Q510" s="13"/>
      <c r="R510" s="13"/>
      <c r="S510" s="13"/>
      <c r="T510" s="13"/>
      <c r="U510" s="13"/>
      <c r="V510" s="13"/>
      <c r="W510" s="16"/>
      <c r="X510" s="13"/>
    </row>
    <row r="511" ht="14.25" customHeight="1">
      <c r="A511" s="10" t="s">
        <v>1364</v>
      </c>
      <c r="B511" s="10" t="s">
        <v>31</v>
      </c>
      <c r="C511" s="10">
        <v>513.0</v>
      </c>
      <c r="D511" s="11" t="s">
        <v>1457</v>
      </c>
      <c r="E511" s="11" t="s">
        <v>1458</v>
      </c>
      <c r="F511" s="11" t="s">
        <v>365</v>
      </c>
      <c r="G511" s="10">
        <v>513.0</v>
      </c>
      <c r="H511" s="10">
        <f>VLOOKUP(F511,'Generos y Familia'!$A$1:$C$623,2,FALSE)</f>
        <v>43</v>
      </c>
      <c r="I511" s="12" t="str">
        <f t="shared" si="1"/>
        <v>Ficus longifolia</v>
      </c>
      <c r="J511" s="10" t="str">
        <f t="shared" si="2"/>
        <v>513 Ficus longifolia</v>
      </c>
      <c r="K511" s="10" t="str">
        <f t="shared" si="3"/>
        <v>Lechero; Matapalo Guayanés</v>
      </c>
      <c r="L511" s="10" t="str">
        <f t="shared" si="4"/>
        <v>513 Lechero; Matapalo Guayanés</v>
      </c>
      <c r="M511" s="10" t="s">
        <v>46</v>
      </c>
      <c r="N511" s="10" t="s">
        <v>36</v>
      </c>
      <c r="O511" s="10" t="s">
        <v>37</v>
      </c>
      <c r="P511" s="10" t="s">
        <v>1428</v>
      </c>
      <c r="Q511" s="13">
        <v>20.0</v>
      </c>
      <c r="R511" s="13" t="s">
        <v>53</v>
      </c>
      <c r="S511" s="13"/>
      <c r="T511" s="13"/>
      <c r="U511" s="13" t="s">
        <v>55</v>
      </c>
      <c r="V511" s="13"/>
      <c r="W511" s="13"/>
      <c r="X511" s="13"/>
    </row>
    <row r="512" ht="14.25" customHeight="1">
      <c r="A512" s="10" t="s">
        <v>1364</v>
      </c>
      <c r="B512" s="10" t="s">
        <v>31</v>
      </c>
      <c r="C512" s="10">
        <v>514.0</v>
      </c>
      <c r="D512" s="11" t="s">
        <v>1459</v>
      </c>
      <c r="E512" s="11" t="s">
        <v>1460</v>
      </c>
      <c r="F512" s="11" t="s">
        <v>365</v>
      </c>
      <c r="G512" s="10">
        <v>514.0</v>
      </c>
      <c r="H512" s="10">
        <f>VLOOKUP(F512,'Generos y Familia'!$A$1:$C$623,2,FALSE)</f>
        <v>43</v>
      </c>
      <c r="I512" s="12" t="str">
        <f t="shared" si="1"/>
        <v>Ficus lyrata</v>
      </c>
      <c r="J512" s="10" t="str">
        <f t="shared" si="2"/>
        <v>514 Ficus lyrata</v>
      </c>
      <c r="K512" s="10" t="str">
        <f t="shared" si="3"/>
        <v>Pandurata; Caucho Lira; Lirata; Ficus Lira</v>
      </c>
      <c r="L512" s="10" t="str">
        <f t="shared" si="4"/>
        <v>514 Pandurata; Caucho Lira; Lirata; Ficus Lira</v>
      </c>
      <c r="M512" s="10" t="s">
        <v>46</v>
      </c>
      <c r="N512" s="10" t="s">
        <v>36</v>
      </c>
      <c r="O512" s="10" t="s">
        <v>47</v>
      </c>
      <c r="P512" s="10" t="s">
        <v>1428</v>
      </c>
      <c r="Q512" s="14">
        <v>15.0</v>
      </c>
      <c r="R512" s="14" t="s">
        <v>39</v>
      </c>
      <c r="S512" s="17" t="s">
        <v>290</v>
      </c>
      <c r="T512" s="14" t="s">
        <v>39</v>
      </c>
      <c r="U512" s="14" t="s">
        <v>55</v>
      </c>
      <c r="V512" s="14"/>
      <c r="W512" s="17"/>
      <c r="X512" s="14"/>
    </row>
    <row r="513" ht="14.25" customHeight="1">
      <c r="A513" s="10" t="s">
        <v>1364</v>
      </c>
      <c r="B513" s="10" t="s">
        <v>63</v>
      </c>
      <c r="C513" s="10">
        <v>515.0</v>
      </c>
      <c r="D513" s="11" t="s">
        <v>1461</v>
      </c>
      <c r="E513" s="11" t="s">
        <v>1462</v>
      </c>
      <c r="F513" s="11" t="s">
        <v>365</v>
      </c>
      <c r="G513" s="10">
        <v>515.0</v>
      </c>
      <c r="H513" s="10">
        <f>VLOOKUP(F513,'Generos y Familia'!$A$1:$C$623,2,FALSE)</f>
        <v>43</v>
      </c>
      <c r="I513" s="12" t="str">
        <f t="shared" si="1"/>
        <v>Ficus microcarpa</v>
      </c>
      <c r="J513" s="10" t="str">
        <f t="shared" si="2"/>
        <v>515 Ficus microcarpa</v>
      </c>
      <c r="K513" s="10" t="str">
        <f t="shared" si="3"/>
        <v>Caucho Microcarpa; Caucho; Matapalo</v>
      </c>
      <c r="L513" s="10" t="str">
        <f t="shared" si="4"/>
        <v>515 Caucho Microcarpa; Caucho; Matapalo</v>
      </c>
      <c r="M513" s="10" t="s">
        <v>46</v>
      </c>
      <c r="N513" s="10" t="s">
        <v>36</v>
      </c>
      <c r="O513" s="10" t="s">
        <v>37</v>
      </c>
      <c r="P513" s="10" t="s">
        <v>1428</v>
      </c>
      <c r="Q513" s="17" t="s">
        <v>612</v>
      </c>
      <c r="R513" s="14" t="s">
        <v>39</v>
      </c>
      <c r="S513" s="17" t="s">
        <v>1463</v>
      </c>
      <c r="T513" s="14"/>
      <c r="U513" s="14" t="s">
        <v>55</v>
      </c>
      <c r="V513" s="14"/>
      <c r="W513" s="17"/>
      <c r="X513" s="14" t="s">
        <v>41</v>
      </c>
    </row>
    <row r="514" ht="14.25" customHeight="1">
      <c r="A514" s="10" t="s">
        <v>1364</v>
      </c>
      <c r="B514" s="10" t="s">
        <v>31</v>
      </c>
      <c r="C514" s="10">
        <v>516.0</v>
      </c>
      <c r="D514" s="11" t="s">
        <v>1464</v>
      </c>
      <c r="E514" s="11" t="s">
        <v>1465</v>
      </c>
      <c r="F514" s="11" t="s">
        <v>365</v>
      </c>
      <c r="G514" s="10">
        <v>516.0</v>
      </c>
      <c r="H514" s="10">
        <f>VLOOKUP(F514,'Generos y Familia'!$A$1:$C$623,2,FALSE)</f>
        <v>43</v>
      </c>
      <c r="I514" s="12" t="str">
        <f t="shared" si="1"/>
        <v>Ficus obtusifolia</v>
      </c>
      <c r="J514" s="10" t="str">
        <f t="shared" si="2"/>
        <v>516 Ficus obtusifolia</v>
      </c>
      <c r="K514" s="10" t="str">
        <f t="shared" si="3"/>
        <v>Amate; Higuerón; Caucho; Matapalo; Herrerún; Lechero</v>
      </c>
      <c r="L514" s="10" t="str">
        <f t="shared" si="4"/>
        <v>516 Amate; Higuerón; Caucho; Matapalo; Herrerún; Lechero</v>
      </c>
      <c r="M514" s="10" t="s">
        <v>35</v>
      </c>
      <c r="N514" s="10" t="s">
        <v>36</v>
      </c>
      <c r="O514" s="10" t="s">
        <v>47</v>
      </c>
      <c r="P514" s="10" t="s">
        <v>1428</v>
      </c>
      <c r="Q514" s="13">
        <v>22.0</v>
      </c>
      <c r="R514" s="13" t="s">
        <v>53</v>
      </c>
      <c r="S514" s="13"/>
      <c r="T514" s="13"/>
      <c r="U514" s="13" t="s">
        <v>55</v>
      </c>
      <c r="V514" s="13"/>
      <c r="W514" s="13"/>
      <c r="X514" s="13"/>
    </row>
    <row r="515" ht="14.25" customHeight="1">
      <c r="A515" s="10" t="s">
        <v>1364</v>
      </c>
      <c r="B515" s="10" t="s">
        <v>31</v>
      </c>
      <c r="C515" s="10">
        <v>517.0</v>
      </c>
      <c r="D515" s="11" t="s">
        <v>1466</v>
      </c>
      <c r="E515" s="11" t="s">
        <v>1467</v>
      </c>
      <c r="F515" s="11" t="s">
        <v>365</v>
      </c>
      <c r="G515" s="10">
        <v>517.0</v>
      </c>
      <c r="H515" s="10">
        <f>VLOOKUP(F515,'Generos y Familia'!$A$1:$C$623,2,FALSE)</f>
        <v>43</v>
      </c>
      <c r="I515" s="12" t="str">
        <f t="shared" si="1"/>
        <v>Ficus pertusa</v>
      </c>
      <c r="J515" s="10" t="str">
        <f t="shared" si="2"/>
        <v>517 Ficus pertusa</v>
      </c>
      <c r="K515" s="10" t="str">
        <f t="shared" si="3"/>
        <v>Matapalo; Caucho; Lechudo; Caucho Común</v>
      </c>
      <c r="L515" s="10" t="str">
        <f t="shared" si="4"/>
        <v>517 Matapalo; Caucho; Lechudo; Caucho Común</v>
      </c>
      <c r="M515" s="10" t="s">
        <v>35</v>
      </c>
      <c r="N515" s="10" t="s">
        <v>36</v>
      </c>
      <c r="O515" s="10" t="s">
        <v>37</v>
      </c>
      <c r="P515" s="10" t="s">
        <v>1428</v>
      </c>
      <c r="Q515" s="13">
        <v>25.0</v>
      </c>
      <c r="R515" s="13" t="s">
        <v>53</v>
      </c>
      <c r="S515" s="13"/>
      <c r="T515" s="13"/>
      <c r="U515" s="13" t="s">
        <v>40</v>
      </c>
      <c r="V515" s="13"/>
      <c r="W515" s="13"/>
      <c r="X515" s="13"/>
    </row>
    <row r="516" ht="14.25" customHeight="1">
      <c r="A516" s="10" t="s">
        <v>1364</v>
      </c>
      <c r="B516" s="10" t="s">
        <v>31</v>
      </c>
      <c r="C516" s="10">
        <v>518.0</v>
      </c>
      <c r="D516" s="11" t="s">
        <v>1468</v>
      </c>
      <c r="E516" s="11" t="s">
        <v>1469</v>
      </c>
      <c r="F516" s="11" t="s">
        <v>365</v>
      </c>
      <c r="G516" s="10">
        <v>518.0</v>
      </c>
      <c r="H516" s="10">
        <f>VLOOKUP(F516,'Generos y Familia'!$A$1:$C$623,2,FALSE)</f>
        <v>43</v>
      </c>
      <c r="I516" s="12" t="str">
        <f t="shared" si="1"/>
        <v>Ficus religiosa</v>
      </c>
      <c r="J516" s="10" t="str">
        <f t="shared" si="2"/>
        <v>518 Ficus religiosa</v>
      </c>
      <c r="K516" s="10" t="str">
        <f t="shared" si="3"/>
        <v>Caucho de la India; Ficus; Caucho Acorazonado</v>
      </c>
      <c r="L516" s="10" t="str">
        <f t="shared" si="4"/>
        <v>518 Caucho de la India; Ficus; Caucho Acorazonado</v>
      </c>
      <c r="M516" s="10" t="s">
        <v>46</v>
      </c>
      <c r="N516" s="10" t="s">
        <v>36</v>
      </c>
      <c r="O516" s="10" t="s">
        <v>37</v>
      </c>
      <c r="P516" s="10" t="s">
        <v>1428</v>
      </c>
      <c r="Q516" s="13">
        <v>19.0</v>
      </c>
      <c r="R516" s="13" t="s">
        <v>53</v>
      </c>
      <c r="S516" s="13"/>
      <c r="T516" s="13"/>
      <c r="U516" s="13" t="s">
        <v>55</v>
      </c>
      <c r="V516" s="13"/>
      <c r="W516" s="13"/>
      <c r="X516" s="13"/>
    </row>
    <row r="517" ht="14.25" customHeight="1">
      <c r="A517" s="10" t="s">
        <v>1364</v>
      </c>
      <c r="B517" s="10" t="s">
        <v>31</v>
      </c>
      <c r="C517" s="10">
        <v>519.0</v>
      </c>
      <c r="D517" s="11" t="s">
        <v>1470</v>
      </c>
      <c r="E517" s="11" t="s">
        <v>1471</v>
      </c>
      <c r="F517" s="11" t="s">
        <v>365</v>
      </c>
      <c r="G517" s="10">
        <v>519.0</v>
      </c>
      <c r="H517" s="10">
        <f>VLOOKUP(F517,'Generos y Familia'!$A$1:$C$623,2,FALSE)</f>
        <v>43</v>
      </c>
      <c r="I517" s="12" t="str">
        <f t="shared" si="1"/>
        <v>Ficus retusa</v>
      </c>
      <c r="J517" s="10" t="str">
        <f t="shared" si="2"/>
        <v>519 Ficus retusa</v>
      </c>
      <c r="K517" s="10" t="str">
        <f t="shared" si="3"/>
        <v>Pivijay; Caucho</v>
      </c>
      <c r="L517" s="10" t="str">
        <f t="shared" si="4"/>
        <v>519 Pivijay; Caucho</v>
      </c>
      <c r="M517" s="10" t="s">
        <v>46</v>
      </c>
      <c r="N517" s="10" t="s">
        <v>36</v>
      </c>
      <c r="O517" s="10" t="s">
        <v>37</v>
      </c>
      <c r="P517" s="10" t="s">
        <v>1428</v>
      </c>
      <c r="Q517" s="17" t="s">
        <v>338</v>
      </c>
      <c r="R517" s="14" t="s">
        <v>39</v>
      </c>
      <c r="S517" s="17" t="s">
        <v>1463</v>
      </c>
      <c r="T517" s="14"/>
      <c r="U517" s="14" t="s">
        <v>55</v>
      </c>
      <c r="V517" s="14"/>
      <c r="W517" s="17"/>
      <c r="X517" s="14" t="s">
        <v>41</v>
      </c>
    </row>
    <row r="518" ht="14.25" customHeight="1">
      <c r="A518" s="10" t="s">
        <v>1364</v>
      </c>
      <c r="B518" s="10" t="s">
        <v>31</v>
      </c>
      <c r="C518" s="10">
        <v>520.0</v>
      </c>
      <c r="D518" s="11" t="s">
        <v>1472</v>
      </c>
      <c r="E518" s="11" t="s">
        <v>1473</v>
      </c>
      <c r="F518" s="11" t="s">
        <v>365</v>
      </c>
      <c r="G518" s="10">
        <v>520.0</v>
      </c>
      <c r="H518" s="10">
        <f>VLOOKUP(F518,'Generos y Familia'!$A$1:$C$623,2,FALSE)</f>
        <v>43</v>
      </c>
      <c r="I518" s="12" t="str">
        <f t="shared" si="1"/>
        <v>Ficus sp</v>
      </c>
      <c r="J518" s="10" t="str">
        <f t="shared" si="2"/>
        <v>520 Ficus sp</v>
      </c>
      <c r="K518" s="10" t="str">
        <f t="shared" si="3"/>
        <v>Mata Palos; Higuerón; Lechudo</v>
      </c>
      <c r="L518" s="10" t="str">
        <f t="shared" si="4"/>
        <v>520 Mata Palos; Higuerón; Lechudo</v>
      </c>
      <c r="M518" s="10" t="s">
        <v>46</v>
      </c>
      <c r="N518" s="10" t="s">
        <v>36</v>
      </c>
      <c r="O518" s="10" t="s">
        <v>37</v>
      </c>
      <c r="P518" s="10" t="s">
        <v>1428</v>
      </c>
      <c r="Q518" s="13" t="s">
        <v>180</v>
      </c>
      <c r="R518" s="13"/>
      <c r="S518" s="13" t="s">
        <v>1474</v>
      </c>
      <c r="T518" s="13"/>
      <c r="U518" s="13" t="s">
        <v>55</v>
      </c>
      <c r="V518" s="13"/>
      <c r="W518" s="10"/>
      <c r="X518" s="14" t="s">
        <v>41</v>
      </c>
    </row>
    <row r="519" ht="14.25" customHeight="1">
      <c r="A519" s="10" t="s">
        <v>1364</v>
      </c>
      <c r="B519" s="10" t="s">
        <v>31</v>
      </c>
      <c r="C519" s="10">
        <v>521.0</v>
      </c>
      <c r="D519" s="11" t="s">
        <v>1475</v>
      </c>
      <c r="E519" s="11" t="s">
        <v>1476</v>
      </c>
      <c r="F519" s="11" t="s">
        <v>365</v>
      </c>
      <c r="G519" s="10">
        <v>521.0</v>
      </c>
      <c r="H519" s="10">
        <f>VLOOKUP(F519,'Generos y Familia'!$A$1:$C$623,2,FALSE)</f>
        <v>43</v>
      </c>
      <c r="I519" s="12" t="str">
        <f t="shared" si="1"/>
        <v>Ficus sur</v>
      </c>
      <c r="J519" s="10" t="str">
        <f t="shared" si="2"/>
        <v>521 Ficus sur</v>
      </c>
      <c r="K519" s="10" t="str">
        <f t="shared" si="3"/>
        <v>Caucho</v>
      </c>
      <c r="L519" s="10" t="str">
        <f t="shared" si="4"/>
        <v>521 Caucho</v>
      </c>
      <c r="M519" s="10" t="s">
        <v>46</v>
      </c>
      <c r="N519" s="10" t="s">
        <v>36</v>
      </c>
      <c r="O519" s="10" t="s">
        <v>37</v>
      </c>
      <c r="P519" s="10" t="s">
        <v>1428</v>
      </c>
      <c r="Q519" s="17" t="s">
        <v>54</v>
      </c>
      <c r="R519" s="14" t="s">
        <v>39</v>
      </c>
      <c r="S519" s="17" t="s">
        <v>1463</v>
      </c>
      <c r="T519" s="14"/>
      <c r="U519" s="14" t="s">
        <v>55</v>
      </c>
      <c r="V519" s="14"/>
      <c r="W519" s="17"/>
      <c r="X519" s="14" t="s">
        <v>41</v>
      </c>
    </row>
    <row r="520" ht="14.25" customHeight="1">
      <c r="A520" s="10" t="s">
        <v>1364</v>
      </c>
      <c r="B520" s="10" t="s">
        <v>31</v>
      </c>
      <c r="C520" s="10">
        <v>522.0</v>
      </c>
      <c r="D520" s="11" t="s">
        <v>1477</v>
      </c>
      <c r="E520" s="11" t="s">
        <v>1478</v>
      </c>
      <c r="F520" s="11" t="s">
        <v>365</v>
      </c>
      <c r="G520" s="10">
        <v>522.0</v>
      </c>
      <c r="H520" s="10">
        <f>VLOOKUP(F520,'Generos y Familia'!$A$1:$C$623,2,FALSE)</f>
        <v>43</v>
      </c>
      <c r="I520" s="12" t="str">
        <f t="shared" si="1"/>
        <v>Ficus tequendamae</v>
      </c>
      <c r="J520" s="10" t="str">
        <f t="shared" si="2"/>
        <v>522 Ficus tequendamae</v>
      </c>
      <c r="K520" s="10" t="str">
        <f t="shared" si="3"/>
        <v>Caucho Tequendama; Caucho</v>
      </c>
      <c r="L520" s="10" t="str">
        <f t="shared" si="4"/>
        <v>522 Caucho Tequendama; Caucho</v>
      </c>
      <c r="M520" s="10" t="s">
        <v>35</v>
      </c>
      <c r="N520" s="10" t="s">
        <v>36</v>
      </c>
      <c r="O520" s="10" t="s">
        <v>37</v>
      </c>
      <c r="P520" s="10" t="s">
        <v>1428</v>
      </c>
      <c r="Q520" s="13">
        <v>40.0</v>
      </c>
      <c r="R520" s="13" t="s">
        <v>53</v>
      </c>
      <c r="S520" s="13"/>
      <c r="T520" s="13"/>
      <c r="U520" s="13" t="s">
        <v>40</v>
      </c>
      <c r="V520" s="13"/>
      <c r="W520" s="13"/>
      <c r="X520" s="13"/>
    </row>
    <row r="521" ht="14.25" customHeight="1">
      <c r="A521" s="10" t="s">
        <v>1364</v>
      </c>
      <c r="B521" s="10" t="s">
        <v>31</v>
      </c>
      <c r="C521" s="10">
        <v>523.0</v>
      </c>
      <c r="D521" s="11" t="s">
        <v>1479</v>
      </c>
      <c r="E521" s="11" t="s">
        <v>1480</v>
      </c>
      <c r="F521" s="11" t="s">
        <v>365</v>
      </c>
      <c r="G521" s="10">
        <v>523.0</v>
      </c>
      <c r="H521" s="10">
        <f>VLOOKUP(F521,'Generos y Familia'!$A$1:$C$623,2,FALSE)</f>
        <v>43</v>
      </c>
      <c r="I521" s="12" t="str">
        <f t="shared" si="1"/>
        <v>Ficus tonduzii</v>
      </c>
      <c r="J521" s="10" t="str">
        <f t="shared" si="2"/>
        <v>523 Ficus tonduzii</v>
      </c>
      <c r="K521" s="10" t="str">
        <f t="shared" si="3"/>
        <v>Higuerón; Caucho; Higuerón Grande; Caucho Tonduzii</v>
      </c>
      <c r="L521" s="10" t="str">
        <f t="shared" si="4"/>
        <v>523 Higuerón; Caucho; Higuerón Grande; Caucho Tonduzii</v>
      </c>
      <c r="M521" s="10" t="s">
        <v>35</v>
      </c>
      <c r="N521" s="10" t="s">
        <v>36</v>
      </c>
      <c r="O521" s="10" t="s">
        <v>37</v>
      </c>
      <c r="P521" s="10" t="s">
        <v>1428</v>
      </c>
      <c r="Q521" s="13">
        <v>20.0</v>
      </c>
      <c r="R521" s="13" t="s">
        <v>53</v>
      </c>
      <c r="S521" s="13"/>
      <c r="T521" s="13"/>
      <c r="U521" s="13" t="s">
        <v>55</v>
      </c>
      <c r="V521" s="13"/>
      <c r="W521" s="13"/>
      <c r="X521" s="13"/>
    </row>
    <row r="522" ht="14.25" customHeight="1">
      <c r="A522" s="10" t="s">
        <v>1364</v>
      </c>
      <c r="B522" s="10" t="s">
        <v>31</v>
      </c>
      <c r="C522" s="10">
        <v>524.0</v>
      </c>
      <c r="D522" s="11" t="s">
        <v>1481</v>
      </c>
      <c r="E522" s="11" t="s">
        <v>1482</v>
      </c>
      <c r="F522" s="11" t="s">
        <v>365</v>
      </c>
      <c r="G522" s="10">
        <v>524.0</v>
      </c>
      <c r="H522" s="10">
        <f>VLOOKUP(F522,'Generos y Familia'!$A$1:$C$623,2,FALSE)</f>
        <v>43</v>
      </c>
      <c r="I522" s="12" t="str">
        <f t="shared" si="1"/>
        <v>Ficus variegata</v>
      </c>
      <c r="J522" s="10" t="str">
        <f t="shared" si="2"/>
        <v>524 Ficus variegata</v>
      </c>
      <c r="K522" s="10" t="str">
        <f t="shared" si="3"/>
        <v>Ficus Variegado</v>
      </c>
      <c r="L522" s="10" t="str">
        <f t="shared" si="4"/>
        <v>524 Ficus Variegado</v>
      </c>
      <c r="M522" s="10" t="s">
        <v>46</v>
      </c>
      <c r="N522" s="10" t="s">
        <v>36</v>
      </c>
      <c r="O522" s="10" t="s">
        <v>37</v>
      </c>
      <c r="P522" s="10" t="s">
        <v>1428</v>
      </c>
      <c r="Q522" s="17" t="s">
        <v>54</v>
      </c>
      <c r="R522" s="14" t="s">
        <v>1338</v>
      </c>
      <c r="S522" s="17" t="s">
        <v>1331</v>
      </c>
      <c r="T522" s="14" t="s">
        <v>1338</v>
      </c>
      <c r="U522" s="14" t="s">
        <v>40</v>
      </c>
      <c r="V522" s="14"/>
      <c r="W522" s="17" t="s">
        <v>379</v>
      </c>
      <c r="X522" s="14"/>
    </row>
    <row r="523" ht="14.25" customHeight="1">
      <c r="A523" s="10" t="s">
        <v>1364</v>
      </c>
      <c r="B523" s="10" t="s">
        <v>31</v>
      </c>
      <c r="C523" s="10">
        <v>525.0</v>
      </c>
      <c r="D523" s="11" t="s">
        <v>1483</v>
      </c>
      <c r="E523" s="11" t="s">
        <v>1484</v>
      </c>
      <c r="F523" s="11" t="s">
        <v>762</v>
      </c>
      <c r="G523" s="10">
        <v>525.0</v>
      </c>
      <c r="H523" s="10">
        <f>VLOOKUP(F523,'Generos y Familia'!$A$1:$C$623,2,FALSE)</f>
        <v>82</v>
      </c>
      <c r="I523" s="12" t="str">
        <f t="shared" si="1"/>
        <v>Flacourtia indica</v>
      </c>
      <c r="J523" s="10" t="str">
        <f t="shared" si="2"/>
        <v>525 Flacourtia indica</v>
      </c>
      <c r="K523" s="10" t="str">
        <f t="shared" si="3"/>
        <v>Cerezo del Gobernador; Ciruela del Gobernador; Ciruelo del Gobernador; Uva Lisa</v>
      </c>
      <c r="L523" s="10" t="str">
        <f t="shared" si="4"/>
        <v>525 Cerezo del Gobernador; Ciruela del Gobernador; Ciruelo del Gobernador; Uva Lisa</v>
      </c>
      <c r="M523" s="10" t="s">
        <v>46</v>
      </c>
      <c r="N523" s="10" t="s">
        <v>36</v>
      </c>
      <c r="O523" s="10" t="s">
        <v>37</v>
      </c>
      <c r="P523" s="10" t="s">
        <v>1485</v>
      </c>
      <c r="Q523" s="17" t="s">
        <v>145</v>
      </c>
      <c r="R523" s="14" t="s">
        <v>39</v>
      </c>
      <c r="S523" s="17" t="s">
        <v>379</v>
      </c>
      <c r="T523" s="14" t="s">
        <v>39</v>
      </c>
      <c r="U523" s="14" t="s">
        <v>40</v>
      </c>
      <c r="V523" s="14">
        <v>0.74</v>
      </c>
      <c r="W523" s="18" t="s">
        <v>106</v>
      </c>
      <c r="X523" s="14"/>
    </row>
    <row r="524" ht="14.25" customHeight="1">
      <c r="A524" s="10" t="s">
        <v>1364</v>
      </c>
      <c r="B524" s="10" t="s">
        <v>31</v>
      </c>
      <c r="C524" s="10">
        <v>526.0</v>
      </c>
      <c r="D524" s="11" t="s">
        <v>1486</v>
      </c>
      <c r="E524" s="11" t="s">
        <v>1487</v>
      </c>
      <c r="F524" s="11" t="s">
        <v>1045</v>
      </c>
      <c r="G524" s="10">
        <v>526.0</v>
      </c>
      <c r="H524" s="10">
        <f>VLOOKUP(F524,'Generos y Familia'!$A$1:$C$623,2,FALSE)</f>
        <v>77</v>
      </c>
      <c r="I524" s="12" t="str">
        <f t="shared" si="1"/>
        <v>Frangula caroliniana</v>
      </c>
      <c r="J524" s="10" t="str">
        <f t="shared" si="2"/>
        <v>526 Frangula caroliniana</v>
      </c>
      <c r="K524" s="10" t="str">
        <f t="shared" si="3"/>
        <v>Frángula; Avellanillo; Hediondo; Alno Baccífero; Sangueño; Abiacán</v>
      </c>
      <c r="L524" s="10" t="str">
        <f t="shared" si="4"/>
        <v>526 Frángula; Avellanillo; Hediondo; Alno Baccífero; Sangueño; Abiacán</v>
      </c>
      <c r="M524" s="10" t="s">
        <v>46</v>
      </c>
      <c r="N524" s="10" t="s">
        <v>28</v>
      </c>
      <c r="O524" s="10" t="s">
        <v>47</v>
      </c>
      <c r="P524" s="10" t="s">
        <v>1488</v>
      </c>
      <c r="Q524" s="17" t="s">
        <v>347</v>
      </c>
      <c r="R524" s="14" t="s">
        <v>105</v>
      </c>
      <c r="S524" s="17" t="s">
        <v>145</v>
      </c>
      <c r="T524" s="14"/>
      <c r="U524" s="14" t="s">
        <v>40</v>
      </c>
      <c r="V524" s="14"/>
      <c r="W524" s="18"/>
      <c r="X524" s="17" t="s">
        <v>1489</v>
      </c>
    </row>
    <row r="525" ht="14.25" customHeight="1">
      <c r="A525" s="10" t="s">
        <v>1364</v>
      </c>
      <c r="B525" s="10" t="s">
        <v>31</v>
      </c>
      <c r="C525" s="10">
        <v>527.0</v>
      </c>
      <c r="D525" s="11" t="s">
        <v>1490</v>
      </c>
      <c r="E525" s="11" t="s">
        <v>1491</v>
      </c>
      <c r="F525" s="11" t="s">
        <v>1045</v>
      </c>
      <c r="G525" s="10">
        <v>527.0</v>
      </c>
      <c r="H525" s="10">
        <f>VLOOKUP(F525,'Generos y Familia'!$A$1:$C$623,2,FALSE)</f>
        <v>77</v>
      </c>
      <c r="I525" s="12" t="str">
        <f t="shared" si="1"/>
        <v>Frangula goudotiana</v>
      </c>
      <c r="J525" s="10" t="str">
        <f t="shared" si="2"/>
        <v>527 Frangula goudotiana</v>
      </c>
      <c r="K525" s="10" t="str">
        <f t="shared" si="3"/>
        <v>Ojo de Perdiz; Palo Amarillo; Cabo de Hacha</v>
      </c>
      <c r="L525" s="10" t="str">
        <f t="shared" si="4"/>
        <v>527 Ojo de Perdiz; Palo Amarillo; Cabo de Hacha</v>
      </c>
      <c r="M525" s="10" t="s">
        <v>35</v>
      </c>
      <c r="N525" s="10" t="s">
        <v>36</v>
      </c>
      <c r="O525" s="10" t="s">
        <v>47</v>
      </c>
      <c r="P525" s="10" t="s">
        <v>1488</v>
      </c>
      <c r="Q525" s="13">
        <v>1.0</v>
      </c>
      <c r="R525" s="13" t="s">
        <v>53</v>
      </c>
      <c r="S525" s="13"/>
      <c r="T525" s="13"/>
      <c r="U525" s="13"/>
      <c r="V525" s="13"/>
      <c r="W525" s="13"/>
      <c r="X525" s="13"/>
    </row>
    <row r="526" ht="14.25" customHeight="1">
      <c r="A526" s="10" t="s">
        <v>1364</v>
      </c>
      <c r="B526" s="10" t="s">
        <v>31</v>
      </c>
      <c r="C526" s="10">
        <v>528.0</v>
      </c>
      <c r="D526" s="11" t="s">
        <v>1492</v>
      </c>
      <c r="E526" s="11" t="s">
        <v>1493</v>
      </c>
      <c r="F526" s="11" t="s">
        <v>1045</v>
      </c>
      <c r="G526" s="10">
        <v>528.0</v>
      </c>
      <c r="H526" s="10">
        <f>VLOOKUP(F526,'Generos y Familia'!$A$1:$C$623,2,FALSE)</f>
        <v>77</v>
      </c>
      <c r="I526" s="12" t="str">
        <f t="shared" si="1"/>
        <v>Frangula sphaerosperma</v>
      </c>
      <c r="J526" s="10" t="str">
        <f t="shared" si="2"/>
        <v>528 Frangula sphaerosperma</v>
      </c>
      <c r="K526" s="10" t="str">
        <f t="shared" si="3"/>
        <v>Cabo de Hacha</v>
      </c>
      <c r="L526" s="10" t="str">
        <f t="shared" si="4"/>
        <v>528 Cabo de Hacha</v>
      </c>
      <c r="M526" s="10" t="s">
        <v>35</v>
      </c>
      <c r="N526" s="10" t="s">
        <v>28</v>
      </c>
      <c r="O526" s="10" t="s">
        <v>47</v>
      </c>
      <c r="P526" s="10" t="s">
        <v>1488</v>
      </c>
      <c r="Q526" s="17" t="s">
        <v>347</v>
      </c>
      <c r="R526" s="14"/>
      <c r="S526" s="17" t="s">
        <v>145</v>
      </c>
      <c r="T526" s="14"/>
      <c r="U526" s="14" t="s">
        <v>40</v>
      </c>
      <c r="V526" s="14"/>
      <c r="W526" s="17"/>
      <c r="X526" s="14" t="s">
        <v>41</v>
      </c>
    </row>
    <row r="527" ht="14.25" customHeight="1">
      <c r="A527" s="10" t="s">
        <v>1364</v>
      </c>
      <c r="B527" s="10" t="s">
        <v>31</v>
      </c>
      <c r="C527" s="10">
        <v>529.0</v>
      </c>
      <c r="D527" s="11" t="s">
        <v>1494</v>
      </c>
      <c r="E527" s="11" t="s">
        <v>1495</v>
      </c>
      <c r="F527" s="11" t="s">
        <v>1496</v>
      </c>
      <c r="G527" s="10">
        <v>529.0</v>
      </c>
      <c r="H527" s="10">
        <f>VLOOKUP(F527,'Generos y Familia'!$A$1:$C$623,2,FALSE)</f>
        <v>53</v>
      </c>
      <c r="I527" s="12" t="str">
        <f t="shared" si="1"/>
        <v>Fraxinus americana</v>
      </c>
      <c r="J527" s="10" t="str">
        <f t="shared" si="2"/>
        <v>529 Fraxinus americana</v>
      </c>
      <c r="K527" s="10" t="str">
        <f t="shared" si="3"/>
        <v>Fresno Rojo; Fresno Blanco; Fresno Americano</v>
      </c>
      <c r="L527" s="10" t="str">
        <f t="shared" si="4"/>
        <v>529 Fresno Rojo; Fresno Blanco; Fresno Americano</v>
      </c>
      <c r="M527" s="10" t="s">
        <v>46</v>
      </c>
      <c r="N527" s="10" t="s">
        <v>28</v>
      </c>
      <c r="O527" s="10" t="s">
        <v>37</v>
      </c>
      <c r="P527" s="10" t="s">
        <v>1497</v>
      </c>
      <c r="Q527" s="13">
        <v>27.0</v>
      </c>
      <c r="R527" s="13" t="s">
        <v>53</v>
      </c>
      <c r="S527" s="13"/>
      <c r="T527" s="13"/>
      <c r="U527" s="13" t="s">
        <v>40</v>
      </c>
      <c r="V527" s="13"/>
      <c r="W527" s="16"/>
      <c r="X527" s="13"/>
    </row>
    <row r="528" ht="14.25" customHeight="1">
      <c r="A528" s="10" t="s">
        <v>1364</v>
      </c>
      <c r="B528" s="10" t="s">
        <v>31</v>
      </c>
      <c r="C528" s="10">
        <v>530.0</v>
      </c>
      <c r="D528" s="11" t="s">
        <v>1498</v>
      </c>
      <c r="E528" s="11" t="s">
        <v>1499</v>
      </c>
      <c r="F528" s="11" t="s">
        <v>1496</v>
      </c>
      <c r="G528" s="10">
        <v>530.0</v>
      </c>
      <c r="H528" s="10">
        <f>VLOOKUP(F528,'Generos y Familia'!$A$1:$C$623,2,FALSE)</f>
        <v>53</v>
      </c>
      <c r="I528" s="12" t="str">
        <f t="shared" si="1"/>
        <v>Fraxinus chinensis</v>
      </c>
      <c r="J528" s="10" t="str">
        <f t="shared" si="2"/>
        <v>530 Fraxinus chinensis</v>
      </c>
      <c r="K528" s="10" t="str">
        <f t="shared" si="3"/>
        <v>Urapan; Fresno</v>
      </c>
      <c r="L528" s="10" t="str">
        <f t="shared" si="4"/>
        <v>530 Urapan; Fresno</v>
      </c>
      <c r="M528" s="10" t="s">
        <v>46</v>
      </c>
      <c r="N528" s="10" t="s">
        <v>36</v>
      </c>
      <c r="O528" s="10" t="s">
        <v>37</v>
      </c>
      <c r="P528" s="10" t="s">
        <v>1497</v>
      </c>
      <c r="Q528" s="17" t="s">
        <v>106</v>
      </c>
      <c r="R528" s="14" t="s">
        <v>39</v>
      </c>
      <c r="S528" s="17" t="s">
        <v>821</v>
      </c>
      <c r="T528" s="14"/>
      <c r="U528" s="14" t="s">
        <v>55</v>
      </c>
      <c r="V528" s="14"/>
      <c r="W528" s="18"/>
      <c r="X528" s="14" t="s">
        <v>41</v>
      </c>
    </row>
    <row r="529" ht="14.25" customHeight="1">
      <c r="A529" s="10" t="s">
        <v>1364</v>
      </c>
      <c r="B529" s="10" t="s">
        <v>31</v>
      </c>
      <c r="C529" s="10">
        <v>531.0</v>
      </c>
      <c r="D529" s="11" t="s">
        <v>1500</v>
      </c>
      <c r="E529" s="11" t="s">
        <v>1499</v>
      </c>
      <c r="F529" s="11" t="s">
        <v>1496</v>
      </c>
      <c r="G529" s="10">
        <v>531.0</v>
      </c>
      <c r="H529" s="10">
        <f>VLOOKUP(F529,'Generos y Familia'!$A$1:$C$623,2,FALSE)</f>
        <v>53</v>
      </c>
      <c r="I529" s="12" t="str">
        <f t="shared" si="1"/>
        <v>Fraxinus udhei</v>
      </c>
      <c r="J529" s="10" t="str">
        <f t="shared" si="2"/>
        <v>531 Fraxinus udhei</v>
      </c>
      <c r="K529" s="10" t="str">
        <f t="shared" si="3"/>
        <v>Urapan; Fresno</v>
      </c>
      <c r="L529" s="10" t="str">
        <f t="shared" si="4"/>
        <v>531 Urapan; Fresno</v>
      </c>
      <c r="M529" s="10" t="s">
        <v>46</v>
      </c>
      <c r="N529" s="10" t="s">
        <v>36</v>
      </c>
      <c r="O529" s="10" t="s">
        <v>37</v>
      </c>
      <c r="P529" s="10" t="s">
        <v>1497</v>
      </c>
      <c r="Q529" s="17" t="s">
        <v>817</v>
      </c>
      <c r="R529" s="14" t="s">
        <v>39</v>
      </c>
      <c r="S529" s="17" t="s">
        <v>821</v>
      </c>
      <c r="T529" s="14" t="s">
        <v>39</v>
      </c>
      <c r="U529" s="14" t="s">
        <v>55</v>
      </c>
      <c r="V529" s="14"/>
      <c r="W529" s="17"/>
      <c r="X529" s="14"/>
    </row>
    <row r="530" ht="14.25" customHeight="1">
      <c r="A530" s="10" t="s">
        <v>1364</v>
      </c>
      <c r="B530" s="10" t="s">
        <v>31</v>
      </c>
      <c r="C530" s="10">
        <v>532.0</v>
      </c>
      <c r="D530" s="11" t="s">
        <v>1501</v>
      </c>
      <c r="E530" s="11" t="s">
        <v>1502</v>
      </c>
      <c r="F530" s="11" t="s">
        <v>1503</v>
      </c>
      <c r="G530" s="10">
        <v>532.0</v>
      </c>
      <c r="H530" s="10">
        <f>VLOOKUP(F530,'Generos y Familia'!$A$1:$C$623,2,FALSE)</f>
        <v>54</v>
      </c>
      <c r="I530" s="12" t="str">
        <f t="shared" si="1"/>
        <v>Fuchsia sp</v>
      </c>
      <c r="J530" s="10" t="str">
        <f t="shared" si="2"/>
        <v>532 Fuchsia sp</v>
      </c>
      <c r="K530" s="10" t="str">
        <f t="shared" si="3"/>
        <v>Fucsia</v>
      </c>
      <c r="L530" s="10" t="str">
        <f t="shared" si="4"/>
        <v>532 Fucsia</v>
      </c>
      <c r="M530" s="10" t="s">
        <v>35</v>
      </c>
      <c r="N530" s="10" t="s">
        <v>36</v>
      </c>
      <c r="O530" s="10" t="s">
        <v>47</v>
      </c>
      <c r="P530" s="10" t="s">
        <v>1504</v>
      </c>
      <c r="Q530" s="17" t="s">
        <v>1505</v>
      </c>
      <c r="R530" s="14" t="s">
        <v>39</v>
      </c>
      <c r="S530" s="17" t="s">
        <v>379</v>
      </c>
      <c r="T530" s="14"/>
      <c r="U530" s="14" t="s">
        <v>55</v>
      </c>
      <c r="V530" s="14"/>
      <c r="W530" s="17"/>
      <c r="X530" s="14" t="s">
        <v>41</v>
      </c>
    </row>
    <row r="531" ht="14.25" customHeight="1">
      <c r="A531" s="10" t="s">
        <v>1364</v>
      </c>
      <c r="B531" s="10" t="s">
        <v>31</v>
      </c>
      <c r="C531" s="10">
        <v>533.0</v>
      </c>
      <c r="D531" s="11" t="s">
        <v>1506</v>
      </c>
      <c r="E531" s="11" t="s">
        <v>1507</v>
      </c>
      <c r="F531" s="11" t="s">
        <v>596</v>
      </c>
      <c r="G531" s="10">
        <v>533.0</v>
      </c>
      <c r="H531" s="10">
        <f>VLOOKUP(F531,'Generos y Familia'!$A$1:$C$623,2,FALSE)</f>
        <v>39</v>
      </c>
      <c r="I531" s="12" t="str">
        <f t="shared" si="1"/>
        <v>Galphimia gracilis</v>
      </c>
      <c r="J531" s="10" t="str">
        <f t="shared" si="2"/>
        <v>533 Galphimia gracilis</v>
      </c>
      <c r="K531" s="10" t="str">
        <f t="shared" si="3"/>
        <v>Luvia de Oro; Flor Amarillo</v>
      </c>
      <c r="L531" s="10" t="str">
        <f t="shared" si="4"/>
        <v>533 Luvia de Oro; Flor Amarillo</v>
      </c>
      <c r="M531" s="10" t="s">
        <v>46</v>
      </c>
      <c r="N531" s="10" t="s">
        <v>36</v>
      </c>
      <c r="O531" s="10" t="s">
        <v>47</v>
      </c>
      <c r="P531" s="10" t="s">
        <v>1508</v>
      </c>
      <c r="Q531" s="13"/>
      <c r="R531" s="13"/>
      <c r="S531" s="13"/>
      <c r="T531" s="13"/>
      <c r="U531" s="13"/>
      <c r="V531" s="13"/>
      <c r="W531" s="13"/>
      <c r="X531" s="13"/>
    </row>
    <row r="532" ht="14.25" customHeight="1">
      <c r="A532" s="10" t="s">
        <v>1364</v>
      </c>
      <c r="B532" s="10" t="s">
        <v>31</v>
      </c>
      <c r="C532" s="10">
        <v>534.0</v>
      </c>
      <c r="D532" s="11" t="s">
        <v>1509</v>
      </c>
      <c r="E532" s="11" t="s">
        <v>1510</v>
      </c>
      <c r="F532" s="11" t="s">
        <v>999</v>
      </c>
      <c r="G532" s="10">
        <v>534.0</v>
      </c>
      <c r="H532" s="10">
        <f>VLOOKUP(F532,'Generos y Familia'!$A$1:$C$623,2,FALSE)</f>
        <v>37</v>
      </c>
      <c r="I532" s="12" t="str">
        <f t="shared" si="1"/>
        <v>Garcinia madruno</v>
      </c>
      <c r="J532" s="10" t="str">
        <f t="shared" si="2"/>
        <v>534 Garcinia madruno</v>
      </c>
      <c r="K532" s="10" t="str">
        <f t="shared" si="3"/>
        <v>Madroño; Madroña; Madruño</v>
      </c>
      <c r="L532" s="10" t="str">
        <f t="shared" si="4"/>
        <v>534 Madroño; Madroña; Madruño</v>
      </c>
      <c r="M532" s="10" t="s">
        <v>35</v>
      </c>
      <c r="N532" s="10" t="s">
        <v>36</v>
      </c>
      <c r="O532" s="10" t="s">
        <v>37</v>
      </c>
      <c r="P532" s="10" t="s">
        <v>1511</v>
      </c>
      <c r="Q532" s="13">
        <v>15.0</v>
      </c>
      <c r="R532" s="13" t="s">
        <v>39</v>
      </c>
      <c r="S532" s="13">
        <v>40.0</v>
      </c>
      <c r="T532" s="13" t="s">
        <v>39</v>
      </c>
      <c r="U532" s="13" t="s">
        <v>73</v>
      </c>
      <c r="V532" s="13">
        <v>0.64</v>
      </c>
      <c r="W532" s="16"/>
      <c r="X532" s="13"/>
    </row>
    <row r="533" ht="14.25" customHeight="1">
      <c r="A533" s="10" t="s">
        <v>1364</v>
      </c>
      <c r="B533" s="10" t="s">
        <v>31</v>
      </c>
      <c r="C533" s="10">
        <v>535.0</v>
      </c>
      <c r="D533" s="11" t="s">
        <v>1512</v>
      </c>
      <c r="E533" s="11" t="s">
        <v>1513</v>
      </c>
      <c r="F533" s="11" t="s">
        <v>999</v>
      </c>
      <c r="G533" s="10">
        <v>535.0</v>
      </c>
      <c r="H533" s="10">
        <f>VLOOKUP(F533,'Generos y Familia'!$A$1:$C$623,2,FALSE)</f>
        <v>37</v>
      </c>
      <c r="I533" s="12" t="str">
        <f t="shared" si="1"/>
        <v>Garcinia mangostana</v>
      </c>
      <c r="J533" s="10" t="str">
        <f t="shared" si="2"/>
        <v>535 Garcinia mangostana</v>
      </c>
      <c r="K533" s="10" t="str">
        <f t="shared" si="3"/>
        <v>Mangostino</v>
      </c>
      <c r="L533" s="10" t="str">
        <f t="shared" si="4"/>
        <v>535 Mangostino</v>
      </c>
      <c r="M533" s="10" t="s">
        <v>46</v>
      </c>
      <c r="N533" s="10" t="s">
        <v>36</v>
      </c>
      <c r="O533" s="10" t="s">
        <v>37</v>
      </c>
      <c r="P533" s="10" t="s">
        <v>1511</v>
      </c>
      <c r="Q533" s="17" t="s">
        <v>448</v>
      </c>
      <c r="R533" s="14" t="s">
        <v>39</v>
      </c>
      <c r="S533" s="17" t="s">
        <v>442</v>
      </c>
      <c r="T533" s="14"/>
      <c r="U533" s="14" t="s">
        <v>40</v>
      </c>
      <c r="V533" s="14"/>
      <c r="W533" s="18"/>
      <c r="X533" s="14"/>
    </row>
    <row r="534" ht="14.25" customHeight="1">
      <c r="A534" s="10" t="s">
        <v>1364</v>
      </c>
      <c r="B534" s="10" t="s">
        <v>31</v>
      </c>
      <c r="C534" s="10">
        <v>536.0</v>
      </c>
      <c r="D534" s="11" t="s">
        <v>1514</v>
      </c>
      <c r="E534" s="11" t="s">
        <v>1515</v>
      </c>
      <c r="F534" s="11" t="s">
        <v>999</v>
      </c>
      <c r="G534" s="10">
        <v>536.0</v>
      </c>
      <c r="H534" s="10">
        <f>VLOOKUP(F534,'Generos y Familia'!$A$1:$C$623,2,FALSE)</f>
        <v>37</v>
      </c>
      <c r="I534" s="12" t="str">
        <f t="shared" si="1"/>
        <v>Garcinia sp</v>
      </c>
      <c r="J534" s="10" t="str">
        <f t="shared" si="2"/>
        <v>536 Garcinia sp</v>
      </c>
      <c r="K534" s="10" t="str">
        <f t="shared" si="3"/>
        <v>Madroño</v>
      </c>
      <c r="L534" s="10" t="str">
        <f t="shared" si="4"/>
        <v>536 Madroño</v>
      </c>
      <c r="M534" s="10" t="s">
        <v>46</v>
      </c>
      <c r="N534" s="10" t="s">
        <v>36</v>
      </c>
      <c r="O534" s="10" t="s">
        <v>37</v>
      </c>
      <c r="P534" s="10" t="s">
        <v>1511</v>
      </c>
      <c r="Q534" s="13"/>
      <c r="R534" s="13"/>
      <c r="S534" s="13"/>
      <c r="T534" s="13"/>
      <c r="U534" s="13"/>
      <c r="V534" s="13"/>
      <c r="W534" s="13"/>
      <c r="X534" s="13"/>
    </row>
    <row r="535" ht="14.25" customHeight="1">
      <c r="A535" s="10" t="s">
        <v>1364</v>
      </c>
      <c r="B535" s="10" t="s">
        <v>31</v>
      </c>
      <c r="C535" s="10">
        <v>537.0</v>
      </c>
      <c r="D535" s="11" t="s">
        <v>1516</v>
      </c>
      <c r="E535" s="11" t="s">
        <v>1517</v>
      </c>
      <c r="F535" s="11" t="s">
        <v>310</v>
      </c>
      <c r="G535" s="10">
        <v>537.0</v>
      </c>
      <c r="H535" s="10">
        <f>VLOOKUP(F535,'Generos y Familia'!$A$1:$C$623,2,FALSE)</f>
        <v>79</v>
      </c>
      <c r="I535" s="12" t="str">
        <f t="shared" si="1"/>
        <v>Gardenia jasminoides</v>
      </c>
      <c r="J535" s="10" t="str">
        <f t="shared" si="2"/>
        <v>537 Gardenia jasminoides</v>
      </c>
      <c r="K535" s="10" t="str">
        <f t="shared" si="3"/>
        <v>Gardenia; Malabar; Jazmín del Cabo; Jazmín</v>
      </c>
      <c r="L535" s="10" t="str">
        <f t="shared" si="4"/>
        <v>537 Gardenia; Malabar; Jazmín del Cabo; Jazmín</v>
      </c>
      <c r="M535" s="10" t="s">
        <v>46</v>
      </c>
      <c r="N535" s="10" t="s">
        <v>36</v>
      </c>
      <c r="O535" s="10" t="s">
        <v>47</v>
      </c>
      <c r="P535" s="10" t="s">
        <v>1518</v>
      </c>
      <c r="Q535" s="13"/>
      <c r="R535" s="13"/>
      <c r="S535" s="13"/>
      <c r="T535" s="13"/>
      <c r="U535" s="13"/>
      <c r="V535" s="13"/>
      <c r="W535" s="16"/>
      <c r="X535" s="13"/>
    </row>
    <row r="536" ht="14.25" customHeight="1">
      <c r="A536" s="10" t="s">
        <v>1364</v>
      </c>
      <c r="B536" s="10" t="s">
        <v>31</v>
      </c>
      <c r="C536" s="10">
        <v>538.0</v>
      </c>
      <c r="D536" s="11" t="s">
        <v>1519</v>
      </c>
      <c r="E536" s="11" t="s">
        <v>1520</v>
      </c>
      <c r="F536" s="11" t="s">
        <v>310</v>
      </c>
      <c r="G536" s="10">
        <v>538.0</v>
      </c>
      <c r="H536" s="10">
        <f>VLOOKUP(F536,'Generos y Familia'!$A$1:$C$623,2,FALSE)</f>
        <v>79</v>
      </c>
      <c r="I536" s="12" t="str">
        <f t="shared" si="1"/>
        <v>Genipa americana</v>
      </c>
      <c r="J536" s="10" t="str">
        <f t="shared" si="2"/>
        <v>538 Genipa americana</v>
      </c>
      <c r="K536" s="10" t="str">
        <f t="shared" si="3"/>
        <v>Jagua; Caruto; Huito; Jaguo; Jigua</v>
      </c>
      <c r="L536" s="10" t="str">
        <f t="shared" si="4"/>
        <v>538 Jagua; Caruto; Huito; Jaguo; Jigua</v>
      </c>
      <c r="M536" s="10" t="s">
        <v>35</v>
      </c>
      <c r="N536" s="10" t="s">
        <v>36</v>
      </c>
      <c r="O536" s="10" t="s">
        <v>37</v>
      </c>
      <c r="P536" s="10" t="s">
        <v>1521</v>
      </c>
      <c r="Q536" s="17" t="s">
        <v>106</v>
      </c>
      <c r="R536" s="14" t="s">
        <v>39</v>
      </c>
      <c r="S536" s="17" t="s">
        <v>1522</v>
      </c>
      <c r="T536" s="14" t="s">
        <v>39</v>
      </c>
      <c r="U536" s="14" t="s">
        <v>55</v>
      </c>
      <c r="V536" s="14">
        <v>0.6</v>
      </c>
      <c r="W536" s="17"/>
      <c r="X536" s="14"/>
    </row>
    <row r="537" ht="14.25" customHeight="1">
      <c r="A537" s="10" t="s">
        <v>1364</v>
      </c>
      <c r="B537" s="10" t="s">
        <v>31</v>
      </c>
      <c r="C537" s="10">
        <v>539.0</v>
      </c>
      <c r="D537" s="11" t="s">
        <v>1523</v>
      </c>
      <c r="E537" s="11" t="s">
        <v>1524</v>
      </c>
      <c r="F537" s="11" t="s">
        <v>34</v>
      </c>
      <c r="G537" s="10">
        <v>539.0</v>
      </c>
      <c r="H537" s="10">
        <f>VLOOKUP(F537,'Generos y Familia'!$A$1:$C$623,2,FALSE)</f>
        <v>27</v>
      </c>
      <c r="I537" s="12" t="str">
        <f t="shared" si="1"/>
        <v>Geoffroea sp</v>
      </c>
      <c r="J537" s="10" t="str">
        <f t="shared" si="2"/>
        <v>539 Geoffroea sp</v>
      </c>
      <c r="K537" s="10" t="str">
        <f t="shared" si="3"/>
        <v>Silvadero</v>
      </c>
      <c r="L537" s="10" t="str">
        <f t="shared" si="4"/>
        <v>539 Silvadero</v>
      </c>
      <c r="M537" s="10" t="s">
        <v>35</v>
      </c>
      <c r="N537" s="10" t="s">
        <v>36</v>
      </c>
      <c r="O537" s="10" t="s">
        <v>47</v>
      </c>
      <c r="P537" s="10" t="s">
        <v>1525</v>
      </c>
      <c r="Q537" s="13"/>
      <c r="R537" s="13"/>
      <c r="S537" s="13"/>
      <c r="T537" s="13"/>
      <c r="U537" s="13"/>
      <c r="V537" s="13"/>
      <c r="W537" s="13"/>
      <c r="X537" s="13"/>
    </row>
    <row r="538" ht="14.25" customHeight="1">
      <c r="A538" s="10" t="s">
        <v>1364</v>
      </c>
      <c r="B538" s="10" t="s">
        <v>31</v>
      </c>
      <c r="C538" s="10">
        <v>540.0</v>
      </c>
      <c r="D538" s="11" t="s">
        <v>1526</v>
      </c>
      <c r="E538" s="11" t="s">
        <v>1527</v>
      </c>
      <c r="F538" s="11" t="s">
        <v>34</v>
      </c>
      <c r="G538" s="10">
        <v>540.0</v>
      </c>
      <c r="H538" s="10">
        <f>VLOOKUP(F538,'Generos y Familia'!$A$1:$C$623,2,FALSE)</f>
        <v>27</v>
      </c>
      <c r="I538" s="12" t="str">
        <f t="shared" si="1"/>
        <v>Geoffroea spinosa</v>
      </c>
      <c r="J538" s="10" t="str">
        <f t="shared" si="2"/>
        <v>540 Geoffroea spinosa</v>
      </c>
      <c r="K538" s="10" t="str">
        <f t="shared" si="3"/>
        <v>Ebano Falso; Ébano Ornamental; Silbadero</v>
      </c>
      <c r="L538" s="10" t="str">
        <f t="shared" si="4"/>
        <v>540 Ebano Falso; Ébano Ornamental; Silbadero</v>
      </c>
      <c r="M538" s="10" t="s">
        <v>35</v>
      </c>
      <c r="N538" s="10" t="s">
        <v>36</v>
      </c>
      <c r="O538" s="10" t="s">
        <v>47</v>
      </c>
      <c r="P538" s="10" t="s">
        <v>1525</v>
      </c>
      <c r="Q538" s="13">
        <v>15.0</v>
      </c>
      <c r="R538" s="13" t="s">
        <v>39</v>
      </c>
      <c r="S538" s="13">
        <v>60.0</v>
      </c>
      <c r="T538" s="13" t="s">
        <v>39</v>
      </c>
      <c r="U538" s="13" t="s">
        <v>40</v>
      </c>
      <c r="V538" s="13"/>
      <c r="W538" s="16"/>
      <c r="X538" s="13"/>
    </row>
    <row r="539" ht="14.25" customHeight="1">
      <c r="A539" s="10" t="s">
        <v>1364</v>
      </c>
      <c r="B539" s="10" t="s">
        <v>31</v>
      </c>
      <c r="C539" s="10">
        <v>541.0</v>
      </c>
      <c r="D539" s="11" t="s">
        <v>1528</v>
      </c>
      <c r="E539" s="11" t="s">
        <v>1529</v>
      </c>
      <c r="F539" s="11" t="s">
        <v>116</v>
      </c>
      <c r="G539" s="10">
        <v>541.0</v>
      </c>
      <c r="H539" s="10">
        <f>VLOOKUP(F539,'Generos y Familia'!$A$1:$C$623,2,FALSE)</f>
        <v>14</v>
      </c>
      <c r="I539" s="12" t="str">
        <f t="shared" si="1"/>
        <v>Geonoma interrupta</v>
      </c>
      <c r="J539" s="10" t="str">
        <f t="shared" si="2"/>
        <v>541 Geonoma interrupta</v>
      </c>
      <c r="K539" s="10" t="str">
        <f t="shared" si="3"/>
        <v>Cortadera</v>
      </c>
      <c r="L539" s="10" t="str">
        <f t="shared" si="4"/>
        <v>541 Cortadera</v>
      </c>
      <c r="M539" s="10" t="s">
        <v>35</v>
      </c>
      <c r="N539" s="10" t="s">
        <v>36</v>
      </c>
      <c r="O539" s="10" t="s">
        <v>117</v>
      </c>
      <c r="P539" s="10" t="s">
        <v>1530</v>
      </c>
      <c r="Q539" s="13"/>
      <c r="R539" s="13"/>
      <c r="S539" s="13"/>
      <c r="T539" s="13"/>
      <c r="U539" s="13"/>
      <c r="V539" s="13"/>
      <c r="W539" s="13"/>
      <c r="X539" s="13"/>
    </row>
    <row r="540" ht="14.25" customHeight="1">
      <c r="A540" s="10" t="s">
        <v>1364</v>
      </c>
      <c r="B540" s="10" t="s">
        <v>31</v>
      </c>
      <c r="C540" s="10">
        <v>542.0</v>
      </c>
      <c r="D540" s="11" t="s">
        <v>1531</v>
      </c>
      <c r="E540" s="11" t="s">
        <v>1532</v>
      </c>
      <c r="F540" s="11" t="s">
        <v>116</v>
      </c>
      <c r="G540" s="10">
        <v>542.0</v>
      </c>
      <c r="H540" s="10">
        <f>VLOOKUP(F540,'Generos y Familia'!$A$1:$C$623,2,FALSE)</f>
        <v>14</v>
      </c>
      <c r="I540" s="12" t="str">
        <f t="shared" si="1"/>
        <v>Geonoma sp</v>
      </c>
      <c r="J540" s="10" t="str">
        <f t="shared" si="2"/>
        <v>542 Geonoma sp</v>
      </c>
      <c r="K540" s="10" t="str">
        <f t="shared" si="3"/>
        <v>Palmicha; Palma Macuma</v>
      </c>
      <c r="L540" s="10" t="str">
        <f t="shared" si="4"/>
        <v>542 Palmicha; Palma Macuma</v>
      </c>
      <c r="M540" s="10" t="s">
        <v>35</v>
      </c>
      <c r="N540" s="10" t="s">
        <v>36</v>
      </c>
      <c r="O540" s="10" t="s">
        <v>117</v>
      </c>
      <c r="P540" s="10" t="s">
        <v>1530</v>
      </c>
      <c r="Q540" s="13"/>
      <c r="R540" s="13"/>
      <c r="S540" s="13"/>
      <c r="T540" s="13"/>
      <c r="U540" s="13"/>
      <c r="V540" s="13"/>
      <c r="W540" s="16"/>
      <c r="X540" s="13"/>
    </row>
    <row r="541" ht="14.25" customHeight="1">
      <c r="A541" s="10" t="s">
        <v>1364</v>
      </c>
      <c r="B541" s="10" t="s">
        <v>31</v>
      </c>
      <c r="C541" s="10">
        <v>543.0</v>
      </c>
      <c r="D541" s="11" t="s">
        <v>1533</v>
      </c>
      <c r="E541" s="11" t="s">
        <v>1534</v>
      </c>
      <c r="F541" s="11" t="s">
        <v>34</v>
      </c>
      <c r="G541" s="10">
        <v>543.0</v>
      </c>
      <c r="H541" s="10">
        <f>VLOOKUP(F541,'Generos y Familia'!$A$1:$C$623,2,FALSE)</f>
        <v>27</v>
      </c>
      <c r="I541" s="12" t="str">
        <f t="shared" si="1"/>
        <v>Gliricidia sepium</v>
      </c>
      <c r="J541" s="10" t="str">
        <f t="shared" si="2"/>
        <v>543 Gliricidia sepium</v>
      </c>
      <c r="K541" s="10" t="str">
        <f t="shared" si="3"/>
        <v>Mata Ratón</v>
      </c>
      <c r="L541" s="10" t="str">
        <f t="shared" si="4"/>
        <v>543 Mata Ratón</v>
      </c>
      <c r="M541" s="10" t="s">
        <v>46</v>
      </c>
      <c r="N541" s="10" t="s">
        <v>36</v>
      </c>
      <c r="O541" s="10" t="s">
        <v>37</v>
      </c>
      <c r="P541" s="10" t="s">
        <v>1535</v>
      </c>
      <c r="Q541" s="13"/>
      <c r="R541" s="13"/>
      <c r="S541" s="13"/>
      <c r="T541" s="13"/>
      <c r="U541" s="13"/>
      <c r="V541" s="13"/>
      <c r="W541" s="13"/>
      <c r="X541" s="13"/>
    </row>
    <row r="542" ht="14.25" customHeight="1">
      <c r="A542" s="10" t="s">
        <v>1364</v>
      </c>
      <c r="B542" s="10" t="s">
        <v>31</v>
      </c>
      <c r="C542" s="10">
        <v>544.0</v>
      </c>
      <c r="D542" s="11" t="s">
        <v>1536</v>
      </c>
      <c r="E542" s="11" t="s">
        <v>1537</v>
      </c>
      <c r="F542" s="11" t="s">
        <v>136</v>
      </c>
      <c r="G542" s="10">
        <v>544.0</v>
      </c>
      <c r="H542" s="10">
        <f>VLOOKUP(F542,'Generos y Familia'!$A$1:$C$623,2,FALSE)</f>
        <v>34</v>
      </c>
      <c r="I542" s="12" t="str">
        <f t="shared" si="1"/>
        <v>Gmelina arborea</v>
      </c>
      <c r="J542" s="10" t="str">
        <f t="shared" si="2"/>
        <v>544 Gmelina arborea</v>
      </c>
      <c r="K542" s="10" t="str">
        <f t="shared" si="3"/>
        <v>Melina; Gumhar</v>
      </c>
      <c r="L542" s="10" t="str">
        <f t="shared" si="4"/>
        <v>544 Melina; Gumhar</v>
      </c>
      <c r="M542" s="10" t="s">
        <v>35</v>
      </c>
      <c r="N542" s="10" t="s">
        <v>36</v>
      </c>
      <c r="O542" s="10" t="s">
        <v>37</v>
      </c>
      <c r="P542" s="10" t="s">
        <v>1538</v>
      </c>
      <c r="Q542" s="13">
        <v>30.0</v>
      </c>
      <c r="R542" s="13" t="s">
        <v>39</v>
      </c>
      <c r="S542" s="13">
        <v>80.0</v>
      </c>
      <c r="T542" s="13" t="s">
        <v>39</v>
      </c>
      <c r="U542" s="13" t="s">
        <v>55</v>
      </c>
      <c r="V542" s="13">
        <v>0.43</v>
      </c>
      <c r="W542" s="13"/>
      <c r="X542" s="13"/>
    </row>
    <row r="543" ht="14.25" customHeight="1">
      <c r="A543" s="10" t="s">
        <v>1364</v>
      </c>
      <c r="B543" s="10" t="s">
        <v>63</v>
      </c>
      <c r="C543" s="10">
        <v>545.0</v>
      </c>
      <c r="D543" s="11" t="s">
        <v>1539</v>
      </c>
      <c r="E543" s="11" t="s">
        <v>1540</v>
      </c>
      <c r="F543" s="11" t="s">
        <v>45</v>
      </c>
      <c r="G543" s="10">
        <v>545.0</v>
      </c>
      <c r="H543" s="10">
        <f>VLOOKUP(F543,'Generos y Familia'!$A$1:$C$623,2,FALSE)</f>
        <v>40</v>
      </c>
      <c r="I543" s="12" t="str">
        <f t="shared" si="1"/>
        <v>Gossypium barbadense</v>
      </c>
      <c r="J543" s="10" t="str">
        <f t="shared" si="2"/>
        <v>545 Gossypium barbadense</v>
      </c>
      <c r="K543" s="10" t="str">
        <f t="shared" si="3"/>
        <v>Algodon; Algodonero</v>
      </c>
      <c r="L543" s="10" t="str">
        <f t="shared" si="4"/>
        <v>545 Algodon; Algodonero</v>
      </c>
      <c r="M543" s="10" t="s">
        <v>46</v>
      </c>
      <c r="N543" s="10" t="s">
        <v>36</v>
      </c>
      <c r="O543" s="10" t="s">
        <v>47</v>
      </c>
      <c r="P543" s="10" t="s">
        <v>1541</v>
      </c>
      <c r="Q543" s="13"/>
      <c r="R543" s="13"/>
      <c r="S543" s="13"/>
      <c r="T543" s="13"/>
      <c r="U543" s="13"/>
      <c r="V543" s="13"/>
      <c r="W543" s="16"/>
      <c r="X543" s="13"/>
    </row>
    <row r="544" ht="14.25" customHeight="1">
      <c r="A544" s="10" t="s">
        <v>1364</v>
      </c>
      <c r="B544" s="10" t="s">
        <v>31</v>
      </c>
      <c r="C544" s="10">
        <v>546.0</v>
      </c>
      <c r="D544" s="11" t="s">
        <v>1542</v>
      </c>
      <c r="E544" s="11" t="s">
        <v>1543</v>
      </c>
      <c r="F544" s="11" t="s">
        <v>45</v>
      </c>
      <c r="G544" s="10">
        <v>546.0</v>
      </c>
      <c r="H544" s="10">
        <f>VLOOKUP(F544,'Generos y Familia'!$A$1:$C$623,2,FALSE)</f>
        <v>40</v>
      </c>
      <c r="I544" s="12" t="str">
        <f t="shared" si="1"/>
        <v>Gossypium sp</v>
      </c>
      <c r="J544" s="10" t="str">
        <f t="shared" si="2"/>
        <v>546 Gossypium sp</v>
      </c>
      <c r="K544" s="10" t="str">
        <f t="shared" si="3"/>
        <v>Algodon</v>
      </c>
      <c r="L544" s="10" t="str">
        <f t="shared" si="4"/>
        <v>546 Algodon</v>
      </c>
      <c r="M544" s="10" t="s">
        <v>46</v>
      </c>
      <c r="N544" s="10"/>
      <c r="O544" s="10" t="s">
        <v>47</v>
      </c>
      <c r="P544" s="10" t="s">
        <v>1541</v>
      </c>
      <c r="Q544" s="13"/>
      <c r="R544" s="13"/>
      <c r="S544" s="13"/>
      <c r="T544" s="13"/>
      <c r="U544" s="13"/>
      <c r="V544" s="13"/>
      <c r="W544" s="13"/>
      <c r="X544" s="13"/>
    </row>
    <row r="545" ht="14.25" customHeight="1">
      <c r="A545" s="10" t="s">
        <v>1364</v>
      </c>
      <c r="B545" s="10" t="s">
        <v>31</v>
      </c>
      <c r="C545" s="10">
        <v>547.0</v>
      </c>
      <c r="D545" s="11" t="s">
        <v>1544</v>
      </c>
      <c r="E545" s="11" t="s">
        <v>1545</v>
      </c>
      <c r="F545" s="11" t="s">
        <v>320</v>
      </c>
      <c r="G545" s="10">
        <v>547.0</v>
      </c>
      <c r="H545" s="10">
        <f>VLOOKUP(F545,'Generos y Familia'!$A$1:$C$623,2,FALSE)</f>
        <v>1</v>
      </c>
      <c r="I545" s="12" t="str">
        <f t="shared" si="1"/>
        <v>Graptophyllum pictum</v>
      </c>
      <c r="J545" s="10" t="str">
        <f t="shared" si="2"/>
        <v>547 Graptophyllum pictum</v>
      </c>
      <c r="K545" s="10" t="str">
        <f t="shared" si="3"/>
        <v>Planta de Caricatura</v>
      </c>
      <c r="L545" s="10" t="str">
        <f t="shared" si="4"/>
        <v>547 Planta de Caricatura</v>
      </c>
      <c r="M545" s="10" t="s">
        <v>46</v>
      </c>
      <c r="N545" s="10" t="s">
        <v>36</v>
      </c>
      <c r="O545" s="10" t="s">
        <v>47</v>
      </c>
      <c r="P545" s="10" t="s">
        <v>1546</v>
      </c>
      <c r="Q545" s="13"/>
      <c r="R545" s="13"/>
      <c r="S545" s="13"/>
      <c r="T545" s="13"/>
      <c r="U545" s="13"/>
      <c r="V545" s="13"/>
      <c r="W545" s="13"/>
      <c r="X545" s="13"/>
    </row>
    <row r="546" ht="14.25" customHeight="1">
      <c r="A546" s="10" t="s">
        <v>1364</v>
      </c>
      <c r="B546" s="10" t="s">
        <v>31</v>
      </c>
      <c r="C546" s="10">
        <v>548.0</v>
      </c>
      <c r="D546" s="11" t="s">
        <v>1547</v>
      </c>
      <c r="E546" s="11" t="s">
        <v>1548</v>
      </c>
      <c r="F546" s="11" t="s">
        <v>1549</v>
      </c>
      <c r="G546" s="10">
        <v>548.0</v>
      </c>
      <c r="H546" s="10">
        <f>VLOOKUP(F546,'Generos y Familia'!$A$1:$C$623,2,FALSE)</f>
        <v>75</v>
      </c>
      <c r="I546" s="12" t="str">
        <f t="shared" si="1"/>
        <v>Grevillea banksii</v>
      </c>
      <c r="J546" s="10" t="str">
        <f t="shared" si="2"/>
        <v>548 Grevillea banksii</v>
      </c>
      <c r="K546" s="10" t="str">
        <f t="shared" si="3"/>
        <v>Grevileo de Jardín</v>
      </c>
      <c r="L546" s="10" t="str">
        <f t="shared" si="4"/>
        <v>548 Grevileo de Jardín</v>
      </c>
      <c r="M546" s="10" t="s">
        <v>46</v>
      </c>
      <c r="N546" s="10" t="s">
        <v>36</v>
      </c>
      <c r="O546" s="10" t="s">
        <v>37</v>
      </c>
      <c r="P546" s="10" t="s">
        <v>1550</v>
      </c>
      <c r="Q546" s="13"/>
      <c r="R546" s="13"/>
      <c r="S546" s="13"/>
      <c r="T546" s="13"/>
      <c r="U546" s="13"/>
      <c r="V546" s="13"/>
      <c r="W546" s="13"/>
      <c r="X546" s="13"/>
    </row>
    <row r="547" ht="14.25" customHeight="1">
      <c r="A547" s="10" t="s">
        <v>1364</v>
      </c>
      <c r="B547" s="10" t="s">
        <v>31</v>
      </c>
      <c r="C547" s="10">
        <v>549.0</v>
      </c>
      <c r="D547" s="11" t="s">
        <v>1551</v>
      </c>
      <c r="E547" s="11" t="s">
        <v>1552</v>
      </c>
      <c r="F547" s="11" t="s">
        <v>1549</v>
      </c>
      <c r="G547" s="10">
        <v>549.0</v>
      </c>
      <c r="H547" s="10">
        <f>VLOOKUP(F547,'Generos y Familia'!$A$1:$C$623,2,FALSE)</f>
        <v>75</v>
      </c>
      <c r="I547" s="12" t="str">
        <f t="shared" si="1"/>
        <v>Grevillea robusta</v>
      </c>
      <c r="J547" s="10" t="str">
        <f t="shared" si="2"/>
        <v>549 Grevillea robusta</v>
      </c>
      <c r="K547" s="10" t="str">
        <f t="shared" si="3"/>
        <v>Roble Australiano; Árbol de Seda; Rabo de Pavo; Grevilia; Roble de Australia</v>
      </c>
      <c r="L547" s="10" t="str">
        <f t="shared" si="4"/>
        <v>549 Roble Australiano; Árbol de Seda; Rabo de Pavo; Grevilia; Roble de Australia</v>
      </c>
      <c r="M547" s="10" t="s">
        <v>46</v>
      </c>
      <c r="N547" s="10" t="s">
        <v>36</v>
      </c>
      <c r="O547" s="10" t="s">
        <v>37</v>
      </c>
      <c r="P547" s="10" t="s">
        <v>1550</v>
      </c>
      <c r="Q547" s="17" t="s">
        <v>229</v>
      </c>
      <c r="R547" s="14" t="s">
        <v>39</v>
      </c>
      <c r="S547" s="17" t="s">
        <v>486</v>
      </c>
      <c r="T547" s="14" t="s">
        <v>39</v>
      </c>
      <c r="U547" s="14" t="s">
        <v>55</v>
      </c>
      <c r="V547" s="14">
        <v>0.52</v>
      </c>
      <c r="W547" s="17"/>
      <c r="X547" s="14"/>
    </row>
    <row r="548" ht="14.25" customHeight="1">
      <c r="A548" s="10" t="s">
        <v>1364</v>
      </c>
      <c r="B548" s="10" t="s">
        <v>31</v>
      </c>
      <c r="C548" s="10">
        <v>550.0</v>
      </c>
      <c r="D548" s="11" t="s">
        <v>1553</v>
      </c>
      <c r="E548" s="11" t="s">
        <v>1554</v>
      </c>
      <c r="F548" s="11" t="s">
        <v>431</v>
      </c>
      <c r="G548" s="10">
        <v>550.0</v>
      </c>
      <c r="H548" s="10">
        <f>VLOOKUP(F548,'Generos y Familia'!$A$1:$C$623,2,FALSE)</f>
        <v>70</v>
      </c>
      <c r="I548" s="12" t="str">
        <f t="shared" si="1"/>
        <v>Guadua angustifolia</v>
      </c>
      <c r="J548" s="10" t="str">
        <f t="shared" si="2"/>
        <v>550 Guadua angustifolia</v>
      </c>
      <c r="K548" s="10" t="str">
        <f t="shared" si="3"/>
        <v>Guadua</v>
      </c>
      <c r="L548" s="10" t="str">
        <f t="shared" si="4"/>
        <v>550 Guadua</v>
      </c>
      <c r="M548" s="10" t="s">
        <v>35</v>
      </c>
      <c r="N548" s="10" t="s">
        <v>36</v>
      </c>
      <c r="O548" s="10" t="s">
        <v>432</v>
      </c>
      <c r="P548" s="10" t="s">
        <v>1554</v>
      </c>
      <c r="Q548" s="17" t="s">
        <v>106</v>
      </c>
      <c r="R548" s="14" t="s">
        <v>39</v>
      </c>
      <c r="S548" s="17" t="s">
        <v>229</v>
      </c>
      <c r="T548" s="14" t="s">
        <v>39</v>
      </c>
      <c r="U548" s="14" t="s">
        <v>55</v>
      </c>
      <c r="V548" s="14"/>
      <c r="W548" s="17" t="s">
        <v>559</v>
      </c>
      <c r="X548" s="14"/>
    </row>
    <row r="549" ht="14.25" customHeight="1">
      <c r="A549" s="10" t="s">
        <v>1364</v>
      </c>
      <c r="B549" s="10" t="s">
        <v>31</v>
      </c>
      <c r="C549" s="10">
        <v>551.0</v>
      </c>
      <c r="D549" s="11" t="s">
        <v>1555</v>
      </c>
      <c r="E549" s="11" t="s">
        <v>1556</v>
      </c>
      <c r="F549" s="11" t="s">
        <v>588</v>
      </c>
      <c r="G549" s="10">
        <v>551.0</v>
      </c>
      <c r="H549" s="10">
        <f>VLOOKUP(F549,'Generos y Familia'!$A$1:$C$623,2,FALSE)</f>
        <v>102</v>
      </c>
      <c r="I549" s="12" t="str">
        <f t="shared" si="1"/>
        <v>Guaiacum officinale</v>
      </c>
      <c r="J549" s="10" t="str">
        <f t="shared" si="2"/>
        <v>551 Guaiacum officinale</v>
      </c>
      <c r="K549" s="10" t="str">
        <f t="shared" si="3"/>
        <v>Guayacán Azul; Guayacán; Guayaco; Florazul; Palosanto</v>
      </c>
      <c r="L549" s="10" t="str">
        <f t="shared" si="4"/>
        <v>551 Guayacán Azul; Guayacán; Guayaco; Florazul; Palosanto</v>
      </c>
      <c r="M549" s="10" t="s">
        <v>35</v>
      </c>
      <c r="N549" s="10" t="s">
        <v>36</v>
      </c>
      <c r="O549" s="10" t="s">
        <v>37</v>
      </c>
      <c r="P549" s="10" t="s">
        <v>1557</v>
      </c>
      <c r="Q549" s="13"/>
      <c r="R549" s="13"/>
      <c r="S549" s="13"/>
      <c r="T549" s="13"/>
      <c r="U549" s="13"/>
      <c r="V549" s="13"/>
      <c r="W549" s="13"/>
      <c r="X549" s="13"/>
    </row>
    <row r="550" ht="14.25" customHeight="1">
      <c r="A550" s="10" t="s">
        <v>1364</v>
      </c>
      <c r="B550" s="10" t="s">
        <v>31</v>
      </c>
      <c r="C550" s="10">
        <v>552.0</v>
      </c>
      <c r="D550" s="11" t="s">
        <v>1558</v>
      </c>
      <c r="E550" s="11" t="s">
        <v>1559</v>
      </c>
      <c r="F550" s="11" t="s">
        <v>588</v>
      </c>
      <c r="G550" s="10">
        <v>552.0</v>
      </c>
      <c r="H550" s="10">
        <f>VLOOKUP(F550,'Generos y Familia'!$A$1:$C$623,2,FALSE)</f>
        <v>102</v>
      </c>
      <c r="I550" s="12" t="str">
        <f t="shared" si="1"/>
        <v>Guaiacum sp</v>
      </c>
      <c r="J550" s="10" t="str">
        <f t="shared" si="2"/>
        <v>552 Guaiacum sp</v>
      </c>
      <c r="K550" s="10" t="str">
        <f t="shared" si="3"/>
        <v>Guayacan Azul</v>
      </c>
      <c r="L550" s="10" t="str">
        <f t="shared" si="4"/>
        <v>552 Guayacan Azul</v>
      </c>
      <c r="M550" s="10" t="s">
        <v>35</v>
      </c>
      <c r="N550" s="10"/>
      <c r="O550" s="10" t="s">
        <v>47</v>
      </c>
      <c r="P550" s="10" t="s">
        <v>1557</v>
      </c>
      <c r="Q550" s="13"/>
      <c r="R550" s="13"/>
      <c r="S550" s="13"/>
      <c r="T550" s="13"/>
      <c r="U550" s="13"/>
      <c r="V550" s="13"/>
      <c r="W550" s="13"/>
      <c r="X550" s="13"/>
    </row>
    <row r="551" ht="14.25" customHeight="1">
      <c r="A551" s="10" t="s">
        <v>1364</v>
      </c>
      <c r="B551" s="10" t="s">
        <v>31</v>
      </c>
      <c r="C551" s="10">
        <v>553.0</v>
      </c>
      <c r="D551" s="11" t="s">
        <v>1560</v>
      </c>
      <c r="E551" s="11" t="s">
        <v>1561</v>
      </c>
      <c r="F551" s="11" t="s">
        <v>411</v>
      </c>
      <c r="G551" s="10">
        <v>553.0</v>
      </c>
      <c r="H551" s="10">
        <f>VLOOKUP(F551,'Generos y Familia'!$A$1:$C$623,2,FALSE)</f>
        <v>42</v>
      </c>
      <c r="I551" s="12" t="str">
        <f t="shared" si="1"/>
        <v>Guarea guidonia</v>
      </c>
      <c r="J551" s="10" t="str">
        <f t="shared" si="2"/>
        <v>553 Guarea guidonia</v>
      </c>
      <c r="K551" s="10" t="str">
        <f t="shared" si="3"/>
        <v>Trompillo; Cedrillo; Cedro Macho; Mestizo; Cartagüeño</v>
      </c>
      <c r="L551" s="10" t="str">
        <f t="shared" si="4"/>
        <v>553 Trompillo; Cedrillo; Cedro Macho; Mestizo; Cartagüeño</v>
      </c>
      <c r="M551" s="10" t="s">
        <v>35</v>
      </c>
      <c r="N551" s="10" t="s">
        <v>36</v>
      </c>
      <c r="O551" s="10" t="s">
        <v>37</v>
      </c>
      <c r="P551" s="10" t="s">
        <v>1562</v>
      </c>
      <c r="Q551" s="13"/>
      <c r="R551" s="13"/>
      <c r="S551" s="13"/>
      <c r="T551" s="13"/>
      <c r="U551" s="13"/>
      <c r="V551" s="13"/>
      <c r="W551" s="13"/>
      <c r="X551" s="13"/>
    </row>
    <row r="552" ht="14.25" customHeight="1">
      <c r="A552" s="10" t="s">
        <v>1364</v>
      </c>
      <c r="B552" s="10" t="s">
        <v>31</v>
      </c>
      <c r="C552" s="10">
        <v>554.0</v>
      </c>
      <c r="D552" s="11" t="s">
        <v>1563</v>
      </c>
      <c r="E552" s="11" t="s">
        <v>213</v>
      </c>
      <c r="F552" s="11" t="s">
        <v>411</v>
      </c>
      <c r="G552" s="10">
        <v>554.0</v>
      </c>
      <c r="H552" s="10">
        <f>VLOOKUP(F552,'Generos y Familia'!$A$1:$C$623,2,FALSE)</f>
        <v>42</v>
      </c>
      <c r="I552" s="12" t="str">
        <f t="shared" si="1"/>
        <v>Guarea macrophylla</v>
      </c>
      <c r="J552" s="10" t="str">
        <f t="shared" si="2"/>
        <v>554 Guarea macrophylla</v>
      </c>
      <c r="K552" s="10" t="str">
        <f t="shared" si="3"/>
        <v>Cedrillo</v>
      </c>
      <c r="L552" s="10" t="str">
        <f t="shared" si="4"/>
        <v>554 Cedrillo</v>
      </c>
      <c r="M552" s="10" t="s">
        <v>46</v>
      </c>
      <c r="N552" s="10" t="s">
        <v>36</v>
      </c>
      <c r="O552" s="10" t="s">
        <v>37</v>
      </c>
      <c r="P552" s="10" t="s">
        <v>1562</v>
      </c>
      <c r="Q552" s="13"/>
      <c r="R552" s="13"/>
      <c r="S552" s="13"/>
      <c r="T552" s="13"/>
      <c r="U552" s="13"/>
      <c r="V552" s="13"/>
      <c r="W552" s="13"/>
      <c r="X552" s="13"/>
    </row>
    <row r="553" ht="14.25" customHeight="1">
      <c r="A553" s="10" t="s">
        <v>1364</v>
      </c>
      <c r="B553" s="10" t="s">
        <v>31</v>
      </c>
      <c r="C553" s="10">
        <v>555.0</v>
      </c>
      <c r="D553" s="11" t="s">
        <v>1564</v>
      </c>
      <c r="E553" s="11" t="s">
        <v>213</v>
      </c>
      <c r="F553" s="11" t="s">
        <v>411</v>
      </c>
      <c r="G553" s="10">
        <v>555.0</v>
      </c>
      <c r="H553" s="10">
        <f>VLOOKUP(F553,'Generos y Familia'!$A$1:$C$623,2,FALSE)</f>
        <v>42</v>
      </c>
      <c r="I553" s="12" t="str">
        <f t="shared" si="1"/>
        <v>Guarea sp</v>
      </c>
      <c r="J553" s="10" t="str">
        <f t="shared" si="2"/>
        <v>555 Guarea sp</v>
      </c>
      <c r="K553" s="10" t="str">
        <f t="shared" si="3"/>
        <v>Cedrillo</v>
      </c>
      <c r="L553" s="10" t="str">
        <f t="shared" si="4"/>
        <v>555 Cedrillo</v>
      </c>
      <c r="M553" s="10" t="s">
        <v>46</v>
      </c>
      <c r="N553" s="10" t="s">
        <v>36</v>
      </c>
      <c r="O553" s="10" t="s">
        <v>37</v>
      </c>
      <c r="P553" s="10" t="s">
        <v>1562</v>
      </c>
      <c r="Q553" s="13"/>
      <c r="R553" s="13"/>
      <c r="S553" s="13"/>
      <c r="T553" s="13"/>
      <c r="U553" s="13"/>
      <c r="V553" s="13"/>
      <c r="W553" s="13"/>
      <c r="X553" s="13"/>
    </row>
    <row r="554" ht="14.25" customHeight="1">
      <c r="A554" s="10" t="s">
        <v>1364</v>
      </c>
      <c r="B554" s="10" t="s">
        <v>31</v>
      </c>
      <c r="C554" s="10">
        <v>556.0</v>
      </c>
      <c r="D554" s="11" t="s">
        <v>1565</v>
      </c>
      <c r="E554" s="11" t="s">
        <v>1566</v>
      </c>
      <c r="F554" s="11" t="s">
        <v>286</v>
      </c>
      <c r="G554" s="10">
        <v>556.0</v>
      </c>
      <c r="H554" s="10">
        <f>VLOOKUP(F554,'Generos y Familia'!$A$1:$C$623,2,FALSE)</f>
        <v>8</v>
      </c>
      <c r="I554" s="12" t="str">
        <f t="shared" si="1"/>
        <v>Guatteria sp</v>
      </c>
      <c r="J554" s="10" t="str">
        <f t="shared" si="2"/>
        <v>556 Guatteria sp</v>
      </c>
      <c r="K554" s="10" t="str">
        <f t="shared" si="3"/>
        <v>Cargadero</v>
      </c>
      <c r="L554" s="10" t="str">
        <f t="shared" si="4"/>
        <v>556 Cargadero</v>
      </c>
      <c r="M554" s="10" t="s">
        <v>35</v>
      </c>
      <c r="N554" s="10" t="s">
        <v>36</v>
      </c>
      <c r="O554" s="10" t="s">
        <v>47</v>
      </c>
      <c r="P554" s="10" t="s">
        <v>1567</v>
      </c>
      <c r="Q554" s="17" t="s">
        <v>1351</v>
      </c>
      <c r="R554" s="14"/>
      <c r="S554" s="17" t="s">
        <v>67</v>
      </c>
      <c r="T554" s="14"/>
      <c r="U554" s="14" t="s">
        <v>40</v>
      </c>
      <c r="V554" s="14"/>
      <c r="W554" s="17"/>
      <c r="X554" s="14" t="s">
        <v>41</v>
      </c>
    </row>
    <row r="555" ht="14.25" customHeight="1">
      <c r="A555" s="10" t="s">
        <v>1364</v>
      </c>
      <c r="B555" s="10" t="s">
        <v>31</v>
      </c>
      <c r="C555" s="10">
        <v>557.0</v>
      </c>
      <c r="D555" s="11" t="s">
        <v>1568</v>
      </c>
      <c r="E555" s="11" t="s">
        <v>1569</v>
      </c>
      <c r="F555" s="11" t="s">
        <v>45</v>
      </c>
      <c r="G555" s="10">
        <v>557.0</v>
      </c>
      <c r="H555" s="10">
        <f>VLOOKUP(F555,'Generos y Familia'!$A$1:$C$623,2,FALSE)</f>
        <v>40</v>
      </c>
      <c r="I555" s="12" t="str">
        <f t="shared" si="1"/>
        <v>Guazuma ulmifolia</v>
      </c>
      <c r="J555" s="10" t="str">
        <f t="shared" si="2"/>
        <v>557 Guazuma ulmifolia</v>
      </c>
      <c r="K555" s="10" t="str">
        <f t="shared" si="3"/>
        <v>Guácimo</v>
      </c>
      <c r="L555" s="10" t="str">
        <f t="shared" si="4"/>
        <v>557 Guácimo</v>
      </c>
      <c r="M555" s="10" t="s">
        <v>35</v>
      </c>
      <c r="N555" s="10" t="s">
        <v>36</v>
      </c>
      <c r="O555" s="10" t="s">
        <v>37</v>
      </c>
      <c r="P555" s="10" t="s">
        <v>1570</v>
      </c>
      <c r="Q555" s="13"/>
      <c r="R555" s="13"/>
      <c r="S555" s="13"/>
      <c r="T555" s="13"/>
      <c r="U555" s="13"/>
      <c r="V555" s="13"/>
      <c r="W555" s="16"/>
      <c r="X555" s="13"/>
    </row>
    <row r="556" ht="14.25" customHeight="1">
      <c r="A556" s="10" t="s">
        <v>1364</v>
      </c>
      <c r="B556" s="10" t="s">
        <v>31</v>
      </c>
      <c r="C556" s="10">
        <v>558.0</v>
      </c>
      <c r="D556" s="11" t="s">
        <v>1571</v>
      </c>
      <c r="E556" s="11" t="s">
        <v>1572</v>
      </c>
      <c r="F556" s="11" t="s">
        <v>728</v>
      </c>
      <c r="G556" s="10">
        <v>558.0</v>
      </c>
      <c r="H556" s="10">
        <f>VLOOKUP(F556,'Generos y Familia'!$A$1:$C$623,2,FALSE)</f>
        <v>36</v>
      </c>
      <c r="I556" s="12" t="str">
        <f t="shared" si="1"/>
        <v>Gustavia dubia</v>
      </c>
      <c r="J556" s="10" t="str">
        <f t="shared" si="2"/>
        <v>558 Gustavia dubia</v>
      </c>
      <c r="K556" s="10" t="str">
        <f t="shared" si="3"/>
        <v>Mula Muerta; Membrillo; Almanegra</v>
      </c>
      <c r="L556" s="10" t="str">
        <f t="shared" si="4"/>
        <v>558 Mula Muerta; Membrillo; Almanegra</v>
      </c>
      <c r="M556" s="10" t="s">
        <v>35</v>
      </c>
      <c r="N556" s="10" t="s">
        <v>36</v>
      </c>
      <c r="O556" s="10" t="s">
        <v>37</v>
      </c>
      <c r="P556" s="10" t="s">
        <v>1573</v>
      </c>
      <c r="Q556" s="13"/>
      <c r="R556" s="13"/>
      <c r="S556" s="15"/>
      <c r="T556" s="13"/>
      <c r="U556" s="13"/>
      <c r="V556" s="13"/>
      <c r="W556" s="16"/>
      <c r="X556" s="13"/>
    </row>
    <row r="557" ht="14.25" customHeight="1">
      <c r="A557" s="10" t="s">
        <v>1364</v>
      </c>
      <c r="B557" s="10" t="s">
        <v>31</v>
      </c>
      <c r="C557" s="10">
        <v>559.0</v>
      </c>
      <c r="D557" s="11" t="s">
        <v>1574</v>
      </c>
      <c r="E557" s="11" t="s">
        <v>1575</v>
      </c>
      <c r="F557" s="11" t="s">
        <v>728</v>
      </c>
      <c r="G557" s="10">
        <v>559.0</v>
      </c>
      <c r="H557" s="10">
        <f>VLOOKUP(F557,'Generos y Familia'!$A$1:$C$623,2,FALSE)</f>
        <v>36</v>
      </c>
      <c r="I557" s="12" t="str">
        <f t="shared" si="1"/>
        <v>Gustavia romeroi</v>
      </c>
      <c r="J557" s="10" t="str">
        <f t="shared" si="2"/>
        <v>559 Gustavia romeroi</v>
      </c>
      <c r="K557" s="10" t="str">
        <f t="shared" si="3"/>
        <v>Mula Muerta; Coco Hediondo</v>
      </c>
      <c r="L557" s="10" t="str">
        <f t="shared" si="4"/>
        <v>559 Mula Muerta; Coco Hediondo</v>
      </c>
      <c r="M557" s="10" t="s">
        <v>35</v>
      </c>
      <c r="N557" s="10" t="s">
        <v>36</v>
      </c>
      <c r="O557" s="10" t="s">
        <v>37</v>
      </c>
      <c r="P557" s="10" t="s">
        <v>1573</v>
      </c>
      <c r="Q557" s="13"/>
      <c r="R557" s="13"/>
      <c r="S557" s="13"/>
      <c r="T557" s="13"/>
      <c r="U557" s="13"/>
      <c r="V557" s="13"/>
      <c r="W557" s="16"/>
      <c r="X557" s="13"/>
    </row>
    <row r="558" ht="14.25" customHeight="1">
      <c r="A558" s="10" t="s">
        <v>1364</v>
      </c>
      <c r="B558" s="10" t="s">
        <v>63</v>
      </c>
      <c r="C558" s="10">
        <v>560.0</v>
      </c>
      <c r="D558" s="11" t="s">
        <v>1576</v>
      </c>
      <c r="E558" s="11" t="s">
        <v>1577</v>
      </c>
      <c r="F558" s="11" t="s">
        <v>728</v>
      </c>
      <c r="G558" s="10">
        <v>560.0</v>
      </c>
      <c r="H558" s="10">
        <f>VLOOKUP(F558,'Generos y Familia'!$A$1:$C$623,2,FALSE)</f>
        <v>36</v>
      </c>
      <c r="I558" s="12" t="str">
        <f t="shared" si="1"/>
        <v>Gustavia speciosa</v>
      </c>
      <c r="J558" s="10" t="str">
        <f t="shared" si="2"/>
        <v>560 Gustavia speciosa</v>
      </c>
      <c r="K558" s="10" t="str">
        <f t="shared" si="3"/>
        <v>Membrillo; Cocuelo Blanco; Chupo; Chupa</v>
      </c>
      <c r="L558" s="10" t="str">
        <f t="shared" si="4"/>
        <v>560 Membrillo; Cocuelo Blanco; Chupo; Chupa</v>
      </c>
      <c r="M558" s="10" t="s">
        <v>35</v>
      </c>
      <c r="N558" s="10" t="s">
        <v>36</v>
      </c>
      <c r="O558" s="10" t="s">
        <v>37</v>
      </c>
      <c r="P558" s="10" t="s">
        <v>1573</v>
      </c>
      <c r="Q558" s="13"/>
      <c r="R558" s="13"/>
      <c r="S558" s="13"/>
      <c r="T558" s="13"/>
      <c r="U558" s="13"/>
      <c r="V558" s="13"/>
      <c r="W558" s="16"/>
      <c r="X558" s="13"/>
    </row>
    <row r="559" ht="14.25" customHeight="1">
      <c r="A559" s="10" t="s">
        <v>1364</v>
      </c>
      <c r="B559" s="10" t="s">
        <v>31</v>
      </c>
      <c r="C559" s="10">
        <v>561.0</v>
      </c>
      <c r="D559" s="11" t="s">
        <v>1578</v>
      </c>
      <c r="E559" s="11" t="s">
        <v>1579</v>
      </c>
      <c r="F559" s="11" t="s">
        <v>728</v>
      </c>
      <c r="G559" s="10">
        <v>561.0</v>
      </c>
      <c r="H559" s="10">
        <f>VLOOKUP(F559,'Generos y Familia'!$A$1:$C$623,2,FALSE)</f>
        <v>36</v>
      </c>
      <c r="I559" s="12" t="str">
        <f t="shared" si="1"/>
        <v>Gustavia superba</v>
      </c>
      <c r="J559" s="10" t="str">
        <f t="shared" si="2"/>
        <v>561 Gustavia superba</v>
      </c>
      <c r="K559" s="10" t="str">
        <f t="shared" si="3"/>
        <v>Pacó; Membrillo; Chupo</v>
      </c>
      <c r="L559" s="10" t="str">
        <f t="shared" si="4"/>
        <v>561 Pacó; Membrillo; Chupo</v>
      </c>
      <c r="M559" s="10" t="s">
        <v>35</v>
      </c>
      <c r="N559" s="10" t="s">
        <v>36</v>
      </c>
      <c r="O559" s="10" t="s">
        <v>37</v>
      </c>
      <c r="P559" s="10" t="s">
        <v>1573</v>
      </c>
      <c r="Q559" s="13"/>
      <c r="R559" s="13"/>
      <c r="S559" s="13"/>
      <c r="T559" s="13"/>
      <c r="U559" s="13"/>
      <c r="V559" s="13"/>
      <c r="W559" s="13"/>
      <c r="X559" s="13"/>
    </row>
    <row r="560" ht="14.25" customHeight="1">
      <c r="A560" s="10" t="s">
        <v>1364</v>
      </c>
      <c r="B560" s="10" t="s">
        <v>31</v>
      </c>
      <c r="C560" s="10">
        <v>562.0</v>
      </c>
      <c r="D560" s="11" t="s">
        <v>1580</v>
      </c>
      <c r="E560" s="11" t="s">
        <v>1581</v>
      </c>
      <c r="F560" s="11" t="s">
        <v>310</v>
      </c>
      <c r="G560" s="10">
        <v>562.0</v>
      </c>
      <c r="H560" s="10">
        <f>VLOOKUP(F560,'Generos y Familia'!$A$1:$C$623,2,FALSE)</f>
        <v>79</v>
      </c>
      <c r="I560" s="12" t="str">
        <f t="shared" si="1"/>
        <v>Hamelia patens</v>
      </c>
      <c r="J560" s="10" t="str">
        <f t="shared" si="2"/>
        <v>562 Hamelia patens</v>
      </c>
      <c r="K560" s="10" t="str">
        <f t="shared" si="3"/>
        <v>Coralillo; Bencenuco; Hamelia</v>
      </c>
      <c r="L560" s="10" t="str">
        <f t="shared" si="4"/>
        <v>562 Coralillo; Bencenuco; Hamelia</v>
      </c>
      <c r="M560" s="10" t="s">
        <v>35</v>
      </c>
      <c r="N560" s="10" t="s">
        <v>36</v>
      </c>
      <c r="O560" s="10" t="s">
        <v>47</v>
      </c>
      <c r="P560" s="10" t="s">
        <v>1582</v>
      </c>
      <c r="Q560" s="17" t="s">
        <v>632</v>
      </c>
      <c r="R560" s="14" t="s">
        <v>39</v>
      </c>
      <c r="S560" s="17" t="s">
        <v>145</v>
      </c>
      <c r="T560" s="14" t="s">
        <v>39</v>
      </c>
      <c r="U560" s="14" t="s">
        <v>55</v>
      </c>
      <c r="V560" s="14"/>
      <c r="W560" s="18"/>
      <c r="X560" s="14"/>
    </row>
    <row r="561" ht="14.25" customHeight="1">
      <c r="A561" s="10" t="s">
        <v>1364</v>
      </c>
      <c r="B561" s="10" t="s">
        <v>31</v>
      </c>
      <c r="C561" s="10">
        <v>563.0</v>
      </c>
      <c r="D561" s="11" t="s">
        <v>1583</v>
      </c>
      <c r="E561" s="11" t="s">
        <v>1584</v>
      </c>
      <c r="F561" s="11" t="s">
        <v>45</v>
      </c>
      <c r="G561" s="10">
        <v>563.0</v>
      </c>
      <c r="H561" s="10">
        <f>VLOOKUP(F561,'Generos y Familia'!$A$1:$C$623,2,FALSE)</f>
        <v>40</v>
      </c>
      <c r="I561" s="12" t="str">
        <f t="shared" si="1"/>
        <v>Hampea sp</v>
      </c>
      <c r="J561" s="10" t="str">
        <f t="shared" si="2"/>
        <v>563 Hampea sp</v>
      </c>
      <c r="K561" s="10" t="str">
        <f t="shared" si="3"/>
        <v>Algodoncillo</v>
      </c>
      <c r="L561" s="10" t="str">
        <f t="shared" si="4"/>
        <v>563 Algodoncillo</v>
      </c>
      <c r="M561" s="10" t="s">
        <v>35</v>
      </c>
      <c r="N561" s="10"/>
      <c r="O561" s="10"/>
      <c r="P561" s="10" t="s">
        <v>1585</v>
      </c>
      <c r="Q561" s="13"/>
      <c r="R561" s="13"/>
      <c r="S561" s="13"/>
      <c r="T561" s="13"/>
      <c r="U561" s="13"/>
      <c r="V561" s="13"/>
      <c r="W561" s="13"/>
      <c r="X561" s="13"/>
    </row>
    <row r="562" ht="14.25" customHeight="1">
      <c r="A562" s="10" t="s">
        <v>1364</v>
      </c>
      <c r="B562" s="10" t="s">
        <v>31</v>
      </c>
      <c r="C562" s="10">
        <v>564.0</v>
      </c>
      <c r="D562" s="11" t="s">
        <v>1586</v>
      </c>
      <c r="E562" s="11" t="s">
        <v>1587</v>
      </c>
      <c r="F562" s="11" t="s">
        <v>248</v>
      </c>
      <c r="G562" s="10">
        <v>564.0</v>
      </c>
      <c r="H562" s="10">
        <f>VLOOKUP(F562,'Generos y Familia'!$A$1:$C$623,2,FALSE)</f>
        <v>20</v>
      </c>
      <c r="I562" s="12" t="str">
        <f t="shared" si="1"/>
        <v>Handroanthus chrysanthus</v>
      </c>
      <c r="J562" s="10" t="str">
        <f t="shared" si="2"/>
        <v>564 Handroanthus chrysanthus</v>
      </c>
      <c r="K562" s="10" t="str">
        <f t="shared" si="3"/>
        <v>Guayacán Amarillo; Cañaguate; Guayacán; Chicalá; Polvillo</v>
      </c>
      <c r="L562" s="10" t="str">
        <f t="shared" si="4"/>
        <v>564 Guayacán Amarillo; Cañaguate; Guayacán; Chicalá; Polvillo</v>
      </c>
      <c r="M562" s="10" t="s">
        <v>35</v>
      </c>
      <c r="N562" s="10" t="s">
        <v>36</v>
      </c>
      <c r="O562" s="10" t="s">
        <v>37</v>
      </c>
      <c r="P562" s="10" t="s">
        <v>1588</v>
      </c>
      <c r="Q562" s="17" t="s">
        <v>817</v>
      </c>
      <c r="R562" s="14" t="s">
        <v>39</v>
      </c>
      <c r="S562" s="17" t="s">
        <v>821</v>
      </c>
      <c r="T562" s="14" t="s">
        <v>39</v>
      </c>
      <c r="U562" s="14" t="s">
        <v>40</v>
      </c>
      <c r="V562" s="14">
        <v>1.04</v>
      </c>
      <c r="W562" s="18"/>
      <c r="X562" s="14"/>
    </row>
    <row r="563" ht="14.25" customHeight="1">
      <c r="A563" s="10" t="s">
        <v>1364</v>
      </c>
      <c r="B563" s="10" t="s">
        <v>31</v>
      </c>
      <c r="C563" s="10">
        <v>565.0</v>
      </c>
      <c r="D563" s="11" t="s">
        <v>1589</v>
      </c>
      <c r="E563" s="11" t="s">
        <v>1590</v>
      </c>
      <c r="F563" s="11" t="s">
        <v>248</v>
      </c>
      <c r="G563" s="10">
        <v>565.0</v>
      </c>
      <c r="H563" s="10">
        <f>VLOOKUP(F563,'Generos y Familia'!$A$1:$C$623,2,FALSE)</f>
        <v>20</v>
      </c>
      <c r="I563" s="12" t="str">
        <f t="shared" si="1"/>
        <v>Handroanthus chrysotrichus</v>
      </c>
      <c r="J563" s="10" t="str">
        <f t="shared" si="2"/>
        <v>565 Handroanthus chrysotrichus</v>
      </c>
      <c r="K563" s="10" t="str">
        <f t="shared" si="3"/>
        <v>Guayacán Peludo; Guayacán</v>
      </c>
      <c r="L563" s="10" t="str">
        <f t="shared" si="4"/>
        <v>565 Guayacán Peludo; Guayacán</v>
      </c>
      <c r="M563" s="10" t="s">
        <v>46</v>
      </c>
      <c r="N563" s="10" t="s">
        <v>36</v>
      </c>
      <c r="O563" s="10" t="s">
        <v>37</v>
      </c>
      <c r="P563" s="10" t="s">
        <v>1588</v>
      </c>
      <c r="Q563" s="17" t="s">
        <v>379</v>
      </c>
      <c r="R563" s="14" t="s">
        <v>39</v>
      </c>
      <c r="S563" s="17" t="s">
        <v>442</v>
      </c>
      <c r="T563" s="14" t="s">
        <v>39</v>
      </c>
      <c r="U563" s="14" t="s">
        <v>40</v>
      </c>
      <c r="V563" s="14"/>
      <c r="W563" s="17"/>
      <c r="X563" s="14"/>
    </row>
    <row r="564" ht="14.25" customHeight="1">
      <c r="A564" s="10" t="s">
        <v>1364</v>
      </c>
      <c r="B564" s="10" t="s">
        <v>31</v>
      </c>
      <c r="C564" s="10">
        <v>566.0</v>
      </c>
      <c r="D564" s="11" t="s">
        <v>1591</v>
      </c>
      <c r="E564" s="11" t="s">
        <v>1592</v>
      </c>
      <c r="F564" s="11" t="s">
        <v>248</v>
      </c>
      <c r="G564" s="10">
        <v>566.0</v>
      </c>
      <c r="H564" s="10">
        <f>VLOOKUP(F564,'Generos y Familia'!$A$1:$C$623,2,FALSE)</f>
        <v>20</v>
      </c>
      <c r="I564" s="12" t="str">
        <f t="shared" si="1"/>
        <v>Handroanthus ochraceus</v>
      </c>
      <c r="J564" s="10" t="str">
        <f t="shared" si="2"/>
        <v>566 Handroanthus ochraceus</v>
      </c>
      <c r="K564" s="10" t="str">
        <f t="shared" si="3"/>
        <v>Polvillo; Chicalá; Floramarillo; Guayacán Polvillo; Guayacán; Guayacán Dorado</v>
      </c>
      <c r="L564" s="10" t="str">
        <f t="shared" si="4"/>
        <v>566 Polvillo; Chicalá; Floramarillo; Guayacán Polvillo; Guayacán; Guayacán Dorado</v>
      </c>
      <c r="M564" s="10" t="s">
        <v>35</v>
      </c>
      <c r="N564" s="10" t="s">
        <v>36</v>
      </c>
      <c r="O564" s="10" t="s">
        <v>37</v>
      </c>
      <c r="P564" s="10" t="s">
        <v>1588</v>
      </c>
      <c r="Q564" s="13"/>
      <c r="R564" s="13"/>
      <c r="S564" s="13"/>
      <c r="T564" s="13"/>
      <c r="U564" s="13"/>
      <c r="V564" s="13"/>
      <c r="W564" s="16"/>
      <c r="X564" s="13"/>
    </row>
    <row r="565" ht="14.25" customHeight="1">
      <c r="A565" s="10" t="s">
        <v>1364</v>
      </c>
      <c r="B565" s="10" t="s">
        <v>31</v>
      </c>
      <c r="C565" s="10">
        <v>567.0</v>
      </c>
      <c r="D565" s="11" t="s">
        <v>1593</v>
      </c>
      <c r="E565" s="11" t="s">
        <v>1594</v>
      </c>
      <c r="F565" s="11" t="s">
        <v>248</v>
      </c>
      <c r="G565" s="10">
        <v>567.0</v>
      </c>
      <c r="H565" s="10">
        <f>VLOOKUP(F565,'Generos y Familia'!$A$1:$C$623,2,FALSE)</f>
        <v>20</v>
      </c>
      <c r="I565" s="12" t="str">
        <f t="shared" si="1"/>
        <v>Handroanthus serratifolius</v>
      </c>
      <c r="J565" s="10" t="str">
        <f t="shared" si="2"/>
        <v>567 Handroanthus serratifolius</v>
      </c>
      <c r="K565" s="10" t="str">
        <f t="shared" si="3"/>
        <v>Chicalá; Floramarilla; Floramarillo; Curarire; Guayacán; Guayacán Polvillo</v>
      </c>
      <c r="L565" s="10" t="str">
        <f t="shared" si="4"/>
        <v>567 Chicalá; Floramarilla; Floramarillo; Curarire; Guayacán; Guayacán Polvillo</v>
      </c>
      <c r="M565" s="10" t="s">
        <v>35</v>
      </c>
      <c r="N565" s="10" t="s">
        <v>36</v>
      </c>
      <c r="O565" s="10" t="s">
        <v>37</v>
      </c>
      <c r="P565" s="10" t="s">
        <v>1588</v>
      </c>
      <c r="Q565" s="17" t="s">
        <v>379</v>
      </c>
      <c r="R565" s="14" t="s">
        <v>39</v>
      </c>
      <c r="S565" s="17" t="s">
        <v>442</v>
      </c>
      <c r="T565" s="14"/>
      <c r="U565" s="14" t="s">
        <v>40</v>
      </c>
      <c r="V565" s="14"/>
      <c r="W565" s="17"/>
      <c r="X565" s="14" t="s">
        <v>41</v>
      </c>
    </row>
    <row r="566" ht="14.25" customHeight="1">
      <c r="A566" s="10" t="s">
        <v>1364</v>
      </c>
      <c r="B566" s="10" t="s">
        <v>31</v>
      </c>
      <c r="C566" s="10">
        <v>568.0</v>
      </c>
      <c r="D566" s="11" t="s">
        <v>1595</v>
      </c>
      <c r="E566" s="11" t="s">
        <v>1596</v>
      </c>
      <c r="F566" s="11" t="s">
        <v>214</v>
      </c>
      <c r="G566" s="10">
        <v>568.0</v>
      </c>
      <c r="H566" s="10">
        <f>VLOOKUP(F566,'Generos y Familia'!$A$1:$C$623,2,FALSE)</f>
        <v>84</v>
      </c>
      <c r="I566" s="12" t="str">
        <f t="shared" si="1"/>
        <v>Harpullia arborea</v>
      </c>
      <c r="J566" s="10" t="str">
        <f t="shared" si="2"/>
        <v>568 Harpullia arborea</v>
      </c>
      <c r="K566" s="10" t="str">
        <f t="shared" si="3"/>
        <v>Harpulia</v>
      </c>
      <c r="L566" s="10" t="str">
        <f t="shared" si="4"/>
        <v>568 Harpulia</v>
      </c>
      <c r="M566" s="10" t="s">
        <v>46</v>
      </c>
      <c r="N566" s="10" t="s">
        <v>28</v>
      </c>
      <c r="O566" s="10" t="s">
        <v>37</v>
      </c>
      <c r="P566" s="10" t="s">
        <v>1597</v>
      </c>
      <c r="Q566" s="13">
        <v>20.0</v>
      </c>
      <c r="R566" s="13" t="s">
        <v>39</v>
      </c>
      <c r="S566" s="13">
        <v>60.0</v>
      </c>
      <c r="T566" s="13" t="s">
        <v>39</v>
      </c>
      <c r="U566" s="13" t="s">
        <v>40</v>
      </c>
      <c r="V566" s="13"/>
      <c r="W566" s="16"/>
      <c r="X566" s="13"/>
    </row>
    <row r="567" ht="14.25" customHeight="1">
      <c r="A567" s="10" t="s">
        <v>1364</v>
      </c>
      <c r="B567" s="10" t="s">
        <v>31</v>
      </c>
      <c r="C567" s="10">
        <v>569.0</v>
      </c>
      <c r="D567" s="11" t="s">
        <v>1598</v>
      </c>
      <c r="E567" s="11" t="s">
        <v>1599</v>
      </c>
      <c r="F567" s="11" t="s">
        <v>762</v>
      </c>
      <c r="G567" s="10">
        <v>569.0</v>
      </c>
      <c r="H567" s="10">
        <f>VLOOKUP(F567,'Generos y Familia'!$A$1:$C$623,2,FALSE)</f>
        <v>82</v>
      </c>
      <c r="I567" s="12" t="str">
        <f t="shared" si="1"/>
        <v>Hasseltia floribunda</v>
      </c>
      <c r="J567" s="10" t="str">
        <f t="shared" si="2"/>
        <v>569 Hasseltia floribunda</v>
      </c>
      <c r="K567" s="10" t="str">
        <f t="shared" si="3"/>
        <v>Pechuga de Gallina; Hueso; Huesito; Coronillo</v>
      </c>
      <c r="L567" s="10" t="str">
        <f t="shared" si="4"/>
        <v>569 Pechuga de Gallina; Hueso; Huesito; Coronillo</v>
      </c>
      <c r="M567" s="10" t="s">
        <v>35</v>
      </c>
      <c r="N567" s="10" t="s">
        <v>36</v>
      </c>
      <c r="O567" s="10" t="s">
        <v>37</v>
      </c>
      <c r="P567" s="10" t="s">
        <v>1600</v>
      </c>
      <c r="Q567" s="13">
        <v>15.0</v>
      </c>
      <c r="R567" s="13" t="s">
        <v>39</v>
      </c>
      <c r="S567" s="13">
        <v>30.0</v>
      </c>
      <c r="T567" s="13" t="s">
        <v>39</v>
      </c>
      <c r="U567" s="13" t="s">
        <v>40</v>
      </c>
      <c r="V567" s="13">
        <v>0.53</v>
      </c>
      <c r="W567" s="13"/>
      <c r="X567" s="13"/>
    </row>
    <row r="568" ht="14.25" customHeight="1">
      <c r="A568" s="10" t="s">
        <v>1364</v>
      </c>
      <c r="B568" s="10" t="s">
        <v>31</v>
      </c>
      <c r="C568" s="10">
        <v>570.0</v>
      </c>
      <c r="D568" s="11" t="s">
        <v>1601</v>
      </c>
      <c r="E568" s="11" t="s">
        <v>1602</v>
      </c>
      <c r="F568" s="11" t="s">
        <v>45</v>
      </c>
      <c r="G568" s="10">
        <v>570.0</v>
      </c>
      <c r="H568" s="10">
        <f>VLOOKUP(F568,'Generos y Familia'!$A$1:$C$623,2,FALSE)</f>
        <v>40</v>
      </c>
      <c r="I568" s="12" t="str">
        <f t="shared" si="1"/>
        <v>Heliocarpus americanus</v>
      </c>
      <c r="J568" s="10" t="str">
        <f t="shared" si="2"/>
        <v>570 Heliocarpus americanus</v>
      </c>
      <c r="K568" s="10" t="str">
        <f t="shared" si="3"/>
        <v>Pestaña de Mula; Balso Blanco; Palo Bobo</v>
      </c>
      <c r="L568" s="10" t="str">
        <f t="shared" si="4"/>
        <v>570 Pestaña de Mula; Balso Blanco; Palo Bobo</v>
      </c>
      <c r="M568" s="10" t="s">
        <v>35</v>
      </c>
      <c r="N568" s="10" t="s">
        <v>36</v>
      </c>
      <c r="O568" s="10" t="s">
        <v>37</v>
      </c>
      <c r="P568" s="10" t="s">
        <v>1603</v>
      </c>
      <c r="Q568" s="17" t="s">
        <v>1604</v>
      </c>
      <c r="R568" s="14" t="s">
        <v>39</v>
      </c>
      <c r="S568" s="17" t="s">
        <v>290</v>
      </c>
      <c r="T568" s="14"/>
      <c r="U568" s="14" t="s">
        <v>55</v>
      </c>
      <c r="V568" s="14"/>
      <c r="W568" s="17"/>
      <c r="X568" s="14" t="s">
        <v>41</v>
      </c>
    </row>
    <row r="569" ht="14.25" customHeight="1">
      <c r="A569" s="10" t="s">
        <v>1364</v>
      </c>
      <c r="B569" s="10" t="s">
        <v>31</v>
      </c>
      <c r="C569" s="10">
        <v>571.0</v>
      </c>
      <c r="D569" s="11" t="s">
        <v>1605</v>
      </c>
      <c r="E569" s="11" t="s">
        <v>1606</v>
      </c>
      <c r="F569" s="11" t="s">
        <v>324</v>
      </c>
      <c r="G569" s="10">
        <v>571.0</v>
      </c>
      <c r="H569" s="10">
        <f>VLOOKUP(F569,'Generos y Familia'!$A$1:$C$623,2,FALSE)</f>
        <v>12</v>
      </c>
      <c r="I569" s="12" t="str">
        <f t="shared" si="1"/>
        <v>Heptapleurum actinophyllum</v>
      </c>
      <c r="J569" s="10" t="str">
        <f t="shared" si="2"/>
        <v>571 Heptapleurum actinophyllum</v>
      </c>
      <c r="K569" s="10" t="str">
        <f t="shared" si="3"/>
        <v>Schefflera; Cheflera; Pategallina Hojigrande</v>
      </c>
      <c r="L569" s="10" t="str">
        <f t="shared" si="4"/>
        <v>571 Schefflera; Cheflera; Pategallina Hojigrande</v>
      </c>
      <c r="M569" s="10" t="s">
        <v>46</v>
      </c>
      <c r="N569" s="10" t="s">
        <v>36</v>
      </c>
      <c r="O569" s="10" t="s">
        <v>37</v>
      </c>
      <c r="P569" s="10" t="s">
        <v>1607</v>
      </c>
      <c r="Q569" s="17" t="s">
        <v>379</v>
      </c>
      <c r="R569" s="14" t="s">
        <v>39</v>
      </c>
      <c r="S569" s="17" t="s">
        <v>106</v>
      </c>
      <c r="T569" s="14" t="s">
        <v>39</v>
      </c>
      <c r="U569" s="14" t="s">
        <v>55</v>
      </c>
      <c r="V569" s="14">
        <v>0.41</v>
      </c>
      <c r="W569" s="17"/>
      <c r="X569" s="14"/>
    </row>
    <row r="570" ht="14.25" customHeight="1">
      <c r="A570" s="10" t="s">
        <v>1364</v>
      </c>
      <c r="B570" s="10" t="s">
        <v>31</v>
      </c>
      <c r="C570" s="10">
        <v>572.0</v>
      </c>
      <c r="D570" s="11" t="s">
        <v>1608</v>
      </c>
      <c r="E570" s="11" t="s">
        <v>1609</v>
      </c>
      <c r="F570" s="11" t="s">
        <v>324</v>
      </c>
      <c r="G570" s="10">
        <v>572.0</v>
      </c>
      <c r="H570" s="10">
        <f>VLOOKUP(F570,'Generos y Familia'!$A$1:$C$623,2,FALSE)</f>
        <v>12</v>
      </c>
      <c r="I570" s="12" t="str">
        <f t="shared" si="1"/>
        <v>Heptapleurum arboricola</v>
      </c>
      <c r="J570" s="10" t="str">
        <f t="shared" si="2"/>
        <v>572 Heptapleurum arboricola</v>
      </c>
      <c r="K570" s="10" t="str">
        <f t="shared" si="3"/>
        <v>Cheflera Variegada; Cheflera Enana</v>
      </c>
      <c r="L570" s="10" t="str">
        <f t="shared" si="4"/>
        <v>572 Cheflera Variegada; Cheflera Enana</v>
      </c>
      <c r="M570" s="10" t="s">
        <v>46</v>
      </c>
      <c r="N570" s="10" t="s">
        <v>36</v>
      </c>
      <c r="O570" s="10" t="s">
        <v>47</v>
      </c>
      <c r="P570" s="10" t="s">
        <v>1607</v>
      </c>
      <c r="Q570" s="17" t="s">
        <v>954</v>
      </c>
      <c r="R570" s="14"/>
      <c r="S570" s="17" t="s">
        <v>229</v>
      </c>
      <c r="T570" s="14"/>
      <c r="U570" s="14" t="s">
        <v>40</v>
      </c>
      <c r="V570" s="14"/>
      <c r="W570" s="18"/>
      <c r="X570" s="14" t="s">
        <v>41</v>
      </c>
    </row>
    <row r="571" ht="14.25" customHeight="1">
      <c r="A571" s="10" t="s">
        <v>1364</v>
      </c>
      <c r="B571" s="10" t="s">
        <v>31</v>
      </c>
      <c r="C571" s="10">
        <v>573.0</v>
      </c>
      <c r="D571" s="11" t="s">
        <v>1610</v>
      </c>
      <c r="E571" s="11" t="s">
        <v>1611</v>
      </c>
      <c r="F571" s="11" t="s">
        <v>45</v>
      </c>
      <c r="G571" s="10">
        <v>573.0</v>
      </c>
      <c r="H571" s="10">
        <f>VLOOKUP(F571,'Generos y Familia'!$A$1:$C$623,2,FALSE)</f>
        <v>40</v>
      </c>
      <c r="I571" s="12" t="str">
        <f t="shared" si="1"/>
        <v>Herrania sp</v>
      </c>
      <c r="J571" s="10" t="str">
        <f t="shared" si="2"/>
        <v>573 Herrania sp</v>
      </c>
      <c r="K571" s="10" t="str">
        <f t="shared" si="3"/>
        <v>Cacaito</v>
      </c>
      <c r="L571" s="10" t="str">
        <f t="shared" si="4"/>
        <v>573 Cacaito</v>
      </c>
      <c r="M571" s="10" t="s">
        <v>35</v>
      </c>
      <c r="N571" s="10"/>
      <c r="O571" s="10" t="s">
        <v>47</v>
      </c>
      <c r="P571" s="10" t="s">
        <v>1612</v>
      </c>
      <c r="Q571" s="13"/>
      <c r="R571" s="13"/>
      <c r="S571" s="13"/>
      <c r="T571" s="13"/>
      <c r="U571" s="13"/>
      <c r="V571" s="13"/>
      <c r="W571" s="13"/>
      <c r="X571" s="13"/>
    </row>
    <row r="572" ht="14.25" customHeight="1">
      <c r="A572" s="10" t="s">
        <v>1364</v>
      </c>
      <c r="B572" s="10" t="s">
        <v>31</v>
      </c>
      <c r="C572" s="10">
        <v>574.0</v>
      </c>
      <c r="D572" s="11" t="s">
        <v>1613</v>
      </c>
      <c r="E572" s="11" t="s">
        <v>1614</v>
      </c>
      <c r="F572" s="11" t="s">
        <v>82</v>
      </c>
      <c r="G572" s="10">
        <v>574.0</v>
      </c>
      <c r="H572" s="10">
        <f>VLOOKUP(F572,'Generos y Familia'!$A$1:$C$623,2,FALSE)</f>
        <v>26</v>
      </c>
      <c r="I572" s="12" t="str">
        <f t="shared" si="1"/>
        <v>Hevea brasiliensis</v>
      </c>
      <c r="J572" s="10" t="str">
        <f t="shared" si="2"/>
        <v>574 Hevea brasiliensis</v>
      </c>
      <c r="K572" s="10" t="str">
        <f t="shared" si="3"/>
        <v>Caucho de Pará; Caucho; Hule; Caucho Amazónico</v>
      </c>
      <c r="L572" s="10" t="str">
        <f t="shared" si="4"/>
        <v>574 Caucho de Pará; Caucho; Hule; Caucho Amazónico</v>
      </c>
      <c r="M572" s="10" t="s">
        <v>35</v>
      </c>
      <c r="N572" s="10" t="s">
        <v>36</v>
      </c>
      <c r="O572" s="10" t="s">
        <v>37</v>
      </c>
      <c r="P572" s="10" t="s">
        <v>1615</v>
      </c>
      <c r="Q572" s="17" t="s">
        <v>54</v>
      </c>
      <c r="R572" s="14" t="s">
        <v>39</v>
      </c>
      <c r="S572" s="17" t="s">
        <v>70</v>
      </c>
      <c r="T572" s="14" t="s">
        <v>39</v>
      </c>
      <c r="U572" s="14" t="s">
        <v>55</v>
      </c>
      <c r="V572" s="14">
        <v>0.49</v>
      </c>
      <c r="W572" s="17"/>
      <c r="X572" s="14"/>
    </row>
    <row r="573" ht="14.25" customHeight="1">
      <c r="A573" s="10" t="s">
        <v>1364</v>
      </c>
      <c r="B573" s="10" t="s">
        <v>31</v>
      </c>
      <c r="C573" s="10">
        <v>575.0</v>
      </c>
      <c r="D573" s="11" t="s">
        <v>1616</v>
      </c>
      <c r="E573" s="11" t="s">
        <v>1617</v>
      </c>
      <c r="F573" s="11" t="s">
        <v>45</v>
      </c>
      <c r="G573" s="10">
        <v>575.0</v>
      </c>
      <c r="H573" s="10">
        <f>VLOOKUP(F573,'Generos y Familia'!$A$1:$C$623,2,FALSE)</f>
        <v>40</v>
      </c>
      <c r="I573" s="12" t="str">
        <f t="shared" si="1"/>
        <v>Hibiscus acetosella</v>
      </c>
      <c r="J573" s="10" t="str">
        <f t="shared" si="2"/>
        <v>575 Hibiscus acetosella</v>
      </c>
      <c r="K573" s="10" t="str">
        <f t="shared" si="3"/>
        <v>Roselle; Jamaica</v>
      </c>
      <c r="L573" s="10" t="str">
        <f t="shared" si="4"/>
        <v>575 Roselle; Jamaica</v>
      </c>
      <c r="M573" s="10" t="s">
        <v>35</v>
      </c>
      <c r="N573" s="10" t="s">
        <v>36</v>
      </c>
      <c r="O573" s="10" t="s">
        <v>47</v>
      </c>
      <c r="P573" s="10" t="s">
        <v>1618</v>
      </c>
      <c r="Q573" s="17" t="s">
        <v>153</v>
      </c>
      <c r="R573" s="14"/>
      <c r="S573" s="17" t="s">
        <v>632</v>
      </c>
      <c r="T573" s="14"/>
      <c r="U573" s="14" t="s">
        <v>55</v>
      </c>
      <c r="V573" s="14"/>
      <c r="W573" s="17"/>
      <c r="X573" s="14" t="s">
        <v>41</v>
      </c>
    </row>
    <row r="574" ht="14.25" customHeight="1">
      <c r="A574" s="10" t="s">
        <v>1364</v>
      </c>
      <c r="B574" s="10" t="s">
        <v>31</v>
      </c>
      <c r="C574" s="10">
        <v>576.0</v>
      </c>
      <c r="D574" s="11" t="s">
        <v>1619</v>
      </c>
      <c r="E574" s="11" t="s">
        <v>285</v>
      </c>
      <c r="F574" s="11" t="s">
        <v>45</v>
      </c>
      <c r="G574" s="10">
        <v>576.0</v>
      </c>
      <c r="H574" s="10">
        <f>VLOOKUP(F574,'Generos y Familia'!$A$1:$C$623,2,FALSE)</f>
        <v>40</v>
      </c>
      <c r="I574" s="12" t="str">
        <f t="shared" si="1"/>
        <v>Hibiscus elatus</v>
      </c>
      <c r="J574" s="10" t="str">
        <f t="shared" si="2"/>
        <v>576 Hibiscus elatus</v>
      </c>
      <c r="K574" s="10" t="str">
        <f t="shared" si="3"/>
        <v>Majagua</v>
      </c>
      <c r="L574" s="10" t="str">
        <f t="shared" si="4"/>
        <v>576 Majagua</v>
      </c>
      <c r="M574" s="10" t="s">
        <v>46</v>
      </c>
      <c r="N574" s="10" t="s">
        <v>36</v>
      </c>
      <c r="O574" s="10" t="s">
        <v>37</v>
      </c>
      <c r="P574" s="10" t="s">
        <v>1618</v>
      </c>
      <c r="Q574" s="17" t="s">
        <v>106</v>
      </c>
      <c r="R574" s="14" t="s">
        <v>39</v>
      </c>
      <c r="S574" s="17" t="s">
        <v>290</v>
      </c>
      <c r="T574" s="14" t="s">
        <v>39</v>
      </c>
      <c r="U574" s="14" t="s">
        <v>55</v>
      </c>
      <c r="V574" s="14">
        <v>0.6</v>
      </c>
      <c r="W574" s="18"/>
      <c r="X574" s="14"/>
    </row>
    <row r="575" ht="14.25" customHeight="1">
      <c r="A575" s="10" t="s">
        <v>1364</v>
      </c>
      <c r="B575" s="10" t="s">
        <v>31</v>
      </c>
      <c r="C575" s="10">
        <v>577.0</v>
      </c>
      <c r="D575" s="11" t="s">
        <v>1620</v>
      </c>
      <c r="E575" s="11" t="s">
        <v>1621</v>
      </c>
      <c r="F575" s="11" t="s">
        <v>45</v>
      </c>
      <c r="G575" s="10">
        <v>577.0</v>
      </c>
      <c r="H575" s="10">
        <f>VLOOKUP(F575,'Generos y Familia'!$A$1:$C$623,2,FALSE)</f>
        <v>40</v>
      </c>
      <c r="I575" s="12" t="str">
        <f t="shared" si="1"/>
        <v>Hibiscus fragilis</v>
      </c>
      <c r="J575" s="10" t="str">
        <f t="shared" si="2"/>
        <v>577 Hibiscus fragilis</v>
      </c>
      <c r="K575" s="10" t="str">
        <f t="shared" si="3"/>
        <v>Cayena Doble Flor</v>
      </c>
      <c r="L575" s="10" t="str">
        <f t="shared" si="4"/>
        <v>577 Cayena Doble Flor</v>
      </c>
      <c r="M575" s="10" t="s">
        <v>35</v>
      </c>
      <c r="N575" s="10" t="s">
        <v>36</v>
      </c>
      <c r="O575" s="10" t="s">
        <v>47</v>
      </c>
      <c r="P575" s="10" t="s">
        <v>1618</v>
      </c>
      <c r="Q575" s="17" t="s">
        <v>612</v>
      </c>
      <c r="R575" s="14"/>
      <c r="S575" s="17" t="s">
        <v>145</v>
      </c>
      <c r="T575" s="14"/>
      <c r="U575" s="14" t="s">
        <v>40</v>
      </c>
      <c r="V575" s="14"/>
      <c r="W575" s="17"/>
      <c r="X575" s="14" t="s">
        <v>41</v>
      </c>
    </row>
    <row r="576" ht="14.25" customHeight="1">
      <c r="A576" s="10" t="s">
        <v>1364</v>
      </c>
      <c r="B576" s="10" t="s">
        <v>31</v>
      </c>
      <c r="C576" s="10">
        <v>578.0</v>
      </c>
      <c r="D576" s="11" t="s">
        <v>1622</v>
      </c>
      <c r="E576" s="11" t="s">
        <v>1623</v>
      </c>
      <c r="F576" s="11" t="s">
        <v>45</v>
      </c>
      <c r="G576" s="10">
        <v>578.0</v>
      </c>
      <c r="H576" s="10">
        <f>VLOOKUP(F576,'Generos y Familia'!$A$1:$C$623,2,FALSE)</f>
        <v>40</v>
      </c>
      <c r="I576" s="12" t="str">
        <f t="shared" si="1"/>
        <v>Hibiscus mutabilis</v>
      </c>
      <c r="J576" s="10" t="str">
        <f t="shared" si="2"/>
        <v>578 Hibiscus mutabilis</v>
      </c>
      <c r="K576" s="10" t="str">
        <f t="shared" si="3"/>
        <v>Rosa de Mayo; Algodón Rosa; Algodón; Cayeno; Malva</v>
      </c>
      <c r="L576" s="10" t="str">
        <f t="shared" si="4"/>
        <v>578 Rosa de Mayo; Algodón Rosa; Algodón; Cayeno; Malva</v>
      </c>
      <c r="M576" s="10" t="s">
        <v>46</v>
      </c>
      <c r="N576" s="10" t="s">
        <v>36</v>
      </c>
      <c r="O576" s="10" t="s">
        <v>47</v>
      </c>
      <c r="P576" s="10" t="s">
        <v>1618</v>
      </c>
      <c r="Q576" s="17" t="s">
        <v>632</v>
      </c>
      <c r="R576" s="14" t="s">
        <v>39</v>
      </c>
      <c r="S576" s="17" t="s">
        <v>145</v>
      </c>
      <c r="T576" s="14"/>
      <c r="U576" s="14" t="s">
        <v>55</v>
      </c>
      <c r="V576" s="14"/>
      <c r="W576" s="18"/>
      <c r="X576" s="14" t="s">
        <v>41</v>
      </c>
    </row>
    <row r="577" ht="14.25" customHeight="1">
      <c r="A577" s="10" t="s">
        <v>1364</v>
      </c>
      <c r="B577" s="10" t="s">
        <v>31</v>
      </c>
      <c r="C577" s="10">
        <v>579.0</v>
      </c>
      <c r="D577" s="11" t="s">
        <v>1624</v>
      </c>
      <c r="E577" s="11" t="s">
        <v>1625</v>
      </c>
      <c r="F577" s="11" t="s">
        <v>45</v>
      </c>
      <c r="G577" s="10">
        <v>579.0</v>
      </c>
      <c r="H577" s="10">
        <f>VLOOKUP(F577,'Generos y Familia'!$A$1:$C$623,2,FALSE)</f>
        <v>40</v>
      </c>
      <c r="I577" s="12" t="str">
        <f t="shared" si="1"/>
        <v>Hibiscus rosa-sinensis</v>
      </c>
      <c r="J577" s="10" t="str">
        <f t="shared" si="2"/>
        <v>579 Hibiscus rosa-sinensis</v>
      </c>
      <c r="K577" s="10" t="str">
        <f t="shared" si="3"/>
        <v>San Joaquín; Cayeno; Sanjoaquín; Resucitado</v>
      </c>
      <c r="L577" s="10" t="str">
        <f t="shared" si="4"/>
        <v>579 San Joaquín; Cayeno; Sanjoaquín; Resucitado</v>
      </c>
      <c r="M577" s="10" t="s">
        <v>46</v>
      </c>
      <c r="N577" s="10" t="s">
        <v>36</v>
      </c>
      <c r="O577" s="10" t="s">
        <v>47</v>
      </c>
      <c r="P577" s="10" t="s">
        <v>1618</v>
      </c>
      <c r="Q577" s="17" t="s">
        <v>632</v>
      </c>
      <c r="R577" s="14" t="s">
        <v>39</v>
      </c>
      <c r="S577" s="17" t="s">
        <v>145</v>
      </c>
      <c r="T577" s="14" t="s">
        <v>39</v>
      </c>
      <c r="U577" s="14" t="s">
        <v>55</v>
      </c>
      <c r="V577" s="14"/>
      <c r="W577" s="17"/>
      <c r="X577" s="14"/>
    </row>
    <row r="578" ht="14.25" customHeight="1">
      <c r="A578" s="10" t="s">
        <v>1364</v>
      </c>
      <c r="B578" s="10" t="s">
        <v>31</v>
      </c>
      <c r="C578" s="10">
        <v>580.0</v>
      </c>
      <c r="D578" s="11" t="s">
        <v>1626</v>
      </c>
      <c r="E578" s="11" t="s">
        <v>1627</v>
      </c>
      <c r="F578" s="11" t="s">
        <v>45</v>
      </c>
      <c r="G578" s="10">
        <v>580.0</v>
      </c>
      <c r="H578" s="10">
        <f>VLOOKUP(F578,'Generos y Familia'!$A$1:$C$623,2,FALSE)</f>
        <v>40</v>
      </c>
      <c r="I578" s="12" t="str">
        <f t="shared" si="1"/>
        <v>Hibiscus sabdariffa</v>
      </c>
      <c r="J578" s="10" t="str">
        <f t="shared" si="2"/>
        <v>580 Hibiscus sabdariffa</v>
      </c>
      <c r="K578" s="10" t="str">
        <f t="shared" si="3"/>
        <v>Planta de Jamaica</v>
      </c>
      <c r="L578" s="10" t="str">
        <f t="shared" si="4"/>
        <v>580 Planta de Jamaica</v>
      </c>
      <c r="M578" s="10" t="s">
        <v>46</v>
      </c>
      <c r="N578" s="10" t="s">
        <v>36</v>
      </c>
      <c r="O578" s="10" t="s">
        <v>47</v>
      </c>
      <c r="P578" s="10" t="s">
        <v>1618</v>
      </c>
      <c r="Q578" s="13"/>
      <c r="R578" s="13"/>
      <c r="S578" s="13"/>
      <c r="T578" s="13"/>
      <c r="U578" s="13"/>
      <c r="V578" s="13"/>
      <c r="W578" s="16"/>
      <c r="X578" s="13"/>
    </row>
    <row r="579" ht="14.25" customHeight="1">
      <c r="A579" s="10" t="s">
        <v>1364</v>
      </c>
      <c r="B579" s="10" t="s">
        <v>31</v>
      </c>
      <c r="C579" s="10">
        <v>581.0</v>
      </c>
      <c r="D579" s="11" t="s">
        <v>1628</v>
      </c>
      <c r="E579" s="11" t="s">
        <v>1629</v>
      </c>
      <c r="F579" s="11" t="s">
        <v>45</v>
      </c>
      <c r="G579" s="10">
        <v>581.0</v>
      </c>
      <c r="H579" s="10">
        <f>VLOOKUP(F579,'Generos y Familia'!$A$1:$C$623,2,FALSE)</f>
        <v>40</v>
      </c>
      <c r="I579" s="12" t="str">
        <f t="shared" si="1"/>
        <v>Hibiscus schizopetalus</v>
      </c>
      <c r="J579" s="10" t="str">
        <f t="shared" si="2"/>
        <v>581 Hibiscus schizopetalus</v>
      </c>
      <c r="K579" s="10" t="str">
        <f t="shared" si="3"/>
        <v>San Joaquín Rojo; Cardenal; Rosa China; Canastilla; Farolito; Rojo Chiroso; Rosito de Canasta</v>
      </c>
      <c r="L579" s="10" t="str">
        <f t="shared" si="4"/>
        <v>581 San Joaquín Rojo; Cardenal; Rosa China; Canastilla; Farolito; Rojo Chiroso; Rosito de Canasta</v>
      </c>
      <c r="M579" s="10" t="s">
        <v>46</v>
      </c>
      <c r="N579" s="10" t="s">
        <v>36</v>
      </c>
      <c r="O579" s="10" t="s">
        <v>47</v>
      </c>
      <c r="P579" s="10" t="s">
        <v>1618</v>
      </c>
      <c r="Q579" s="17" t="s">
        <v>347</v>
      </c>
      <c r="R579" s="14" t="s">
        <v>39</v>
      </c>
      <c r="S579" s="17" t="s">
        <v>145</v>
      </c>
      <c r="T579" s="14"/>
      <c r="U579" s="14" t="s">
        <v>55</v>
      </c>
      <c r="V579" s="14"/>
      <c r="W579" s="18"/>
      <c r="X579" s="14" t="s">
        <v>41</v>
      </c>
    </row>
    <row r="580" ht="14.25" customHeight="1">
      <c r="A580" s="10" t="s">
        <v>1364</v>
      </c>
      <c r="B580" s="10" t="s">
        <v>31</v>
      </c>
      <c r="C580" s="10">
        <v>582.0</v>
      </c>
      <c r="D580" s="11" t="s">
        <v>1630</v>
      </c>
      <c r="E580" s="11" t="s">
        <v>1631</v>
      </c>
      <c r="F580" s="11" t="s">
        <v>45</v>
      </c>
      <c r="G580" s="10">
        <v>582.0</v>
      </c>
      <c r="H580" s="10">
        <f>VLOOKUP(F580,'Generos y Familia'!$A$1:$C$623,2,FALSE)</f>
        <v>40</v>
      </c>
      <c r="I580" s="12" t="str">
        <f t="shared" si="1"/>
        <v>Hibiscus sp</v>
      </c>
      <c r="J580" s="10" t="str">
        <f t="shared" si="2"/>
        <v>582 Hibiscus sp</v>
      </c>
      <c r="K580" s="10" t="str">
        <f t="shared" si="3"/>
        <v>San Joaquin</v>
      </c>
      <c r="L580" s="10" t="str">
        <f t="shared" si="4"/>
        <v>582 San Joaquin</v>
      </c>
      <c r="M580" s="10" t="s">
        <v>35</v>
      </c>
      <c r="N580" s="10" t="s">
        <v>36</v>
      </c>
      <c r="O580" s="10" t="s">
        <v>47</v>
      </c>
      <c r="P580" s="10" t="s">
        <v>1618</v>
      </c>
      <c r="Q580" s="17" t="s">
        <v>1632</v>
      </c>
      <c r="R580" s="14"/>
      <c r="S580" s="17" t="s">
        <v>689</v>
      </c>
      <c r="T580" s="14"/>
      <c r="U580" s="14" t="s">
        <v>55</v>
      </c>
      <c r="V580" s="14"/>
      <c r="W580" s="18"/>
      <c r="X580" s="14" t="s">
        <v>41</v>
      </c>
    </row>
    <row r="581" ht="14.25" customHeight="1">
      <c r="A581" s="10" t="s">
        <v>1364</v>
      </c>
      <c r="B581" s="10" t="s">
        <v>31</v>
      </c>
      <c r="C581" s="10">
        <v>583.0</v>
      </c>
      <c r="D581" s="11" t="s">
        <v>1633</v>
      </c>
      <c r="E581" s="11" t="s">
        <v>1634</v>
      </c>
      <c r="F581" s="11" t="s">
        <v>45</v>
      </c>
      <c r="G581" s="10">
        <v>583.0</v>
      </c>
      <c r="H581" s="10">
        <f>VLOOKUP(F581,'Generos y Familia'!$A$1:$C$623,2,FALSE)</f>
        <v>40</v>
      </c>
      <c r="I581" s="12" t="str">
        <f t="shared" si="1"/>
        <v>Hibiscus syriacus</v>
      </c>
      <c r="J581" s="10" t="str">
        <f t="shared" si="2"/>
        <v>583 Hibiscus syriacus</v>
      </c>
      <c r="K581" s="10" t="str">
        <f t="shared" si="3"/>
        <v>San Joaquin Morado; Resucitado</v>
      </c>
      <c r="L581" s="10" t="str">
        <f t="shared" si="4"/>
        <v>583 San Joaquin Morado; Resucitado</v>
      </c>
      <c r="M581" s="10" t="s">
        <v>46</v>
      </c>
      <c r="N581" s="10" t="s">
        <v>36</v>
      </c>
      <c r="O581" s="10" t="s">
        <v>47</v>
      </c>
      <c r="P581" s="10" t="s">
        <v>1618</v>
      </c>
      <c r="Q581" s="17" t="s">
        <v>1635</v>
      </c>
      <c r="R581" s="14" t="s">
        <v>39</v>
      </c>
      <c r="S581" s="17" t="s">
        <v>290</v>
      </c>
      <c r="T581" s="14"/>
      <c r="U581" s="14" t="s">
        <v>55</v>
      </c>
      <c r="V581" s="14"/>
      <c r="W581" s="17"/>
      <c r="X581" s="14" t="s">
        <v>41</v>
      </c>
    </row>
    <row r="582" ht="14.25" customHeight="1">
      <c r="A582" s="10" t="s">
        <v>1364</v>
      </c>
      <c r="B582" s="10" t="s">
        <v>31</v>
      </c>
      <c r="C582" s="10">
        <v>584.0</v>
      </c>
      <c r="D582" s="11" t="s">
        <v>1636</v>
      </c>
      <c r="E582" s="11" t="s">
        <v>1637</v>
      </c>
      <c r="F582" s="11" t="s">
        <v>82</v>
      </c>
      <c r="G582" s="10">
        <v>584.0</v>
      </c>
      <c r="H582" s="10">
        <f>VLOOKUP(F582,'Generos y Familia'!$A$1:$C$623,2,FALSE)</f>
        <v>26</v>
      </c>
      <c r="I582" s="12" t="str">
        <f t="shared" si="1"/>
        <v>Hieronyma alchorneoides</v>
      </c>
      <c r="J582" s="10" t="str">
        <f t="shared" si="2"/>
        <v>584 Hieronyma alchorneoides</v>
      </c>
      <c r="K582" s="10" t="str">
        <f t="shared" si="3"/>
        <v>Candelo; Palo Curtidor</v>
      </c>
      <c r="L582" s="10" t="str">
        <f t="shared" si="4"/>
        <v>584 Candelo; Palo Curtidor</v>
      </c>
      <c r="M582" s="10" t="s">
        <v>35</v>
      </c>
      <c r="N582" s="10" t="s">
        <v>36</v>
      </c>
      <c r="O582" s="10" t="s">
        <v>37</v>
      </c>
      <c r="P582" s="10" t="s">
        <v>1638</v>
      </c>
      <c r="Q582" s="17" t="s">
        <v>54</v>
      </c>
      <c r="R582" s="14" t="s">
        <v>39</v>
      </c>
      <c r="S582" s="17" t="s">
        <v>334</v>
      </c>
      <c r="T582" s="14"/>
      <c r="U582" s="14" t="s">
        <v>40</v>
      </c>
      <c r="V582" s="14"/>
      <c r="W582" s="18"/>
      <c r="X582" s="14" t="s">
        <v>41</v>
      </c>
    </row>
    <row r="583" ht="14.25" customHeight="1">
      <c r="A583" s="10" t="s">
        <v>1364</v>
      </c>
      <c r="B583" s="10" t="s">
        <v>31</v>
      </c>
      <c r="C583" s="10">
        <v>585.0</v>
      </c>
      <c r="D583" s="11" t="s">
        <v>1639</v>
      </c>
      <c r="E583" s="11" t="s">
        <v>1640</v>
      </c>
      <c r="F583" s="11" t="s">
        <v>206</v>
      </c>
      <c r="G583" s="10">
        <v>585.0</v>
      </c>
      <c r="H583" s="10">
        <f>VLOOKUP(F583,'Generos y Familia'!$A$1:$C$623,2,FALSE)</f>
        <v>9</v>
      </c>
      <c r="I583" s="12" t="str">
        <f t="shared" si="1"/>
        <v>Himatanthus drasticus</v>
      </c>
      <c r="J583" s="10" t="str">
        <f t="shared" si="2"/>
        <v>585 Himatanthus drasticus</v>
      </c>
      <c r="K583" s="10" t="str">
        <f t="shared" si="3"/>
        <v>Plumel; Árbol de la Vida</v>
      </c>
      <c r="L583" s="10" t="str">
        <f t="shared" si="4"/>
        <v>585 Plumel; Árbol de la Vida</v>
      </c>
      <c r="M583" s="10" t="s">
        <v>35</v>
      </c>
      <c r="N583" s="10" t="s">
        <v>36</v>
      </c>
      <c r="O583" s="10" t="s">
        <v>37</v>
      </c>
      <c r="P583" s="10" t="s">
        <v>1641</v>
      </c>
      <c r="Q583" s="17" t="s">
        <v>229</v>
      </c>
      <c r="R583" s="14" t="s">
        <v>39</v>
      </c>
      <c r="S583" s="17" t="s">
        <v>290</v>
      </c>
      <c r="T583" s="14"/>
      <c r="U583" s="14" t="s">
        <v>40</v>
      </c>
      <c r="V583" s="14"/>
      <c r="W583" s="18"/>
      <c r="X583" s="14" t="s">
        <v>41</v>
      </c>
    </row>
    <row r="584" ht="14.25" customHeight="1">
      <c r="A584" s="10" t="s">
        <v>1364</v>
      </c>
      <c r="B584" s="10" t="s">
        <v>31</v>
      </c>
      <c r="C584" s="10">
        <v>586.0</v>
      </c>
      <c r="D584" s="11" t="s">
        <v>1642</v>
      </c>
      <c r="E584" s="11" t="s">
        <v>1642</v>
      </c>
      <c r="F584" s="11" t="s">
        <v>206</v>
      </c>
      <c r="G584" s="10">
        <v>586.0</v>
      </c>
      <c r="H584" s="10">
        <f>VLOOKUP(F584,'Generos y Familia'!$A$1:$C$623,2,FALSE)</f>
        <v>9</v>
      </c>
      <c r="I584" s="12" t="str">
        <f t="shared" si="1"/>
        <v>Himatanthus sp</v>
      </c>
      <c r="J584" s="10" t="str">
        <f t="shared" si="2"/>
        <v>586 Himatanthus sp</v>
      </c>
      <c r="K584" s="10" t="str">
        <f t="shared" si="3"/>
        <v>Himatanthus sp</v>
      </c>
      <c r="L584" s="10" t="str">
        <f t="shared" si="4"/>
        <v>586 Himatanthus sp</v>
      </c>
      <c r="M584" s="10" t="s">
        <v>35</v>
      </c>
      <c r="N584" s="10" t="s">
        <v>36</v>
      </c>
      <c r="O584" s="10"/>
      <c r="P584" s="10" t="s">
        <v>1641</v>
      </c>
      <c r="Q584" s="13"/>
      <c r="R584" s="13"/>
      <c r="S584" s="13"/>
      <c r="T584" s="13"/>
      <c r="U584" s="13"/>
      <c r="V584" s="13"/>
      <c r="W584" s="16"/>
      <c r="X584" s="13"/>
    </row>
    <row r="585" ht="14.25" customHeight="1">
      <c r="A585" s="10" t="s">
        <v>1364</v>
      </c>
      <c r="B585" s="10" t="s">
        <v>31</v>
      </c>
      <c r="C585" s="10">
        <v>587.0</v>
      </c>
      <c r="D585" s="11" t="s">
        <v>1643</v>
      </c>
      <c r="E585" s="11" t="s">
        <v>1644</v>
      </c>
      <c r="F585" s="11" t="s">
        <v>45</v>
      </c>
      <c r="G585" s="10">
        <v>587.0</v>
      </c>
      <c r="H585" s="10">
        <f>VLOOKUP(F585,'Generos y Familia'!$A$1:$C$623,2,FALSE)</f>
        <v>40</v>
      </c>
      <c r="I585" s="12" t="str">
        <f t="shared" si="1"/>
        <v>Hoheria sexstylosa</v>
      </c>
      <c r="J585" s="10" t="str">
        <f t="shared" si="2"/>
        <v>587 Hoheria sexstylosa</v>
      </c>
      <c r="K585" s="10" t="str">
        <f t="shared" si="3"/>
        <v>Hoheria Sexstylosa</v>
      </c>
      <c r="L585" s="10" t="str">
        <f t="shared" si="4"/>
        <v>587 Hoheria Sexstylosa</v>
      </c>
      <c r="M585" s="10" t="s">
        <v>46</v>
      </c>
      <c r="N585" s="10" t="s">
        <v>28</v>
      </c>
      <c r="O585" s="10"/>
      <c r="P585" s="10" t="s">
        <v>1645</v>
      </c>
      <c r="Q585" s="13"/>
      <c r="R585" s="13"/>
      <c r="S585" s="13"/>
      <c r="T585" s="13"/>
      <c r="U585" s="13"/>
      <c r="V585" s="13"/>
      <c r="W585" s="16"/>
      <c r="X585" s="13"/>
    </row>
    <row r="586" ht="14.25" customHeight="1">
      <c r="A586" s="10" t="s">
        <v>1364</v>
      </c>
      <c r="B586" s="10" t="s">
        <v>31</v>
      </c>
      <c r="C586" s="10">
        <v>588.0</v>
      </c>
      <c r="D586" s="11" t="s">
        <v>1646</v>
      </c>
      <c r="E586" s="11" t="s">
        <v>1647</v>
      </c>
      <c r="F586" s="11" t="s">
        <v>136</v>
      </c>
      <c r="G586" s="10">
        <v>588.0</v>
      </c>
      <c r="H586" s="10">
        <f>VLOOKUP(F586,'Generos y Familia'!$A$1:$C$623,2,FALSE)</f>
        <v>34</v>
      </c>
      <c r="I586" s="12" t="str">
        <f t="shared" si="1"/>
        <v>Holmskioldia sanguinea</v>
      </c>
      <c r="J586" s="10" t="str">
        <f t="shared" si="2"/>
        <v>588 Holmskioldia sanguinea</v>
      </c>
      <c r="K586" s="10" t="str">
        <f t="shared" si="3"/>
        <v>Sombrilla China</v>
      </c>
      <c r="L586" s="10" t="str">
        <f t="shared" si="4"/>
        <v>588 Sombrilla China</v>
      </c>
      <c r="M586" s="10" t="s">
        <v>46</v>
      </c>
      <c r="N586" s="10" t="s">
        <v>36</v>
      </c>
      <c r="O586" s="10" t="s">
        <v>47</v>
      </c>
      <c r="P586" s="10" t="s">
        <v>1648</v>
      </c>
      <c r="Q586" s="17" t="s">
        <v>612</v>
      </c>
      <c r="R586" s="14"/>
      <c r="S586" s="17" t="s">
        <v>145</v>
      </c>
      <c r="T586" s="14"/>
      <c r="U586" s="14" t="s">
        <v>55</v>
      </c>
      <c r="V586" s="14"/>
      <c r="W586" s="18"/>
      <c r="X586" s="14" t="s">
        <v>41</v>
      </c>
    </row>
    <row r="587" ht="14.25" customHeight="1">
      <c r="A587" s="10" t="s">
        <v>1364</v>
      </c>
      <c r="B587" s="10" t="s">
        <v>31</v>
      </c>
      <c r="C587" s="10">
        <v>589.0</v>
      </c>
      <c r="D587" s="11" t="s">
        <v>1649</v>
      </c>
      <c r="E587" s="11" t="s">
        <v>1650</v>
      </c>
      <c r="F587" s="11" t="s">
        <v>116</v>
      </c>
      <c r="G587" s="10">
        <v>589.0</v>
      </c>
      <c r="H587" s="10">
        <f>VLOOKUP(F587,'Generos y Familia'!$A$1:$C$623,2,FALSE)</f>
        <v>14</v>
      </c>
      <c r="I587" s="12" t="str">
        <f t="shared" si="1"/>
        <v>Howea forsteriana</v>
      </c>
      <c r="J587" s="10" t="str">
        <f t="shared" si="2"/>
        <v>589 Howea forsteriana</v>
      </c>
      <c r="K587" s="10" t="str">
        <f t="shared" si="3"/>
        <v>Palma de Kentia</v>
      </c>
      <c r="L587" s="10" t="str">
        <f t="shared" si="4"/>
        <v>589 Palma de Kentia</v>
      </c>
      <c r="M587" s="10" t="s">
        <v>46</v>
      </c>
      <c r="N587" s="10" t="s">
        <v>28</v>
      </c>
      <c r="O587" s="10" t="s">
        <v>117</v>
      </c>
      <c r="P587" s="10" t="s">
        <v>1651</v>
      </c>
      <c r="Q587" s="17" t="s">
        <v>229</v>
      </c>
      <c r="R587" s="14"/>
      <c r="S587" s="17" t="s">
        <v>54</v>
      </c>
      <c r="T587" s="14"/>
      <c r="U587" s="14" t="s">
        <v>73</v>
      </c>
      <c r="V587" s="14"/>
      <c r="W587" s="17"/>
      <c r="X587" s="14" t="s">
        <v>41</v>
      </c>
    </row>
    <row r="588" ht="14.25" customHeight="1">
      <c r="A588" s="10" t="s">
        <v>1364</v>
      </c>
      <c r="B588" s="10" t="s">
        <v>31</v>
      </c>
      <c r="C588" s="10">
        <v>590.0</v>
      </c>
      <c r="D588" s="11" t="s">
        <v>1652</v>
      </c>
      <c r="E588" s="11" t="s">
        <v>1653</v>
      </c>
      <c r="F588" s="11" t="s">
        <v>45</v>
      </c>
      <c r="G588" s="10">
        <v>590.0</v>
      </c>
      <c r="H588" s="10">
        <f>VLOOKUP(F588,'Generos y Familia'!$A$1:$C$623,2,FALSE)</f>
        <v>40</v>
      </c>
      <c r="I588" s="12" t="str">
        <f t="shared" si="1"/>
        <v>Huberodendron patinoi</v>
      </c>
      <c r="J588" s="10" t="str">
        <f t="shared" si="2"/>
        <v>590 Huberodendron patinoi</v>
      </c>
      <c r="K588" s="10" t="str">
        <f t="shared" si="3"/>
        <v>Carrá; Naguare; Volador</v>
      </c>
      <c r="L588" s="10" t="str">
        <f t="shared" si="4"/>
        <v>590 Carrá; Naguare; Volador</v>
      </c>
      <c r="M588" s="10" t="s">
        <v>35</v>
      </c>
      <c r="N588" s="10" t="s">
        <v>36</v>
      </c>
      <c r="O588" s="10" t="s">
        <v>37</v>
      </c>
      <c r="P588" s="10" t="s">
        <v>1654</v>
      </c>
      <c r="Q588" s="13"/>
      <c r="R588" s="13"/>
      <c r="S588" s="13"/>
      <c r="T588" s="13"/>
      <c r="U588" s="15"/>
      <c r="V588" s="13"/>
      <c r="W588" s="16"/>
      <c r="X588" s="13"/>
    </row>
    <row r="589" ht="14.25" customHeight="1">
      <c r="A589" s="10" t="s">
        <v>1364</v>
      </c>
      <c r="B589" s="10" t="s">
        <v>31</v>
      </c>
      <c r="C589" s="10">
        <v>591.0</v>
      </c>
      <c r="D589" s="11" t="s">
        <v>1655</v>
      </c>
      <c r="E589" s="11" t="s">
        <v>1656</v>
      </c>
      <c r="F589" s="11" t="s">
        <v>82</v>
      </c>
      <c r="G589" s="10">
        <v>591.0</v>
      </c>
      <c r="H589" s="10">
        <f>VLOOKUP(F589,'Generos y Familia'!$A$1:$C$623,2,FALSE)</f>
        <v>26</v>
      </c>
      <c r="I589" s="12" t="str">
        <f t="shared" si="1"/>
        <v>Hura crepitans</v>
      </c>
      <c r="J589" s="10" t="str">
        <f t="shared" si="2"/>
        <v>591 Hura crepitans</v>
      </c>
      <c r="K589" s="10" t="str">
        <f t="shared" si="3"/>
        <v>Ceiba Bruja; Ceiba Amarilla; Tronador; Ceiba de Leche; Ceiba de Agua</v>
      </c>
      <c r="L589" s="10" t="str">
        <f t="shared" si="4"/>
        <v>591 Ceiba Bruja; Ceiba Amarilla; Tronador; Ceiba de Leche; Ceiba de Agua</v>
      </c>
      <c r="M589" s="10" t="s">
        <v>35</v>
      </c>
      <c r="N589" s="10" t="s">
        <v>36</v>
      </c>
      <c r="O589" s="10" t="s">
        <v>37</v>
      </c>
      <c r="P589" s="10" t="s">
        <v>1657</v>
      </c>
      <c r="Q589" s="17" t="s">
        <v>54</v>
      </c>
      <c r="R589" s="14" t="s">
        <v>39</v>
      </c>
      <c r="S589" s="17" t="s">
        <v>821</v>
      </c>
      <c r="T589" s="14" t="s">
        <v>39</v>
      </c>
      <c r="U589" s="14" t="s">
        <v>55</v>
      </c>
      <c r="V589" s="14">
        <v>0.41</v>
      </c>
      <c r="W589" s="17"/>
      <c r="X589" s="14"/>
    </row>
    <row r="590" ht="14.25" customHeight="1">
      <c r="A590" s="10" t="s">
        <v>1364</v>
      </c>
      <c r="B590" s="10" t="s">
        <v>31</v>
      </c>
      <c r="C590" s="10">
        <v>592.0</v>
      </c>
      <c r="D590" s="11" t="s">
        <v>1658</v>
      </c>
      <c r="E590" s="11" t="s">
        <v>1659</v>
      </c>
      <c r="F590" s="11" t="s">
        <v>34</v>
      </c>
      <c r="G590" s="10">
        <v>592.0</v>
      </c>
      <c r="H590" s="10">
        <f>VLOOKUP(F590,'Generos y Familia'!$A$1:$C$623,2,FALSE)</f>
        <v>27</v>
      </c>
      <c r="I590" s="12" t="str">
        <f t="shared" si="1"/>
        <v>Hymenaea courbaril</v>
      </c>
      <c r="J590" s="10" t="str">
        <f t="shared" si="2"/>
        <v>592 Hymenaea courbaril</v>
      </c>
      <c r="K590" s="10" t="str">
        <f t="shared" si="3"/>
        <v>Algarrobo; Algarrobillo; Ámbar; Copal; Courbail</v>
      </c>
      <c r="L590" s="10" t="str">
        <f t="shared" si="4"/>
        <v>592 Algarrobo; Algarrobillo; Ámbar; Copal; Courbail</v>
      </c>
      <c r="M590" s="10" t="s">
        <v>35</v>
      </c>
      <c r="N590" s="10" t="s">
        <v>36</v>
      </c>
      <c r="O590" s="10" t="s">
        <v>37</v>
      </c>
      <c r="P590" s="10" t="s">
        <v>1660</v>
      </c>
      <c r="Q590" s="13">
        <v>40.0</v>
      </c>
      <c r="R590" s="13" t="s">
        <v>39</v>
      </c>
      <c r="S590" s="13">
        <v>150.0</v>
      </c>
      <c r="T590" s="13" t="s">
        <v>39</v>
      </c>
      <c r="U590" s="13" t="s">
        <v>73</v>
      </c>
      <c r="V590" s="13">
        <v>0.82</v>
      </c>
      <c r="W590" s="13"/>
      <c r="X590" s="13"/>
    </row>
    <row r="591" ht="14.25" customHeight="1">
      <c r="A591" s="10" t="s">
        <v>1364</v>
      </c>
      <c r="B591" s="10" t="s">
        <v>31</v>
      </c>
      <c r="C591" s="10">
        <v>593.0</v>
      </c>
      <c r="D591" s="11" t="s">
        <v>1661</v>
      </c>
      <c r="E591" s="11" t="s">
        <v>1662</v>
      </c>
      <c r="F591" s="11" t="s">
        <v>34</v>
      </c>
      <c r="G591" s="10">
        <v>593.0</v>
      </c>
      <c r="H591" s="10">
        <f>VLOOKUP(F591,'Generos y Familia'!$A$1:$C$623,2,FALSE)</f>
        <v>27</v>
      </c>
      <c r="I591" s="12" t="str">
        <f t="shared" si="1"/>
        <v>Hymenaea oblongifolia</v>
      </c>
      <c r="J591" s="10" t="str">
        <f t="shared" si="2"/>
        <v>593 Hymenaea oblongifolia</v>
      </c>
      <c r="K591" s="10" t="str">
        <f t="shared" si="3"/>
        <v>Algarrobillo; Algarrobo; Coca de Mico</v>
      </c>
      <c r="L591" s="10" t="str">
        <f t="shared" si="4"/>
        <v>593 Algarrobillo; Algarrobo; Coca de Mico</v>
      </c>
      <c r="M591" s="10" t="s">
        <v>35</v>
      </c>
      <c r="N591" s="10" t="s">
        <v>36</v>
      </c>
      <c r="O591" s="10" t="s">
        <v>37</v>
      </c>
      <c r="P591" s="10" t="s">
        <v>1660</v>
      </c>
      <c r="Q591" s="13"/>
      <c r="R591" s="13"/>
      <c r="S591" s="13"/>
      <c r="T591" s="13"/>
      <c r="U591" s="13"/>
      <c r="V591" s="13"/>
      <c r="W591" s="16"/>
      <c r="X591" s="13"/>
    </row>
    <row r="592" ht="14.25" customHeight="1">
      <c r="A592" s="10" t="s">
        <v>1364</v>
      </c>
      <c r="B592" s="10" t="s">
        <v>31</v>
      </c>
      <c r="C592" s="10">
        <v>594.0</v>
      </c>
      <c r="D592" s="11" t="s">
        <v>1663</v>
      </c>
      <c r="E592" s="11" t="s">
        <v>1664</v>
      </c>
      <c r="F592" s="11" t="s">
        <v>116</v>
      </c>
      <c r="G592" s="10">
        <v>594.0</v>
      </c>
      <c r="H592" s="10">
        <f>VLOOKUP(F592,'Generos y Familia'!$A$1:$C$623,2,FALSE)</f>
        <v>14</v>
      </c>
      <c r="I592" s="12" t="str">
        <f t="shared" si="1"/>
        <v>Hyophorbe lagenicaulis</v>
      </c>
      <c r="J592" s="10" t="str">
        <f t="shared" si="2"/>
        <v>594 Hyophorbe lagenicaulis</v>
      </c>
      <c r="K592" s="10" t="str">
        <f t="shared" si="3"/>
        <v>Palma Botella; Palma Botella Enana; Palma Botella Mascarena</v>
      </c>
      <c r="L592" s="10" t="str">
        <f t="shared" si="4"/>
        <v>594 Palma Botella; Palma Botella Enana; Palma Botella Mascarena</v>
      </c>
      <c r="M592" s="10" t="s">
        <v>46</v>
      </c>
      <c r="N592" s="10" t="s">
        <v>36</v>
      </c>
      <c r="O592" s="10" t="s">
        <v>117</v>
      </c>
      <c r="P592" s="10" t="s">
        <v>1665</v>
      </c>
      <c r="Q592" s="17" t="s">
        <v>612</v>
      </c>
      <c r="R592" s="14" t="s">
        <v>39</v>
      </c>
      <c r="S592" s="17" t="s">
        <v>229</v>
      </c>
      <c r="T592" s="14" t="s">
        <v>39</v>
      </c>
      <c r="U592" s="14" t="s">
        <v>40</v>
      </c>
      <c r="V592" s="14"/>
      <c r="W592" s="17"/>
      <c r="X592" s="14"/>
    </row>
    <row r="593" ht="14.25" customHeight="1">
      <c r="A593" s="10" t="s">
        <v>1364</v>
      </c>
      <c r="B593" s="10" t="s">
        <v>31</v>
      </c>
      <c r="C593" s="10">
        <v>595.0</v>
      </c>
      <c r="D593" s="11" t="s">
        <v>1666</v>
      </c>
      <c r="E593" s="11" t="s">
        <v>1667</v>
      </c>
      <c r="F593" s="11" t="s">
        <v>116</v>
      </c>
      <c r="G593" s="10">
        <v>595.0</v>
      </c>
      <c r="H593" s="10">
        <f>VLOOKUP(F593,'Generos y Familia'!$A$1:$C$623,2,FALSE)</f>
        <v>14</v>
      </c>
      <c r="I593" s="12" t="str">
        <f t="shared" si="1"/>
        <v>Hyophorbe verschaffeltii</v>
      </c>
      <c r="J593" s="10" t="str">
        <f t="shared" si="2"/>
        <v>595 Hyophorbe verschaffeltii</v>
      </c>
      <c r="K593" s="10" t="str">
        <f t="shared" si="3"/>
        <v>Palma Huso; Palma de Cemento</v>
      </c>
      <c r="L593" s="10" t="str">
        <f t="shared" si="4"/>
        <v>595 Palma Huso; Palma de Cemento</v>
      </c>
      <c r="M593" s="10" t="s">
        <v>46</v>
      </c>
      <c r="N593" s="10" t="s">
        <v>36</v>
      </c>
      <c r="O593" s="10" t="s">
        <v>117</v>
      </c>
      <c r="P593" s="10" t="s">
        <v>1665</v>
      </c>
      <c r="Q593" s="13"/>
      <c r="R593" s="13"/>
      <c r="S593" s="13"/>
      <c r="T593" s="13"/>
      <c r="U593" s="13"/>
      <c r="V593" s="13"/>
      <c r="W593" s="16"/>
      <c r="X593" s="13"/>
    </row>
    <row r="594" ht="14.25" customHeight="1">
      <c r="A594" s="10" t="s">
        <v>1364</v>
      </c>
      <c r="B594" s="10" t="s">
        <v>31</v>
      </c>
      <c r="C594" s="10">
        <v>596.0</v>
      </c>
      <c r="D594" s="11" t="s">
        <v>1668</v>
      </c>
      <c r="E594" s="11" t="s">
        <v>1669</v>
      </c>
      <c r="F594" s="11" t="s">
        <v>1670</v>
      </c>
      <c r="G594" s="10">
        <v>596.0</v>
      </c>
      <c r="H594" s="10">
        <f>VLOOKUP(F594,'Generos y Familia'!$A$1:$C$623,2,FALSE)</f>
        <v>10</v>
      </c>
      <c r="I594" s="12" t="str">
        <f t="shared" si="1"/>
        <v>Ilex sp</v>
      </c>
      <c r="J594" s="10" t="str">
        <f t="shared" si="2"/>
        <v>596 Ilex sp</v>
      </c>
      <c r="K594" s="10" t="str">
        <f t="shared" si="3"/>
        <v>Cardenillo</v>
      </c>
      <c r="L594" s="10" t="str">
        <f t="shared" si="4"/>
        <v>596 Cardenillo</v>
      </c>
      <c r="M594" s="10" t="s">
        <v>35</v>
      </c>
      <c r="N594" s="10" t="s">
        <v>36</v>
      </c>
      <c r="O594" s="10" t="s">
        <v>37</v>
      </c>
      <c r="P594" s="10" t="s">
        <v>1671</v>
      </c>
      <c r="Q594" s="17" t="s">
        <v>338</v>
      </c>
      <c r="R594" s="14" t="s">
        <v>39</v>
      </c>
      <c r="S594" s="17" t="s">
        <v>70</v>
      </c>
      <c r="T594" s="14"/>
      <c r="U594" s="14" t="s">
        <v>40</v>
      </c>
      <c r="V594" s="14"/>
      <c r="W594" s="18"/>
      <c r="X594" s="14" t="s">
        <v>41</v>
      </c>
    </row>
    <row r="595" ht="14.25" customHeight="1">
      <c r="A595" s="10" t="s">
        <v>1364</v>
      </c>
      <c r="B595" s="10" t="s">
        <v>31</v>
      </c>
      <c r="C595" s="10">
        <v>597.0</v>
      </c>
      <c r="D595" s="11" t="s">
        <v>1672</v>
      </c>
      <c r="E595" s="11" t="s">
        <v>1673</v>
      </c>
      <c r="F595" s="11" t="s">
        <v>34</v>
      </c>
      <c r="G595" s="10">
        <v>597.0</v>
      </c>
      <c r="H595" s="10">
        <f>VLOOKUP(F595,'Generos y Familia'!$A$1:$C$623,2,FALSE)</f>
        <v>27</v>
      </c>
      <c r="I595" s="12" t="str">
        <f t="shared" si="1"/>
        <v>Indigofera sp</v>
      </c>
      <c r="J595" s="10" t="str">
        <f t="shared" si="2"/>
        <v>597 Indigofera sp</v>
      </c>
      <c r="K595" s="10" t="str">
        <f t="shared" si="3"/>
        <v>Añil</v>
      </c>
      <c r="L595" s="10" t="str">
        <f t="shared" si="4"/>
        <v>597 Añil</v>
      </c>
      <c r="M595" s="10" t="s">
        <v>46</v>
      </c>
      <c r="N595" s="10"/>
      <c r="O595" s="10"/>
      <c r="P595" s="10" t="s">
        <v>1674</v>
      </c>
      <c r="Q595" s="13"/>
      <c r="R595" s="13"/>
      <c r="S595" s="13"/>
      <c r="T595" s="13"/>
      <c r="U595" s="13"/>
      <c r="V595" s="13"/>
      <c r="W595" s="16"/>
      <c r="X595" s="13"/>
    </row>
    <row r="596" ht="14.25" customHeight="1">
      <c r="A596" s="10" t="s">
        <v>1364</v>
      </c>
      <c r="B596" s="10" t="s">
        <v>31</v>
      </c>
      <c r="C596" s="10">
        <v>598.0</v>
      </c>
      <c r="D596" s="11" t="s">
        <v>1675</v>
      </c>
      <c r="E596" s="11" t="s">
        <v>1676</v>
      </c>
      <c r="F596" s="11" t="s">
        <v>34</v>
      </c>
      <c r="G596" s="10">
        <v>598.0</v>
      </c>
      <c r="H596" s="10">
        <f>VLOOKUP(F596,'Generos y Familia'!$A$1:$C$623,2,FALSE)</f>
        <v>27</v>
      </c>
      <c r="I596" s="12" t="str">
        <f t="shared" si="1"/>
        <v>Inga acrocephala</v>
      </c>
      <c r="J596" s="10" t="str">
        <f t="shared" si="2"/>
        <v>598 Inga acrocephala</v>
      </c>
      <c r="K596" s="10" t="str">
        <f t="shared" si="3"/>
        <v>Guamo Churimo; Guamo; Guamo Machete</v>
      </c>
      <c r="L596" s="10" t="str">
        <f t="shared" si="4"/>
        <v>598 Guamo Churimo; Guamo; Guamo Machete</v>
      </c>
      <c r="M596" s="10" t="s">
        <v>35</v>
      </c>
      <c r="N596" s="10" t="s">
        <v>36</v>
      </c>
      <c r="O596" s="10" t="s">
        <v>37</v>
      </c>
      <c r="P596" s="10" t="s">
        <v>1677</v>
      </c>
      <c r="Q596" s="13"/>
      <c r="R596" s="13"/>
      <c r="S596" s="13"/>
      <c r="T596" s="13"/>
      <c r="U596" s="13"/>
      <c r="V596" s="13"/>
      <c r="W596" s="16"/>
      <c r="X596" s="13"/>
    </row>
    <row r="597" ht="14.25" customHeight="1">
      <c r="A597" s="10" t="s">
        <v>1364</v>
      </c>
      <c r="B597" s="10" t="s">
        <v>31</v>
      </c>
      <c r="C597" s="10">
        <v>599.0</v>
      </c>
      <c r="D597" s="11" t="s">
        <v>1678</v>
      </c>
      <c r="E597" s="11" t="s">
        <v>1679</v>
      </c>
      <c r="F597" s="11" t="s">
        <v>34</v>
      </c>
      <c r="G597" s="10">
        <v>599.0</v>
      </c>
      <c r="H597" s="10">
        <f>VLOOKUP(F597,'Generos y Familia'!$A$1:$C$623,2,FALSE)</f>
        <v>27</v>
      </c>
      <c r="I597" s="12" t="str">
        <f t="shared" si="1"/>
        <v>Inga alba</v>
      </c>
      <c r="J597" s="10" t="str">
        <f t="shared" si="2"/>
        <v>599 Inga alba</v>
      </c>
      <c r="K597" s="10" t="str">
        <f t="shared" si="3"/>
        <v>Guamo; Guamo Churimo; Carbonero; Guamo Caliente; Churimo</v>
      </c>
      <c r="L597" s="10" t="str">
        <f t="shared" si="4"/>
        <v>599 Guamo; Guamo Churimo; Carbonero; Guamo Caliente; Churimo</v>
      </c>
      <c r="M597" s="10" t="s">
        <v>35</v>
      </c>
      <c r="N597" s="10" t="s">
        <v>36</v>
      </c>
      <c r="O597" s="10" t="s">
        <v>37</v>
      </c>
      <c r="P597" s="10" t="s">
        <v>1677</v>
      </c>
      <c r="Q597" s="13"/>
      <c r="R597" s="13"/>
      <c r="S597" s="13"/>
      <c r="T597" s="13"/>
      <c r="U597" s="13"/>
      <c r="V597" s="13"/>
      <c r="W597" s="13"/>
      <c r="X597" s="13"/>
    </row>
    <row r="598" ht="14.25" customHeight="1">
      <c r="A598" s="10" t="s">
        <v>1364</v>
      </c>
      <c r="B598" s="10" t="s">
        <v>31</v>
      </c>
      <c r="C598" s="10">
        <v>600.0</v>
      </c>
      <c r="D598" s="11" t="s">
        <v>1680</v>
      </c>
      <c r="E598" s="11" t="s">
        <v>1681</v>
      </c>
      <c r="F598" s="11" t="s">
        <v>34</v>
      </c>
      <c r="G598" s="10">
        <v>600.0</v>
      </c>
      <c r="H598" s="10">
        <f>VLOOKUP(F598,'Generos y Familia'!$A$1:$C$623,2,FALSE)</f>
        <v>27</v>
      </c>
      <c r="I598" s="12" t="str">
        <f t="shared" si="1"/>
        <v>Inga chocoensis</v>
      </c>
      <c r="J598" s="10" t="str">
        <f t="shared" si="2"/>
        <v>600 Inga chocoensis</v>
      </c>
      <c r="K598" s="10" t="str">
        <f t="shared" si="3"/>
        <v>Guama</v>
      </c>
      <c r="L598" s="10" t="str">
        <f t="shared" si="4"/>
        <v>600 Guama</v>
      </c>
      <c r="M598" s="10" t="s">
        <v>35</v>
      </c>
      <c r="N598" s="10" t="s">
        <v>36</v>
      </c>
      <c r="O598" s="10" t="s">
        <v>37</v>
      </c>
      <c r="P598" s="10" t="s">
        <v>1677</v>
      </c>
      <c r="Q598" s="13"/>
      <c r="R598" s="13"/>
      <c r="S598" s="13"/>
      <c r="T598" s="13"/>
      <c r="U598" s="13"/>
      <c r="V598" s="13"/>
      <c r="W598" s="16"/>
      <c r="X598" s="13"/>
    </row>
    <row r="599" ht="14.25" customHeight="1">
      <c r="A599" s="10" t="s">
        <v>1364</v>
      </c>
      <c r="B599" s="10" t="s">
        <v>31</v>
      </c>
      <c r="C599" s="10">
        <v>601.0</v>
      </c>
      <c r="D599" s="11" t="s">
        <v>1682</v>
      </c>
      <c r="E599" s="11" t="s">
        <v>1683</v>
      </c>
      <c r="F599" s="11" t="s">
        <v>34</v>
      </c>
      <c r="G599" s="10">
        <v>601.0</v>
      </c>
      <c r="H599" s="10">
        <f>VLOOKUP(F599,'Generos y Familia'!$A$1:$C$623,2,FALSE)</f>
        <v>27</v>
      </c>
      <c r="I599" s="12" t="str">
        <f t="shared" si="1"/>
        <v>Inga codonantha</v>
      </c>
      <c r="J599" s="10" t="str">
        <f t="shared" si="2"/>
        <v>601 Inga codonantha</v>
      </c>
      <c r="K599" s="10" t="str">
        <f t="shared" si="3"/>
        <v>Guamo Santafereño</v>
      </c>
      <c r="L599" s="10" t="str">
        <f t="shared" si="4"/>
        <v>601 Guamo Santafereño</v>
      </c>
      <c r="M599" s="10" t="s">
        <v>35</v>
      </c>
      <c r="N599" s="10" t="s">
        <v>36</v>
      </c>
      <c r="O599" s="10" t="s">
        <v>37</v>
      </c>
      <c r="P599" s="10" t="s">
        <v>1677</v>
      </c>
      <c r="Q599" s="17" t="s">
        <v>668</v>
      </c>
      <c r="R599" s="14" t="s">
        <v>39</v>
      </c>
      <c r="S599" s="17" t="s">
        <v>486</v>
      </c>
      <c r="T599" s="14"/>
      <c r="U599" s="14" t="s">
        <v>55</v>
      </c>
      <c r="V599" s="14"/>
      <c r="W599" s="17"/>
      <c r="X599" s="14" t="s">
        <v>41</v>
      </c>
    </row>
    <row r="600" ht="14.25" customHeight="1">
      <c r="A600" s="10" t="s">
        <v>1364</v>
      </c>
      <c r="B600" s="10" t="s">
        <v>31</v>
      </c>
      <c r="C600" s="10">
        <v>602.0</v>
      </c>
      <c r="D600" s="11" t="s">
        <v>1684</v>
      </c>
      <c r="E600" s="11" t="s">
        <v>1685</v>
      </c>
      <c r="F600" s="11" t="s">
        <v>34</v>
      </c>
      <c r="G600" s="10">
        <v>602.0</v>
      </c>
      <c r="H600" s="10">
        <f>VLOOKUP(F600,'Generos y Familia'!$A$1:$C$623,2,FALSE)</f>
        <v>27</v>
      </c>
      <c r="I600" s="12" t="str">
        <f t="shared" si="1"/>
        <v>Inga densiflora</v>
      </c>
      <c r="J600" s="10" t="str">
        <f t="shared" si="2"/>
        <v>602 Inga densiflora</v>
      </c>
      <c r="K600" s="10" t="str">
        <f t="shared" si="3"/>
        <v>Guamo Macheto; Guamo; Guamo Machete</v>
      </c>
      <c r="L600" s="10" t="str">
        <f t="shared" si="4"/>
        <v>602 Guamo Macheto; Guamo; Guamo Machete</v>
      </c>
      <c r="M600" s="10" t="s">
        <v>35</v>
      </c>
      <c r="N600" s="10" t="s">
        <v>36</v>
      </c>
      <c r="O600" s="10" t="s">
        <v>37</v>
      </c>
      <c r="P600" s="10" t="s">
        <v>1677</v>
      </c>
      <c r="Q600" s="17" t="s">
        <v>668</v>
      </c>
      <c r="R600" s="14" t="s">
        <v>39</v>
      </c>
      <c r="S600" s="17" t="s">
        <v>486</v>
      </c>
      <c r="T600" s="14"/>
      <c r="U600" s="14" t="s">
        <v>40</v>
      </c>
      <c r="V600" s="14"/>
      <c r="W600" s="17"/>
      <c r="X600" s="14" t="s">
        <v>41</v>
      </c>
    </row>
    <row r="601" ht="14.25" customHeight="1">
      <c r="A601" s="10" t="s">
        <v>1364</v>
      </c>
      <c r="B601" s="10" t="s">
        <v>31</v>
      </c>
      <c r="C601" s="10">
        <v>603.0</v>
      </c>
      <c r="D601" s="11" t="s">
        <v>1686</v>
      </c>
      <c r="E601" s="11" t="s">
        <v>1687</v>
      </c>
      <c r="F601" s="11" t="s">
        <v>34</v>
      </c>
      <c r="G601" s="10">
        <v>603.0</v>
      </c>
      <c r="H601" s="10">
        <f>VLOOKUP(F601,'Generos y Familia'!$A$1:$C$623,2,FALSE)</f>
        <v>27</v>
      </c>
      <c r="I601" s="12" t="str">
        <f t="shared" si="1"/>
        <v>Inga edulis</v>
      </c>
      <c r="J601" s="10" t="str">
        <f t="shared" si="2"/>
        <v>603 Inga edulis</v>
      </c>
      <c r="K601" s="10" t="str">
        <f t="shared" si="3"/>
        <v>Guamo Rabodemico; Guamo; Algarroba; Algarrobillo; Ámbar; Copal</v>
      </c>
      <c r="L601" s="10" t="str">
        <f t="shared" si="4"/>
        <v>603 Guamo Rabodemico; Guamo; Algarroba; Algarrobillo; Ámbar; Copal</v>
      </c>
      <c r="M601" s="10" t="s">
        <v>35</v>
      </c>
      <c r="N601" s="10" t="s">
        <v>36</v>
      </c>
      <c r="O601" s="10" t="s">
        <v>37</v>
      </c>
      <c r="P601" s="10" t="s">
        <v>1677</v>
      </c>
      <c r="Q601" s="17" t="s">
        <v>229</v>
      </c>
      <c r="R601" s="14" t="s">
        <v>39</v>
      </c>
      <c r="S601" s="17" t="s">
        <v>486</v>
      </c>
      <c r="T601" s="14" t="s">
        <v>1338</v>
      </c>
      <c r="U601" s="14" t="s">
        <v>40</v>
      </c>
      <c r="V601" s="14"/>
      <c r="W601" s="18"/>
      <c r="X601" s="14"/>
    </row>
    <row r="602" ht="14.25" customHeight="1">
      <c r="A602" s="10" t="s">
        <v>1364</v>
      </c>
      <c r="B602" s="10" t="s">
        <v>31</v>
      </c>
      <c r="C602" s="10">
        <v>604.0</v>
      </c>
      <c r="D602" s="11" t="s">
        <v>1688</v>
      </c>
      <c r="E602" s="11" t="s">
        <v>1681</v>
      </c>
      <c r="F602" s="11" t="s">
        <v>34</v>
      </c>
      <c r="G602" s="10">
        <v>604.0</v>
      </c>
      <c r="H602" s="10">
        <f>VLOOKUP(F602,'Generos y Familia'!$A$1:$C$623,2,FALSE)</f>
        <v>27</v>
      </c>
      <c r="I602" s="12" t="str">
        <f t="shared" si="1"/>
        <v>Inga laurina</v>
      </c>
      <c r="J602" s="10" t="str">
        <f t="shared" si="2"/>
        <v>604 Inga laurina</v>
      </c>
      <c r="K602" s="10" t="str">
        <f t="shared" si="3"/>
        <v>Guama</v>
      </c>
      <c r="L602" s="10" t="str">
        <f t="shared" si="4"/>
        <v>604 Guama</v>
      </c>
      <c r="M602" s="10" t="s">
        <v>35</v>
      </c>
      <c r="N602" s="10" t="s">
        <v>36</v>
      </c>
      <c r="O602" s="10" t="s">
        <v>37</v>
      </c>
      <c r="P602" s="10" t="s">
        <v>1677</v>
      </c>
      <c r="Q602" s="17" t="s">
        <v>106</v>
      </c>
      <c r="R602" s="14"/>
      <c r="S602" s="17" t="s">
        <v>70</v>
      </c>
      <c r="T602" s="14"/>
      <c r="U602" s="14" t="s">
        <v>55</v>
      </c>
      <c r="V602" s="14"/>
      <c r="W602" s="17"/>
      <c r="X602" s="14"/>
    </row>
    <row r="603" ht="14.25" customHeight="1">
      <c r="A603" s="10" t="s">
        <v>1364</v>
      </c>
      <c r="B603" s="10" t="s">
        <v>31</v>
      </c>
      <c r="C603" s="10">
        <v>605.0</v>
      </c>
      <c r="D603" s="11" t="s">
        <v>1689</v>
      </c>
      <c r="E603" s="11" t="s">
        <v>1690</v>
      </c>
      <c r="F603" s="11" t="s">
        <v>34</v>
      </c>
      <c r="G603" s="10">
        <v>605.0</v>
      </c>
      <c r="H603" s="10">
        <f>VLOOKUP(F603,'Generos y Familia'!$A$1:$C$623,2,FALSE)</f>
        <v>27</v>
      </c>
      <c r="I603" s="12" t="str">
        <f t="shared" si="1"/>
        <v>Inga spectabilis</v>
      </c>
      <c r="J603" s="10" t="str">
        <f t="shared" si="2"/>
        <v>605 Inga spectabilis</v>
      </c>
      <c r="K603" s="10" t="str">
        <f t="shared" si="3"/>
        <v>Guamo Macheto; Guamo Copero; Churimba; Guamo Machete</v>
      </c>
      <c r="L603" s="10" t="str">
        <f t="shared" si="4"/>
        <v>605 Guamo Macheto; Guamo Copero; Churimba; Guamo Machete</v>
      </c>
      <c r="M603" s="10" t="s">
        <v>35</v>
      </c>
      <c r="N603" s="10" t="s">
        <v>36</v>
      </c>
      <c r="O603" s="10" t="s">
        <v>37</v>
      </c>
      <c r="P603" s="10" t="s">
        <v>1677</v>
      </c>
      <c r="Q603" s="17" t="s">
        <v>145</v>
      </c>
      <c r="R603" s="14" t="s">
        <v>1338</v>
      </c>
      <c r="S603" s="17" t="s">
        <v>486</v>
      </c>
      <c r="T603" s="14" t="s">
        <v>1338</v>
      </c>
      <c r="U603" s="14" t="s">
        <v>73</v>
      </c>
      <c r="V603" s="14"/>
      <c r="W603" s="18"/>
      <c r="X603" s="14"/>
    </row>
    <row r="604" ht="14.25" customHeight="1">
      <c r="A604" s="10" t="s">
        <v>1364</v>
      </c>
      <c r="B604" s="10" t="s">
        <v>31</v>
      </c>
      <c r="C604" s="10">
        <v>606.0</v>
      </c>
      <c r="D604" s="11" t="s">
        <v>1691</v>
      </c>
      <c r="E604" s="11" t="s">
        <v>1692</v>
      </c>
      <c r="F604" s="11" t="s">
        <v>34</v>
      </c>
      <c r="G604" s="10">
        <v>606.0</v>
      </c>
      <c r="H604" s="10">
        <f>VLOOKUP(F604,'Generos y Familia'!$A$1:$C$623,2,FALSE)</f>
        <v>27</v>
      </c>
      <c r="I604" s="12" t="str">
        <f t="shared" si="1"/>
        <v>Inga sp</v>
      </c>
      <c r="J604" s="10" t="str">
        <f t="shared" si="2"/>
        <v>606 Inga sp</v>
      </c>
      <c r="K604" s="10" t="str">
        <f t="shared" si="3"/>
        <v>Inga; Guama</v>
      </c>
      <c r="L604" s="10" t="str">
        <f t="shared" si="4"/>
        <v>606 Inga; Guama</v>
      </c>
      <c r="M604" s="10" t="s">
        <v>35</v>
      </c>
      <c r="N604" s="10" t="s">
        <v>36</v>
      </c>
      <c r="O604" s="10" t="s">
        <v>37</v>
      </c>
      <c r="P604" s="10" t="s">
        <v>1677</v>
      </c>
      <c r="Q604" s="17" t="s">
        <v>1693</v>
      </c>
      <c r="R604" s="14"/>
      <c r="S604" s="17" t="s">
        <v>1694</v>
      </c>
      <c r="T604" s="14"/>
      <c r="U604" s="14" t="s">
        <v>40</v>
      </c>
      <c r="V604" s="14"/>
      <c r="W604" s="17"/>
      <c r="X604" s="14" t="s">
        <v>41</v>
      </c>
    </row>
    <row r="605" ht="14.25" customHeight="1">
      <c r="A605" s="10" t="s">
        <v>1364</v>
      </c>
      <c r="B605" s="10" t="s">
        <v>31</v>
      </c>
      <c r="C605" s="10">
        <v>607.0</v>
      </c>
      <c r="D605" s="11" t="s">
        <v>1695</v>
      </c>
      <c r="E605" s="11" t="s">
        <v>1696</v>
      </c>
      <c r="F605" s="11" t="s">
        <v>34</v>
      </c>
      <c r="G605" s="10">
        <v>607.0</v>
      </c>
      <c r="H605" s="10">
        <f>VLOOKUP(F605,'Generos y Familia'!$A$1:$C$623,2,FALSE)</f>
        <v>27</v>
      </c>
      <c r="I605" s="12" t="str">
        <f t="shared" si="1"/>
        <v>Inga vera</v>
      </c>
      <c r="J605" s="10" t="str">
        <f t="shared" si="2"/>
        <v>607 Inga vera</v>
      </c>
      <c r="K605" s="10" t="str">
        <f t="shared" si="3"/>
        <v>Guamba; Guama del Orinoco</v>
      </c>
      <c r="L605" s="10" t="str">
        <f t="shared" si="4"/>
        <v>607 Guamba; Guama del Orinoco</v>
      </c>
      <c r="M605" s="10" t="s">
        <v>35</v>
      </c>
      <c r="N605" s="10" t="s">
        <v>36</v>
      </c>
      <c r="O605" s="10" t="s">
        <v>37</v>
      </c>
      <c r="P605" s="10" t="s">
        <v>1677</v>
      </c>
      <c r="Q605" s="17" t="s">
        <v>54</v>
      </c>
      <c r="R605" s="14"/>
      <c r="S605" s="17" t="s">
        <v>70</v>
      </c>
      <c r="T605" s="14"/>
      <c r="U605" s="14" t="s">
        <v>55</v>
      </c>
      <c r="V605" s="14"/>
      <c r="W605" s="18"/>
      <c r="X605" s="14" t="s">
        <v>41</v>
      </c>
    </row>
    <row r="606" ht="14.25" customHeight="1">
      <c r="A606" s="10" t="s">
        <v>1364</v>
      </c>
      <c r="B606" s="10" t="s">
        <v>31</v>
      </c>
      <c r="C606" s="10">
        <v>608.0</v>
      </c>
      <c r="D606" s="11" t="s">
        <v>1697</v>
      </c>
      <c r="E606" s="11" t="s">
        <v>1698</v>
      </c>
      <c r="F606" s="11" t="s">
        <v>1699</v>
      </c>
      <c r="G606" s="10">
        <v>608.0</v>
      </c>
      <c r="H606" s="10">
        <f>VLOOKUP(F606,'Generos y Familia'!$A$1:$C$623,2,FALSE)</f>
        <v>41</v>
      </c>
      <c r="I606" s="12" t="str">
        <f t="shared" si="1"/>
        <v>Ipomoea carnea</v>
      </c>
      <c r="J606" s="10" t="str">
        <f t="shared" si="2"/>
        <v>608 Ipomoea carnea</v>
      </c>
      <c r="K606" s="10" t="str">
        <f t="shared" si="3"/>
        <v>Amapola Rosa</v>
      </c>
      <c r="L606" s="10" t="str">
        <f t="shared" si="4"/>
        <v>608 Amapola Rosa</v>
      </c>
      <c r="M606" s="10" t="s">
        <v>46</v>
      </c>
      <c r="N606" s="10" t="s">
        <v>36</v>
      </c>
      <c r="O606" s="10" t="s">
        <v>47</v>
      </c>
      <c r="P606" s="10" t="s">
        <v>1700</v>
      </c>
      <c r="Q606" s="13"/>
      <c r="R606" s="13"/>
      <c r="S606" s="13"/>
      <c r="T606" s="13"/>
      <c r="U606" s="13"/>
      <c r="V606" s="13"/>
      <c r="W606" s="16"/>
      <c r="X606" s="13"/>
    </row>
    <row r="607" ht="14.25" customHeight="1">
      <c r="A607" s="10" t="s">
        <v>1364</v>
      </c>
      <c r="B607" s="10" t="s">
        <v>31</v>
      </c>
      <c r="C607" s="10">
        <v>609.0</v>
      </c>
      <c r="D607" s="11" t="s">
        <v>1701</v>
      </c>
      <c r="E607" s="11" t="s">
        <v>1702</v>
      </c>
      <c r="F607" s="11" t="s">
        <v>116</v>
      </c>
      <c r="G607" s="10">
        <v>609.0</v>
      </c>
      <c r="H607" s="10">
        <f>VLOOKUP(F607,'Generos y Familia'!$A$1:$C$623,2,FALSE)</f>
        <v>14</v>
      </c>
      <c r="I607" s="12" t="str">
        <f t="shared" si="1"/>
        <v>Iriartea deltoidea</v>
      </c>
      <c r="J607" s="10" t="str">
        <f t="shared" si="2"/>
        <v>609 Iriartea deltoidea</v>
      </c>
      <c r="K607" s="10" t="str">
        <f t="shared" si="3"/>
        <v>Zancona; Palmito Dulce</v>
      </c>
      <c r="L607" s="10" t="str">
        <f t="shared" si="4"/>
        <v>609 Zancona; Palmito Dulce</v>
      </c>
      <c r="M607" s="10" t="s">
        <v>35</v>
      </c>
      <c r="N607" s="10" t="s">
        <v>36</v>
      </c>
      <c r="O607" s="10" t="s">
        <v>117</v>
      </c>
      <c r="P607" s="10" t="s">
        <v>1703</v>
      </c>
      <c r="Q607" s="13"/>
      <c r="R607" s="13"/>
      <c r="S607" s="13"/>
      <c r="T607" s="13"/>
      <c r="U607" s="13"/>
      <c r="V607" s="13"/>
      <c r="W607" s="13"/>
      <c r="X607" s="13"/>
    </row>
    <row r="608" ht="14.25" customHeight="1">
      <c r="A608" s="10" t="s">
        <v>1364</v>
      </c>
      <c r="B608" s="10" t="s">
        <v>31</v>
      </c>
      <c r="C608" s="10">
        <v>610.0</v>
      </c>
      <c r="D608" s="11" t="s">
        <v>1704</v>
      </c>
      <c r="E608" s="11" t="s">
        <v>1705</v>
      </c>
      <c r="F608" s="11" t="s">
        <v>310</v>
      </c>
      <c r="G608" s="10">
        <v>610.0</v>
      </c>
      <c r="H608" s="10">
        <f>VLOOKUP(F608,'Generos y Familia'!$A$1:$C$623,2,FALSE)</f>
        <v>79</v>
      </c>
      <c r="I608" s="12" t="str">
        <f t="shared" si="1"/>
        <v>Isertia haenkeana</v>
      </c>
      <c r="J608" s="10" t="str">
        <f t="shared" si="2"/>
        <v>610 Isertia haenkeana</v>
      </c>
      <c r="K608" s="10" t="str">
        <f t="shared" si="3"/>
        <v>Coralillo; Tabaquillo; Guacharaco; Flor de Mayo</v>
      </c>
      <c r="L608" s="10" t="str">
        <f t="shared" si="4"/>
        <v>610 Coralillo; Tabaquillo; Guacharaco; Flor de Mayo</v>
      </c>
      <c r="M608" s="10" t="s">
        <v>35</v>
      </c>
      <c r="N608" s="10" t="s">
        <v>36</v>
      </c>
      <c r="O608" s="10" t="s">
        <v>47</v>
      </c>
      <c r="P608" s="10" t="s">
        <v>1706</v>
      </c>
      <c r="Q608" s="13"/>
      <c r="R608" s="13"/>
      <c r="S608" s="13"/>
      <c r="T608" s="13"/>
      <c r="U608" s="13"/>
      <c r="V608" s="13"/>
      <c r="W608" s="16"/>
      <c r="X608" s="13"/>
    </row>
    <row r="609" ht="14.25" customHeight="1">
      <c r="A609" s="10" t="s">
        <v>1364</v>
      </c>
      <c r="B609" s="10" t="s">
        <v>31</v>
      </c>
      <c r="C609" s="10">
        <v>611.0</v>
      </c>
      <c r="D609" s="11" t="s">
        <v>1707</v>
      </c>
      <c r="E609" s="11" t="s">
        <v>1708</v>
      </c>
      <c r="F609" s="11" t="s">
        <v>310</v>
      </c>
      <c r="G609" s="10">
        <v>611.0</v>
      </c>
      <c r="H609" s="10">
        <f>VLOOKUP(F609,'Generos y Familia'!$A$1:$C$623,2,FALSE)</f>
        <v>79</v>
      </c>
      <c r="I609" s="12" t="str">
        <f t="shared" si="1"/>
        <v>Ixora coccinea</v>
      </c>
      <c r="J609" s="10" t="str">
        <f t="shared" si="2"/>
        <v>611 Ixora coccinea</v>
      </c>
      <c r="K609" s="10" t="str">
        <f t="shared" si="3"/>
        <v>Coral; Coralito; Coral de la India; Coral Rojo</v>
      </c>
      <c r="L609" s="10" t="str">
        <f t="shared" si="4"/>
        <v>611 Coral; Coralito; Coral de la India; Coral Rojo</v>
      </c>
      <c r="M609" s="10" t="s">
        <v>46</v>
      </c>
      <c r="N609" s="10" t="s">
        <v>36</v>
      </c>
      <c r="O609" s="10" t="s">
        <v>47</v>
      </c>
      <c r="P609" s="10" t="s">
        <v>1709</v>
      </c>
      <c r="Q609" s="13">
        <v>3.0</v>
      </c>
      <c r="R609" s="13" t="s">
        <v>39</v>
      </c>
      <c r="S609" s="13">
        <v>10.0</v>
      </c>
      <c r="T609" s="13" t="s">
        <v>39</v>
      </c>
      <c r="U609" s="13" t="s">
        <v>55</v>
      </c>
      <c r="V609" s="13"/>
      <c r="W609" s="13"/>
      <c r="X609" s="13"/>
    </row>
    <row r="610" ht="14.25" customHeight="1">
      <c r="A610" s="10" t="s">
        <v>1364</v>
      </c>
      <c r="B610" s="10" t="s">
        <v>31</v>
      </c>
      <c r="C610" s="10">
        <v>612.0</v>
      </c>
      <c r="D610" s="11" t="s">
        <v>1710</v>
      </c>
      <c r="E610" s="11" t="s">
        <v>1709</v>
      </c>
      <c r="F610" s="11" t="s">
        <v>310</v>
      </c>
      <c r="G610" s="10">
        <v>612.0</v>
      </c>
      <c r="H610" s="10">
        <f>VLOOKUP(F610,'Generos y Familia'!$A$1:$C$623,2,FALSE)</f>
        <v>79</v>
      </c>
      <c r="I610" s="12" t="str">
        <f t="shared" si="1"/>
        <v>Ixora nicaraguensis</v>
      </c>
      <c r="J610" s="10" t="str">
        <f t="shared" si="2"/>
        <v>612 Ixora nicaraguensis</v>
      </c>
      <c r="K610" s="10" t="str">
        <f t="shared" si="3"/>
        <v>Ixora</v>
      </c>
      <c r="L610" s="10" t="str">
        <f t="shared" si="4"/>
        <v>612 Ixora</v>
      </c>
      <c r="M610" s="10" t="s">
        <v>35</v>
      </c>
      <c r="N610" s="10" t="s">
        <v>36</v>
      </c>
      <c r="O610" s="10" t="s">
        <v>47</v>
      </c>
      <c r="P610" s="10" t="s">
        <v>1709</v>
      </c>
      <c r="Q610" s="13"/>
      <c r="R610" s="13"/>
      <c r="S610" s="13"/>
      <c r="T610" s="13"/>
      <c r="U610" s="13"/>
      <c r="V610" s="13"/>
      <c r="W610" s="13"/>
      <c r="X610" s="13"/>
    </row>
    <row r="611" ht="14.25" customHeight="1">
      <c r="A611" s="10" t="s">
        <v>1364</v>
      </c>
      <c r="B611" s="10" t="s">
        <v>31</v>
      </c>
      <c r="C611" s="10">
        <v>613.0</v>
      </c>
      <c r="D611" s="11" t="s">
        <v>1711</v>
      </c>
      <c r="E611" s="11" t="s">
        <v>1712</v>
      </c>
      <c r="F611" s="11" t="s">
        <v>310</v>
      </c>
      <c r="G611" s="10">
        <v>613.0</v>
      </c>
      <c r="H611" s="10">
        <f>VLOOKUP(F611,'Generos y Familia'!$A$1:$C$623,2,FALSE)</f>
        <v>79</v>
      </c>
      <c r="I611" s="12" t="str">
        <f t="shared" si="1"/>
        <v>Ixora sp</v>
      </c>
      <c r="J611" s="10" t="str">
        <f t="shared" si="2"/>
        <v>613 Ixora sp</v>
      </c>
      <c r="K611" s="10" t="str">
        <f t="shared" si="3"/>
        <v>Cruz de Malta; Coralillo; Santa Rita; Rangan; Kheme; Ponna</v>
      </c>
      <c r="L611" s="10" t="str">
        <f t="shared" si="4"/>
        <v>613 Cruz de Malta; Coralillo; Santa Rita; Rangan; Kheme; Ponna</v>
      </c>
      <c r="M611" s="10" t="s">
        <v>35</v>
      </c>
      <c r="N611" s="10" t="s">
        <v>36</v>
      </c>
      <c r="O611" s="10" t="s">
        <v>47</v>
      </c>
      <c r="P611" s="10" t="s">
        <v>1709</v>
      </c>
      <c r="Q611" s="13"/>
      <c r="R611" s="13"/>
      <c r="S611" s="13"/>
      <c r="T611" s="13"/>
      <c r="U611" s="13"/>
      <c r="V611" s="13"/>
      <c r="W611" s="13"/>
      <c r="X611" s="13"/>
    </row>
    <row r="612" ht="14.25" customHeight="1">
      <c r="A612" s="10" t="s">
        <v>1364</v>
      </c>
      <c r="B612" s="10" t="s">
        <v>31</v>
      </c>
      <c r="C612" s="10">
        <v>614.0</v>
      </c>
      <c r="D612" s="11" t="s">
        <v>1713</v>
      </c>
      <c r="E612" s="11" t="s">
        <v>1714</v>
      </c>
      <c r="F612" s="11" t="s">
        <v>248</v>
      </c>
      <c r="G612" s="10">
        <v>614.0</v>
      </c>
      <c r="H612" s="10">
        <f>VLOOKUP(F612,'Generos y Familia'!$A$1:$C$623,2,FALSE)</f>
        <v>20</v>
      </c>
      <c r="I612" s="12" t="str">
        <f t="shared" si="1"/>
        <v>Jacaranda caucana</v>
      </c>
      <c r="J612" s="10" t="str">
        <f t="shared" si="2"/>
        <v>614 Jacaranda caucana</v>
      </c>
      <c r="K612" s="10" t="str">
        <f t="shared" si="3"/>
        <v>Gualanday; Chingalé; Flormorado</v>
      </c>
      <c r="L612" s="10" t="str">
        <f t="shared" si="4"/>
        <v>614 Gualanday; Chingalé; Flormorado</v>
      </c>
      <c r="M612" s="10" t="s">
        <v>35</v>
      </c>
      <c r="N612" s="10" t="s">
        <v>36</v>
      </c>
      <c r="O612" s="10" t="s">
        <v>37</v>
      </c>
      <c r="P612" s="10" t="s">
        <v>1715</v>
      </c>
      <c r="Q612" s="17" t="s">
        <v>229</v>
      </c>
      <c r="R612" s="14" t="s">
        <v>39</v>
      </c>
      <c r="S612" s="17" t="s">
        <v>290</v>
      </c>
      <c r="T612" s="14"/>
      <c r="U612" s="14" t="s">
        <v>40</v>
      </c>
      <c r="V612" s="14"/>
      <c r="W612" s="17"/>
      <c r="X612" s="14" t="s">
        <v>41</v>
      </c>
    </row>
    <row r="613" ht="14.25" customHeight="1">
      <c r="A613" s="10" t="s">
        <v>1364</v>
      </c>
      <c r="B613" s="10" t="s">
        <v>31</v>
      </c>
      <c r="C613" s="10">
        <v>615.0</v>
      </c>
      <c r="D613" s="11" t="s">
        <v>1716</v>
      </c>
      <c r="E613" s="11" t="s">
        <v>1717</v>
      </c>
      <c r="F613" s="11" t="s">
        <v>248</v>
      </c>
      <c r="G613" s="10">
        <v>615.0</v>
      </c>
      <c r="H613" s="10">
        <f>VLOOKUP(F613,'Generos y Familia'!$A$1:$C$623,2,FALSE)</f>
        <v>20</v>
      </c>
      <c r="I613" s="12" t="str">
        <f t="shared" si="1"/>
        <v>Jacaranda copaia</v>
      </c>
      <c r="J613" s="10" t="str">
        <f t="shared" si="2"/>
        <v>615 Jacaranda copaia</v>
      </c>
      <c r="K613" s="10" t="str">
        <f t="shared" si="3"/>
        <v>Chingalé; Pavito; Gualanday; Vainillo; Gualancho</v>
      </c>
      <c r="L613" s="10" t="str">
        <f t="shared" si="4"/>
        <v>615 Chingalé; Pavito; Gualanday; Vainillo; Gualancho</v>
      </c>
      <c r="M613" s="10" t="s">
        <v>35</v>
      </c>
      <c r="N613" s="10" t="s">
        <v>36</v>
      </c>
      <c r="O613" s="10" t="s">
        <v>37</v>
      </c>
      <c r="P613" s="10" t="s">
        <v>1715</v>
      </c>
      <c r="Q613" s="17" t="s">
        <v>106</v>
      </c>
      <c r="R613" s="14" t="s">
        <v>39</v>
      </c>
      <c r="S613" s="17" t="s">
        <v>62</v>
      </c>
      <c r="T613" s="14"/>
      <c r="U613" s="14" t="s">
        <v>40</v>
      </c>
      <c r="V613" s="14"/>
      <c r="W613" s="18"/>
      <c r="X613" s="14"/>
    </row>
    <row r="614" ht="14.25" customHeight="1">
      <c r="A614" s="10" t="s">
        <v>1364</v>
      </c>
      <c r="B614" s="10" t="s">
        <v>31</v>
      </c>
      <c r="C614" s="10">
        <v>616.0</v>
      </c>
      <c r="D614" s="11" t="s">
        <v>1718</v>
      </c>
      <c r="E614" s="11" t="s">
        <v>1719</v>
      </c>
      <c r="F614" s="11" t="s">
        <v>248</v>
      </c>
      <c r="G614" s="10">
        <v>616.0</v>
      </c>
      <c r="H614" s="10">
        <f>VLOOKUP(F614,'Generos y Familia'!$A$1:$C$623,2,FALSE)</f>
        <v>20</v>
      </c>
      <c r="I614" s="12" t="str">
        <f t="shared" si="1"/>
        <v>Jacaranda hesperia</v>
      </c>
      <c r="J614" s="10" t="str">
        <f t="shared" si="2"/>
        <v>616 Jacaranda hesperia</v>
      </c>
      <c r="K614" s="10" t="str">
        <f t="shared" si="3"/>
        <v>Gualanday Nativo; Chingalé; Gualanday</v>
      </c>
      <c r="L614" s="10" t="str">
        <f t="shared" si="4"/>
        <v>616 Gualanday Nativo; Chingalé; Gualanday</v>
      </c>
      <c r="M614" s="10" t="s">
        <v>35</v>
      </c>
      <c r="N614" s="10" t="s">
        <v>36</v>
      </c>
      <c r="O614" s="10" t="s">
        <v>37</v>
      </c>
      <c r="P614" s="10" t="s">
        <v>1715</v>
      </c>
      <c r="Q614" s="17" t="s">
        <v>145</v>
      </c>
      <c r="R614" s="14" t="s">
        <v>39</v>
      </c>
      <c r="S614" s="17" t="s">
        <v>817</v>
      </c>
      <c r="T614" s="14" t="s">
        <v>39</v>
      </c>
      <c r="U614" s="14" t="s">
        <v>40</v>
      </c>
      <c r="V614" s="14"/>
      <c r="W614" s="17"/>
      <c r="X614" s="14"/>
    </row>
    <row r="615" ht="14.25" customHeight="1">
      <c r="A615" s="10" t="s">
        <v>1364</v>
      </c>
      <c r="B615" s="10" t="s">
        <v>31</v>
      </c>
      <c r="C615" s="10">
        <v>617.0</v>
      </c>
      <c r="D615" s="11" t="s">
        <v>1720</v>
      </c>
      <c r="E615" s="11" t="s">
        <v>1721</v>
      </c>
      <c r="F615" s="11" t="s">
        <v>248</v>
      </c>
      <c r="G615" s="10">
        <v>617.0</v>
      </c>
      <c r="H615" s="10">
        <f>VLOOKUP(F615,'Generos y Familia'!$A$1:$C$623,2,FALSE)</f>
        <v>20</v>
      </c>
      <c r="I615" s="12" t="str">
        <f t="shared" si="1"/>
        <v>Jacaranda mimosifolia</v>
      </c>
      <c r="J615" s="10" t="str">
        <f t="shared" si="2"/>
        <v>617 Jacaranda mimosifolia</v>
      </c>
      <c r="K615" s="10" t="str">
        <f t="shared" si="3"/>
        <v>Jacaranda; Gualanday</v>
      </c>
      <c r="L615" s="10" t="str">
        <f t="shared" si="4"/>
        <v>617 Jacaranda; Gualanday</v>
      </c>
      <c r="M615" s="10" t="s">
        <v>46</v>
      </c>
      <c r="N615" s="10" t="s">
        <v>36</v>
      </c>
      <c r="O615" s="10" t="s">
        <v>37</v>
      </c>
      <c r="P615" s="10" t="s">
        <v>1715</v>
      </c>
      <c r="Q615" s="17" t="s">
        <v>229</v>
      </c>
      <c r="R615" s="14" t="s">
        <v>39</v>
      </c>
      <c r="S615" s="17" t="s">
        <v>442</v>
      </c>
      <c r="T615" s="14" t="s">
        <v>39</v>
      </c>
      <c r="U615" s="14" t="s">
        <v>55</v>
      </c>
      <c r="V615" s="14">
        <v>0.49</v>
      </c>
      <c r="W615" s="18"/>
      <c r="X615" s="14"/>
    </row>
    <row r="616" ht="14.25" customHeight="1">
      <c r="A616" s="10" t="s">
        <v>1364</v>
      </c>
      <c r="B616" s="10" t="s">
        <v>63</v>
      </c>
      <c r="C616" s="10">
        <v>618.0</v>
      </c>
      <c r="D616" s="11" t="s">
        <v>1722</v>
      </c>
      <c r="E616" s="11" t="s">
        <v>1723</v>
      </c>
      <c r="F616" s="11" t="s">
        <v>248</v>
      </c>
      <c r="G616" s="10">
        <v>618.0</v>
      </c>
      <c r="H616" s="10">
        <f>VLOOKUP(F616,'Generos y Familia'!$A$1:$C$623,2,FALSE)</f>
        <v>20</v>
      </c>
      <c r="I616" s="12" t="str">
        <f t="shared" si="1"/>
        <v>Jacaranda obtusifolia</v>
      </c>
      <c r="J616" s="10" t="str">
        <f t="shared" si="2"/>
        <v>618 Jacaranda obtusifolia</v>
      </c>
      <c r="K616" s="10" t="str">
        <f t="shared" si="3"/>
        <v>Gualanday; Flormorado; Gualanday Caliente; Jacaranda; Palisandro</v>
      </c>
      <c r="L616" s="10" t="str">
        <f t="shared" si="4"/>
        <v>618 Gualanday; Flormorado; Gualanday Caliente; Jacaranda; Palisandro</v>
      </c>
      <c r="M616" s="10" t="s">
        <v>35</v>
      </c>
      <c r="N616" s="10" t="s">
        <v>36</v>
      </c>
      <c r="O616" s="10" t="s">
        <v>47</v>
      </c>
      <c r="P616" s="10" t="s">
        <v>1715</v>
      </c>
      <c r="Q616" s="17" t="s">
        <v>229</v>
      </c>
      <c r="R616" s="14" t="s">
        <v>39</v>
      </c>
      <c r="S616" s="17" t="s">
        <v>290</v>
      </c>
      <c r="T616" s="14"/>
      <c r="U616" s="14" t="s">
        <v>55</v>
      </c>
      <c r="V616" s="14"/>
      <c r="W616" s="17"/>
      <c r="X616" s="14"/>
    </row>
    <row r="617" ht="14.25" customHeight="1">
      <c r="A617" s="10" t="s">
        <v>1364</v>
      </c>
      <c r="B617" s="10" t="s">
        <v>31</v>
      </c>
      <c r="C617" s="10">
        <v>619.0</v>
      </c>
      <c r="D617" s="11" t="s">
        <v>1724</v>
      </c>
      <c r="E617" s="11" t="s">
        <v>1725</v>
      </c>
      <c r="F617" s="11" t="s">
        <v>1496</v>
      </c>
      <c r="G617" s="10">
        <v>619.0</v>
      </c>
      <c r="H617" s="10">
        <f>VLOOKUP(F617,'Generos y Familia'!$A$1:$C$623,2,FALSE)</f>
        <v>53</v>
      </c>
      <c r="I617" s="12" t="str">
        <f t="shared" si="1"/>
        <v>Jasminum multiflorum</v>
      </c>
      <c r="J617" s="10" t="str">
        <f t="shared" si="2"/>
        <v>619 Jasminum multiflorum</v>
      </c>
      <c r="K617" s="10" t="str">
        <f t="shared" si="3"/>
        <v>Jazmín; Jazmín de Estrella</v>
      </c>
      <c r="L617" s="10" t="str">
        <f t="shared" si="4"/>
        <v>619 Jazmín; Jazmín de Estrella</v>
      </c>
      <c r="M617" s="10" t="s">
        <v>46</v>
      </c>
      <c r="N617" s="10" t="s">
        <v>36</v>
      </c>
      <c r="O617" s="10" t="s">
        <v>47</v>
      </c>
      <c r="P617" s="10" t="s">
        <v>1726</v>
      </c>
      <c r="Q617" s="13"/>
      <c r="R617" s="13"/>
      <c r="S617" s="13"/>
      <c r="T617" s="13"/>
      <c r="U617" s="13"/>
      <c r="V617" s="13"/>
      <c r="W617" s="16"/>
      <c r="X617" s="13"/>
    </row>
    <row r="618" ht="14.25" customHeight="1">
      <c r="A618" s="10" t="s">
        <v>1364</v>
      </c>
      <c r="B618" s="10" t="s">
        <v>31</v>
      </c>
      <c r="C618" s="10">
        <v>620.0</v>
      </c>
      <c r="D618" s="11" t="s">
        <v>1727</v>
      </c>
      <c r="E618" s="11" t="s">
        <v>1728</v>
      </c>
      <c r="F618" s="11" t="s">
        <v>1496</v>
      </c>
      <c r="G618" s="10">
        <v>620.0</v>
      </c>
      <c r="H618" s="10">
        <f>VLOOKUP(F618,'Generos y Familia'!$A$1:$C$623,2,FALSE)</f>
        <v>53</v>
      </c>
      <c r="I618" s="12" t="str">
        <f t="shared" si="1"/>
        <v>Jasminum nitidum</v>
      </c>
      <c r="J618" s="10" t="str">
        <f t="shared" si="2"/>
        <v>620 Jasminum nitidum</v>
      </c>
      <c r="K618" s="10" t="str">
        <f t="shared" si="3"/>
        <v>Jazmín Estrella; Jazmin Alas de Ángel</v>
      </c>
      <c r="L618" s="10" t="str">
        <f t="shared" si="4"/>
        <v>620 Jazmín Estrella; Jazmin Alas de Ángel</v>
      </c>
      <c r="M618" s="10" t="s">
        <v>46</v>
      </c>
      <c r="N618" s="10" t="s">
        <v>36</v>
      </c>
      <c r="O618" s="10" t="s">
        <v>47</v>
      </c>
      <c r="P618" s="10" t="s">
        <v>1726</v>
      </c>
      <c r="Q618" s="13"/>
      <c r="R618" s="13"/>
      <c r="S618" s="13"/>
      <c r="T618" s="13"/>
      <c r="U618" s="13"/>
      <c r="V618" s="13"/>
      <c r="W618" s="13"/>
      <c r="X618" s="13"/>
    </row>
    <row r="619" ht="14.25" customHeight="1">
      <c r="A619" s="10" t="s">
        <v>1364</v>
      </c>
      <c r="B619" s="10" t="s">
        <v>31</v>
      </c>
      <c r="C619" s="10">
        <v>621.0</v>
      </c>
      <c r="D619" s="11" t="s">
        <v>1729</v>
      </c>
      <c r="E619" s="11" t="s">
        <v>1730</v>
      </c>
      <c r="F619" s="11" t="s">
        <v>1496</v>
      </c>
      <c r="G619" s="10">
        <v>621.0</v>
      </c>
      <c r="H619" s="10">
        <f>VLOOKUP(F619,'Generos y Familia'!$A$1:$C$623,2,FALSE)</f>
        <v>53</v>
      </c>
      <c r="I619" s="12" t="str">
        <f t="shared" si="1"/>
        <v>Jasminum sp</v>
      </c>
      <c r="J619" s="10" t="str">
        <f t="shared" si="2"/>
        <v>621 Jasminum sp</v>
      </c>
      <c r="K619" s="10" t="str">
        <f t="shared" si="3"/>
        <v>Jazmin</v>
      </c>
      <c r="L619" s="10" t="str">
        <f t="shared" si="4"/>
        <v>621 Jazmin</v>
      </c>
      <c r="M619" s="10" t="s">
        <v>46</v>
      </c>
      <c r="N619" s="10" t="s">
        <v>36</v>
      </c>
      <c r="O619" s="10" t="s">
        <v>47</v>
      </c>
      <c r="P619" s="10" t="s">
        <v>1726</v>
      </c>
      <c r="Q619" s="13"/>
      <c r="R619" s="13"/>
      <c r="S619" s="13"/>
      <c r="T619" s="13"/>
      <c r="U619" s="13"/>
      <c r="V619" s="13"/>
      <c r="W619" s="13"/>
      <c r="X619" s="13"/>
    </row>
    <row r="620" ht="14.25" customHeight="1">
      <c r="A620" s="10" t="s">
        <v>1364</v>
      </c>
      <c r="B620" s="10" t="s">
        <v>31</v>
      </c>
      <c r="C620" s="10">
        <v>622.0</v>
      </c>
      <c r="D620" s="11" t="s">
        <v>1731</v>
      </c>
      <c r="E620" s="11" t="s">
        <v>1732</v>
      </c>
      <c r="F620" s="11" t="s">
        <v>82</v>
      </c>
      <c r="G620" s="10">
        <v>622.0</v>
      </c>
      <c r="H620" s="10">
        <f>VLOOKUP(F620,'Generos y Familia'!$A$1:$C$623,2,FALSE)</f>
        <v>26</v>
      </c>
      <c r="I620" s="12" t="str">
        <f t="shared" si="1"/>
        <v>Jatropha curcas</v>
      </c>
      <c r="J620" s="10" t="str">
        <f t="shared" si="2"/>
        <v>622 Jatropha curcas</v>
      </c>
      <c r="K620" s="10" t="str">
        <f t="shared" si="3"/>
        <v>Piñon de Purga; Piñón; Coquillo; Frailecillo; Piñón de la India; Miñon</v>
      </c>
      <c r="L620" s="10" t="str">
        <f t="shared" si="4"/>
        <v>622 Piñon de Purga; Piñón; Coquillo; Frailecillo; Piñón de la India; Miñon</v>
      </c>
      <c r="M620" s="10" t="s">
        <v>35</v>
      </c>
      <c r="N620" s="10" t="s">
        <v>36</v>
      </c>
      <c r="O620" s="10" t="s">
        <v>47</v>
      </c>
      <c r="P620" s="10" t="s">
        <v>1733</v>
      </c>
      <c r="Q620" s="13"/>
      <c r="R620" s="13"/>
      <c r="S620" s="13"/>
      <c r="T620" s="13"/>
      <c r="U620" s="13"/>
      <c r="V620" s="13"/>
      <c r="W620" s="16"/>
      <c r="X620" s="13"/>
    </row>
    <row r="621" ht="14.25" customHeight="1">
      <c r="A621" s="10" t="s">
        <v>1364</v>
      </c>
      <c r="B621" s="10" t="s">
        <v>31</v>
      </c>
      <c r="C621" s="10">
        <v>623.0</v>
      </c>
      <c r="D621" s="11" t="s">
        <v>1734</v>
      </c>
      <c r="E621" s="11" t="s">
        <v>1735</v>
      </c>
      <c r="F621" s="11" t="s">
        <v>82</v>
      </c>
      <c r="G621" s="10">
        <v>623.0</v>
      </c>
      <c r="H621" s="10">
        <f>VLOOKUP(F621,'Generos y Familia'!$A$1:$C$623,2,FALSE)</f>
        <v>26</v>
      </c>
      <c r="I621" s="12" t="str">
        <f t="shared" si="1"/>
        <v>Jatropha gossypiifolia</v>
      </c>
      <c r="J621" s="10" t="str">
        <f t="shared" si="2"/>
        <v>623 Jatropha gossypiifolia</v>
      </c>
      <c r="K621" s="10" t="str">
        <f t="shared" si="3"/>
        <v>Jaquillo; Brailejón; Carretillo; Frailecillo</v>
      </c>
      <c r="L621" s="10" t="str">
        <f t="shared" si="4"/>
        <v>623 Jaquillo; Brailejón; Carretillo; Frailecillo</v>
      </c>
      <c r="M621" s="10" t="s">
        <v>35</v>
      </c>
      <c r="N621" s="10" t="s">
        <v>36</v>
      </c>
      <c r="O621" s="10" t="s">
        <v>47</v>
      </c>
      <c r="P621" s="10" t="s">
        <v>1733</v>
      </c>
      <c r="Q621" s="13"/>
      <c r="R621" s="13"/>
      <c r="S621" s="13"/>
      <c r="T621" s="13"/>
      <c r="U621" s="13"/>
      <c r="V621" s="13"/>
      <c r="W621" s="16"/>
      <c r="X621" s="13"/>
    </row>
    <row r="622" ht="14.25" customHeight="1">
      <c r="A622" s="10" t="s">
        <v>1364</v>
      </c>
      <c r="B622" s="10" t="s">
        <v>31</v>
      </c>
      <c r="C622" s="10">
        <v>624.0</v>
      </c>
      <c r="D622" s="11" t="s">
        <v>1736</v>
      </c>
      <c r="E622" s="11" t="s">
        <v>1737</v>
      </c>
      <c r="F622" s="11" t="s">
        <v>82</v>
      </c>
      <c r="G622" s="10">
        <v>624.0</v>
      </c>
      <c r="H622" s="10">
        <f>VLOOKUP(F622,'Generos y Familia'!$A$1:$C$623,2,FALSE)</f>
        <v>26</v>
      </c>
      <c r="I622" s="12" t="str">
        <f t="shared" si="1"/>
        <v>Jatropha integerrima</v>
      </c>
      <c r="J622" s="10" t="str">
        <f t="shared" si="2"/>
        <v>624 Jatropha integerrima</v>
      </c>
      <c r="K622" s="10" t="str">
        <f t="shared" si="3"/>
        <v>Peregrina; Flor Roja; Peregrina; Fuscia</v>
      </c>
      <c r="L622" s="10" t="str">
        <f t="shared" si="4"/>
        <v>624 Peregrina; Flor Roja; Peregrina; Fuscia</v>
      </c>
      <c r="M622" s="10" t="s">
        <v>35</v>
      </c>
      <c r="N622" s="10" t="s">
        <v>36</v>
      </c>
      <c r="O622" s="10" t="s">
        <v>47</v>
      </c>
      <c r="P622" s="10" t="s">
        <v>1733</v>
      </c>
      <c r="Q622" s="13"/>
      <c r="R622" s="13"/>
      <c r="S622" s="13"/>
      <c r="T622" s="13"/>
      <c r="U622" s="13"/>
      <c r="V622" s="13"/>
      <c r="W622" s="13"/>
      <c r="X622" s="13"/>
    </row>
    <row r="623" ht="14.25" customHeight="1">
      <c r="A623" s="10" t="s">
        <v>1364</v>
      </c>
      <c r="B623" s="10" t="s">
        <v>31</v>
      </c>
      <c r="C623" s="10">
        <v>625.0</v>
      </c>
      <c r="D623" s="11" t="s">
        <v>1738</v>
      </c>
      <c r="E623" s="11" t="s">
        <v>1739</v>
      </c>
      <c r="F623" s="11" t="s">
        <v>82</v>
      </c>
      <c r="G623" s="10">
        <v>625.0</v>
      </c>
      <c r="H623" s="10">
        <f>VLOOKUP(F623,'Generos y Familia'!$A$1:$C$623,2,FALSE)</f>
        <v>26</v>
      </c>
      <c r="I623" s="12" t="str">
        <f t="shared" si="1"/>
        <v>Jatropha multifida</v>
      </c>
      <c r="J623" s="10" t="str">
        <f t="shared" si="2"/>
        <v>625 Jatropha multifida</v>
      </c>
      <c r="K623" s="10" t="str">
        <f t="shared" si="3"/>
        <v>Planta Coral; Tártago; Avellano Purgante; Cabalongo</v>
      </c>
      <c r="L623" s="10" t="str">
        <f t="shared" si="4"/>
        <v>625 Planta Coral; Tártago; Avellano Purgante; Cabalongo</v>
      </c>
      <c r="M623" s="10" t="s">
        <v>35</v>
      </c>
      <c r="N623" s="10" t="s">
        <v>36</v>
      </c>
      <c r="O623" s="10" t="s">
        <v>47</v>
      </c>
      <c r="P623" s="10" t="s">
        <v>1733</v>
      </c>
      <c r="Q623" s="13"/>
      <c r="R623" s="13"/>
      <c r="S623" s="13"/>
      <c r="T623" s="13"/>
      <c r="U623" s="13"/>
      <c r="V623" s="13"/>
      <c r="W623" s="13"/>
      <c r="X623" s="13"/>
    </row>
    <row r="624" ht="14.25" customHeight="1">
      <c r="A624" s="10" t="s">
        <v>1364</v>
      </c>
      <c r="B624" s="10" t="s">
        <v>31</v>
      </c>
      <c r="C624" s="10">
        <v>626.0</v>
      </c>
      <c r="D624" s="11" t="s">
        <v>1740</v>
      </c>
      <c r="E624" s="11" t="s">
        <v>1741</v>
      </c>
      <c r="F624" s="11" t="s">
        <v>82</v>
      </c>
      <c r="G624" s="10">
        <v>626.0</v>
      </c>
      <c r="H624" s="10">
        <f>VLOOKUP(F624,'Generos y Familia'!$A$1:$C$623,2,FALSE)</f>
        <v>26</v>
      </c>
      <c r="I624" s="12" t="str">
        <f t="shared" si="1"/>
        <v>Jatropha podagrica</v>
      </c>
      <c r="J624" s="10" t="str">
        <f t="shared" si="2"/>
        <v>626 Jatropha podagrica</v>
      </c>
      <c r="K624" s="10" t="str">
        <f t="shared" si="3"/>
        <v>Yuco; Yuca; Corales; Novio; Patihinchado</v>
      </c>
      <c r="L624" s="10" t="str">
        <f t="shared" si="4"/>
        <v>626 Yuco; Yuca; Corales; Novio; Patihinchado</v>
      </c>
      <c r="M624" s="10" t="s">
        <v>35</v>
      </c>
      <c r="N624" s="10" t="s">
        <v>36</v>
      </c>
      <c r="O624" s="10" t="s">
        <v>47</v>
      </c>
      <c r="P624" s="10" t="s">
        <v>1733</v>
      </c>
      <c r="Q624" s="13"/>
      <c r="R624" s="13"/>
      <c r="S624" s="13"/>
      <c r="T624" s="13"/>
      <c r="U624" s="13"/>
      <c r="V624" s="13"/>
      <c r="W624" s="13"/>
      <c r="X624" s="13"/>
    </row>
    <row r="625" ht="14.25" customHeight="1">
      <c r="A625" s="10" t="s">
        <v>1364</v>
      </c>
      <c r="B625" s="10" t="s">
        <v>31</v>
      </c>
      <c r="C625" s="10">
        <v>627.0</v>
      </c>
      <c r="D625" s="11" t="s">
        <v>1742</v>
      </c>
      <c r="E625" s="11" t="s">
        <v>1743</v>
      </c>
      <c r="F625" s="11" t="s">
        <v>203</v>
      </c>
      <c r="G625" s="10">
        <v>627.0</v>
      </c>
      <c r="H625" s="10">
        <f>VLOOKUP(F625,'Generos y Familia'!$A$1:$C$623,2,FALSE)</f>
        <v>32</v>
      </c>
      <c r="I625" s="12" t="str">
        <f t="shared" si="1"/>
        <v>Juglans neotropica</v>
      </c>
      <c r="J625" s="10" t="str">
        <f t="shared" si="2"/>
        <v>627 Juglans neotropica</v>
      </c>
      <c r="K625" s="10" t="str">
        <f t="shared" si="3"/>
        <v>Nogal; Cedro Nogal; Cedro Negro</v>
      </c>
      <c r="L625" s="10" t="str">
        <f t="shared" si="4"/>
        <v>627 Nogal; Cedro Nogal; Cedro Negro</v>
      </c>
      <c r="M625" s="10" t="s">
        <v>35</v>
      </c>
      <c r="N625" s="10" t="s">
        <v>36</v>
      </c>
      <c r="O625" s="10" t="s">
        <v>37</v>
      </c>
      <c r="P625" s="10" t="s">
        <v>1744</v>
      </c>
      <c r="Q625" s="17" t="s">
        <v>54</v>
      </c>
      <c r="R625" s="14" t="s">
        <v>1338</v>
      </c>
      <c r="S625" s="17" t="s">
        <v>821</v>
      </c>
      <c r="T625" s="14" t="s">
        <v>1338</v>
      </c>
      <c r="U625" s="14" t="s">
        <v>73</v>
      </c>
      <c r="V625" s="14"/>
      <c r="W625" s="18"/>
      <c r="X625" s="14"/>
    </row>
    <row r="626" ht="14.25" customHeight="1">
      <c r="A626" s="10" t="s">
        <v>1364</v>
      </c>
      <c r="B626" s="10" t="s">
        <v>31</v>
      </c>
      <c r="C626" s="10">
        <v>628.0</v>
      </c>
      <c r="D626" s="11" t="s">
        <v>1745</v>
      </c>
      <c r="E626" s="11" t="s">
        <v>1746</v>
      </c>
      <c r="F626" s="11" t="s">
        <v>203</v>
      </c>
      <c r="G626" s="10">
        <v>628.0</v>
      </c>
      <c r="H626" s="10">
        <f>VLOOKUP(F626,'Generos y Familia'!$A$1:$C$623,2,FALSE)</f>
        <v>32</v>
      </c>
      <c r="I626" s="12" t="str">
        <f t="shared" si="1"/>
        <v>Juglans nigra</v>
      </c>
      <c r="J626" s="10" t="str">
        <f t="shared" si="2"/>
        <v>628 Juglans nigra</v>
      </c>
      <c r="K626" s="10" t="str">
        <f t="shared" si="3"/>
        <v>Nogal Americano</v>
      </c>
      <c r="L626" s="10" t="str">
        <f t="shared" si="4"/>
        <v>628 Nogal Americano</v>
      </c>
      <c r="M626" s="10" t="s">
        <v>46</v>
      </c>
      <c r="N626" s="10" t="s">
        <v>28</v>
      </c>
      <c r="O626" s="10" t="s">
        <v>37</v>
      </c>
      <c r="P626" s="10" t="s">
        <v>1744</v>
      </c>
      <c r="Q626" s="13"/>
      <c r="R626" s="13"/>
      <c r="S626" s="13"/>
      <c r="T626" s="13"/>
      <c r="U626" s="13"/>
      <c r="V626" s="13"/>
      <c r="W626" s="16"/>
      <c r="X626" s="13"/>
    </row>
    <row r="627" ht="14.25" customHeight="1">
      <c r="A627" s="10" t="s">
        <v>1364</v>
      </c>
      <c r="B627" s="10" t="s">
        <v>31</v>
      </c>
      <c r="C627" s="10">
        <v>629.0</v>
      </c>
      <c r="D627" s="11" t="s">
        <v>1747</v>
      </c>
      <c r="E627" s="11" t="s">
        <v>1748</v>
      </c>
      <c r="F627" s="11" t="s">
        <v>203</v>
      </c>
      <c r="G627" s="10">
        <v>629.0</v>
      </c>
      <c r="H627" s="10">
        <f>VLOOKUP(F627,'Generos y Familia'!$A$1:$C$623,2,FALSE)</f>
        <v>32</v>
      </c>
      <c r="I627" s="12" t="str">
        <f t="shared" si="1"/>
        <v>Juglans regia</v>
      </c>
      <c r="J627" s="10" t="str">
        <f t="shared" si="2"/>
        <v>629 Juglans regia</v>
      </c>
      <c r="K627" s="10" t="str">
        <f t="shared" si="3"/>
        <v>Cedro Negro; Nogal del Castillo</v>
      </c>
      <c r="L627" s="10" t="str">
        <f t="shared" si="4"/>
        <v>629 Cedro Negro; Nogal del Castillo</v>
      </c>
      <c r="M627" s="10" t="s">
        <v>46</v>
      </c>
      <c r="N627" s="10" t="s">
        <v>36</v>
      </c>
      <c r="O627" s="10" t="s">
        <v>37</v>
      </c>
      <c r="P627" s="10" t="s">
        <v>1744</v>
      </c>
      <c r="Q627" s="13"/>
      <c r="R627" s="13"/>
      <c r="S627" s="13"/>
      <c r="T627" s="13"/>
      <c r="U627" s="13"/>
      <c r="V627" s="13"/>
      <c r="W627" s="13"/>
      <c r="X627" s="13"/>
    </row>
    <row r="628" ht="14.25" customHeight="1">
      <c r="A628" s="10" t="s">
        <v>1364</v>
      </c>
      <c r="B628" s="10" t="s">
        <v>31</v>
      </c>
      <c r="C628" s="10">
        <v>630.0</v>
      </c>
      <c r="D628" s="11" t="s">
        <v>1749</v>
      </c>
      <c r="E628" s="11" t="s">
        <v>1750</v>
      </c>
      <c r="F628" s="11" t="s">
        <v>673</v>
      </c>
      <c r="G628" s="10">
        <v>630.0</v>
      </c>
      <c r="H628" s="10">
        <f>VLOOKUP(F628,'Generos y Familia'!$A$1:$C$623,2,FALSE)</f>
        <v>45</v>
      </c>
      <c r="I628" s="12" t="str">
        <f t="shared" si="1"/>
        <v>Juniperus communis</v>
      </c>
      <c r="J628" s="10" t="str">
        <f t="shared" si="2"/>
        <v>630 Juniperus communis</v>
      </c>
      <c r="K628" s="10" t="str">
        <f t="shared" si="3"/>
        <v>Enebro Común</v>
      </c>
      <c r="L628" s="10" t="str">
        <f t="shared" si="4"/>
        <v>630 Enebro Común</v>
      </c>
      <c r="M628" s="10" t="s">
        <v>46</v>
      </c>
      <c r="N628" s="10" t="s">
        <v>36</v>
      </c>
      <c r="O628" s="10" t="s">
        <v>37</v>
      </c>
      <c r="P628" s="10" t="s">
        <v>1751</v>
      </c>
      <c r="Q628" s="17" t="s">
        <v>379</v>
      </c>
      <c r="R628" s="14"/>
      <c r="S628" s="17" t="s">
        <v>290</v>
      </c>
      <c r="T628" s="14"/>
      <c r="U628" s="14" t="s">
        <v>40</v>
      </c>
      <c r="V628" s="14"/>
      <c r="W628" s="18"/>
      <c r="X628" s="14" t="s">
        <v>41</v>
      </c>
    </row>
    <row r="629" ht="14.25" customHeight="1">
      <c r="A629" s="10" t="s">
        <v>1364</v>
      </c>
      <c r="B629" s="10" t="s">
        <v>31</v>
      </c>
      <c r="C629" s="10">
        <v>631.0</v>
      </c>
      <c r="D629" s="11" t="s">
        <v>1752</v>
      </c>
      <c r="E629" s="11" t="s">
        <v>1753</v>
      </c>
      <c r="F629" s="11" t="s">
        <v>673</v>
      </c>
      <c r="G629" s="10">
        <v>631.0</v>
      </c>
      <c r="H629" s="10">
        <f>VLOOKUP(F629,'Generos y Familia'!$A$1:$C$623,2,FALSE)</f>
        <v>45</v>
      </c>
      <c r="I629" s="12" t="str">
        <f t="shared" si="1"/>
        <v>Juniperus conferta</v>
      </c>
      <c r="J629" s="10" t="str">
        <f t="shared" si="2"/>
        <v>631 Juniperus conferta</v>
      </c>
      <c r="K629" s="10" t="str">
        <f t="shared" si="3"/>
        <v>Juniperus Conferta</v>
      </c>
      <c r="L629" s="10" t="str">
        <f t="shared" si="4"/>
        <v>631 Juniperus Conferta</v>
      </c>
      <c r="M629" s="10" t="s">
        <v>46</v>
      </c>
      <c r="N629" s="10" t="s">
        <v>28</v>
      </c>
      <c r="O629" s="10" t="s">
        <v>37</v>
      </c>
      <c r="P629" s="10" t="s">
        <v>1751</v>
      </c>
      <c r="Q629" s="17" t="s">
        <v>421</v>
      </c>
      <c r="R629" s="14"/>
      <c r="S629" s="17" t="s">
        <v>54</v>
      </c>
      <c r="T629" s="14"/>
      <c r="U629" s="14" t="s">
        <v>40</v>
      </c>
      <c r="V629" s="14"/>
      <c r="W629" s="17"/>
      <c r="X629" s="14" t="s">
        <v>41</v>
      </c>
    </row>
    <row r="630" ht="14.25" customHeight="1">
      <c r="A630" s="10" t="s">
        <v>1364</v>
      </c>
      <c r="B630" s="10" t="s">
        <v>31</v>
      </c>
      <c r="C630" s="10">
        <v>632.0</v>
      </c>
      <c r="D630" s="11" t="s">
        <v>1754</v>
      </c>
      <c r="E630" s="11" t="s">
        <v>1755</v>
      </c>
      <c r="F630" s="11" t="s">
        <v>673</v>
      </c>
      <c r="G630" s="10">
        <v>632.0</v>
      </c>
      <c r="H630" s="10">
        <f>VLOOKUP(F630,'Generos y Familia'!$A$1:$C$623,2,FALSE)</f>
        <v>45</v>
      </c>
      <c r="I630" s="12" t="str">
        <f t="shared" si="1"/>
        <v>Juniperus virginiana</v>
      </c>
      <c r="J630" s="10" t="str">
        <f t="shared" si="2"/>
        <v>632 Juniperus virginiana</v>
      </c>
      <c r="K630" s="10" t="str">
        <f t="shared" si="3"/>
        <v>Enebro de Virginia</v>
      </c>
      <c r="L630" s="10" t="str">
        <f t="shared" si="4"/>
        <v>632 Enebro de Virginia</v>
      </c>
      <c r="M630" s="10" t="s">
        <v>46</v>
      </c>
      <c r="N630" s="10" t="s">
        <v>28</v>
      </c>
      <c r="O630" s="10" t="s">
        <v>37</v>
      </c>
      <c r="P630" s="10" t="s">
        <v>1751</v>
      </c>
      <c r="Q630" s="17" t="s">
        <v>229</v>
      </c>
      <c r="R630" s="14"/>
      <c r="S630" s="17" t="s">
        <v>821</v>
      </c>
      <c r="T630" s="14"/>
      <c r="U630" s="14" t="s">
        <v>40</v>
      </c>
      <c r="V630" s="14"/>
      <c r="W630" s="17"/>
      <c r="X630" s="14" t="s">
        <v>41</v>
      </c>
    </row>
    <row r="631" ht="14.25" customHeight="1">
      <c r="A631" s="10" t="s">
        <v>1364</v>
      </c>
      <c r="B631" s="10" t="s">
        <v>31</v>
      </c>
      <c r="C631" s="10">
        <v>633.0</v>
      </c>
      <c r="D631" s="11" t="s">
        <v>1756</v>
      </c>
      <c r="E631" s="11" t="s">
        <v>1757</v>
      </c>
      <c r="F631" s="11" t="s">
        <v>320</v>
      </c>
      <c r="G631" s="10">
        <v>633.0</v>
      </c>
      <c r="H631" s="10">
        <f>VLOOKUP(F631,'Generos y Familia'!$A$1:$C$623,2,FALSE)</f>
        <v>1</v>
      </c>
      <c r="I631" s="12" t="str">
        <f t="shared" si="1"/>
        <v>Justicia adhatoda</v>
      </c>
      <c r="J631" s="10" t="str">
        <f t="shared" si="2"/>
        <v>633 Justicia adhatoda</v>
      </c>
      <c r="K631" s="10" t="str">
        <f t="shared" si="3"/>
        <v>Justicia Adhatoda</v>
      </c>
      <c r="L631" s="10" t="str">
        <f t="shared" si="4"/>
        <v>633 Justicia Adhatoda</v>
      </c>
      <c r="M631" s="10" t="s">
        <v>46</v>
      </c>
      <c r="N631" s="10" t="s">
        <v>28</v>
      </c>
      <c r="O631" s="10" t="s">
        <v>47</v>
      </c>
      <c r="P631" s="10" t="s">
        <v>1758</v>
      </c>
      <c r="Q631" s="13"/>
      <c r="R631" s="13"/>
      <c r="S631" s="13"/>
      <c r="T631" s="13"/>
      <c r="U631" s="13"/>
      <c r="V631" s="13"/>
      <c r="W631" s="16"/>
      <c r="X631" s="13"/>
    </row>
    <row r="632" ht="14.25" customHeight="1">
      <c r="A632" s="10" t="s">
        <v>1364</v>
      </c>
      <c r="B632" s="10" t="s">
        <v>31</v>
      </c>
      <c r="C632" s="10">
        <v>634.0</v>
      </c>
      <c r="D632" s="11" t="s">
        <v>1759</v>
      </c>
      <c r="E632" s="11" t="s">
        <v>1760</v>
      </c>
      <c r="F632" s="11" t="s">
        <v>320</v>
      </c>
      <c r="G632" s="10">
        <v>634.0</v>
      </c>
      <c r="H632" s="10">
        <f>VLOOKUP(F632,'Generos y Familia'!$A$1:$C$623,2,FALSE)</f>
        <v>1</v>
      </c>
      <c r="I632" s="12" t="str">
        <f t="shared" si="1"/>
        <v>Justicia carnea</v>
      </c>
      <c r="J632" s="10" t="str">
        <f t="shared" si="2"/>
        <v>634 Justicia carnea</v>
      </c>
      <c r="K632" s="10" t="str">
        <f t="shared" si="3"/>
        <v>Tango; Justicia</v>
      </c>
      <c r="L632" s="10" t="str">
        <f t="shared" si="4"/>
        <v>634 Tango; Justicia</v>
      </c>
      <c r="M632" s="10" t="s">
        <v>46</v>
      </c>
      <c r="N632" s="10" t="s">
        <v>36</v>
      </c>
      <c r="O632" s="10" t="s">
        <v>47</v>
      </c>
      <c r="P632" s="10" t="s">
        <v>1758</v>
      </c>
      <c r="Q632" s="13"/>
      <c r="R632" s="13"/>
      <c r="S632" s="13"/>
      <c r="T632" s="13"/>
      <c r="U632" s="13"/>
      <c r="V632" s="13"/>
      <c r="W632" s="16"/>
      <c r="X632" s="13"/>
    </row>
    <row r="633" ht="14.25" customHeight="1">
      <c r="A633" s="10" t="s">
        <v>1364</v>
      </c>
      <c r="B633" s="10" t="s">
        <v>31</v>
      </c>
      <c r="C633" s="10">
        <v>635.0</v>
      </c>
      <c r="D633" s="11" t="s">
        <v>1761</v>
      </c>
      <c r="E633" s="11" t="s">
        <v>1762</v>
      </c>
      <c r="F633" s="11" t="s">
        <v>320</v>
      </c>
      <c r="G633" s="10">
        <v>635.0</v>
      </c>
      <c r="H633" s="10">
        <f>VLOOKUP(F633,'Generos y Familia'!$A$1:$C$623,2,FALSE)</f>
        <v>1</v>
      </c>
      <c r="I633" s="12" t="str">
        <f t="shared" si="1"/>
        <v>Justicia secunda</v>
      </c>
      <c r="J633" s="10" t="str">
        <f t="shared" si="2"/>
        <v>635 Justicia secunda</v>
      </c>
      <c r="K633" s="10" t="str">
        <f t="shared" si="3"/>
        <v>Sanguinaria; Singamochila; Yerba de la Sangre; Árnica; Sangre de Cristo; Cascajera</v>
      </c>
      <c r="L633" s="10" t="str">
        <f t="shared" si="4"/>
        <v>635 Sanguinaria; Singamochila; Yerba de la Sangre; Árnica; Sangre de Cristo; Cascajera</v>
      </c>
      <c r="M633" s="10" t="s">
        <v>35</v>
      </c>
      <c r="N633" s="10" t="s">
        <v>36</v>
      </c>
      <c r="O633" s="10" t="s">
        <v>47</v>
      </c>
      <c r="P633" s="10" t="s">
        <v>1758</v>
      </c>
      <c r="Q633" s="13"/>
      <c r="R633" s="13"/>
      <c r="S633" s="13"/>
      <c r="T633" s="13"/>
      <c r="U633" s="13"/>
      <c r="V633" s="13"/>
      <c r="W633" s="16"/>
      <c r="X633" s="13"/>
    </row>
    <row r="634" ht="14.25" customHeight="1">
      <c r="A634" s="10" t="s">
        <v>1364</v>
      </c>
      <c r="B634" s="10" t="s">
        <v>31</v>
      </c>
      <c r="C634" s="10">
        <v>636.0</v>
      </c>
      <c r="D634" s="11" t="s">
        <v>1763</v>
      </c>
      <c r="E634" s="11" t="s">
        <v>1764</v>
      </c>
      <c r="F634" s="11" t="s">
        <v>320</v>
      </c>
      <c r="G634" s="10">
        <v>636.0</v>
      </c>
      <c r="H634" s="10">
        <f>VLOOKUP(F634,'Generos y Familia'!$A$1:$C$623,2,FALSE)</f>
        <v>1</v>
      </c>
      <c r="I634" s="12" t="str">
        <f t="shared" si="1"/>
        <v>Justicia sp</v>
      </c>
      <c r="J634" s="10" t="str">
        <f t="shared" si="2"/>
        <v>636 Justicia sp</v>
      </c>
      <c r="K634" s="10" t="str">
        <f t="shared" si="3"/>
        <v>Sanguinaria</v>
      </c>
      <c r="L634" s="10" t="str">
        <f t="shared" si="4"/>
        <v>636 Sanguinaria</v>
      </c>
      <c r="M634" s="10" t="s">
        <v>35</v>
      </c>
      <c r="N634" s="10" t="s">
        <v>36</v>
      </c>
      <c r="O634" s="10" t="s">
        <v>47</v>
      </c>
      <c r="P634" s="10" t="s">
        <v>1758</v>
      </c>
      <c r="Q634" s="13"/>
      <c r="R634" s="13"/>
      <c r="S634" s="13"/>
      <c r="T634" s="13"/>
      <c r="U634" s="13"/>
      <c r="V634" s="13"/>
      <c r="W634" s="13"/>
      <c r="X634" s="13"/>
    </row>
    <row r="635" ht="14.25" customHeight="1">
      <c r="A635" s="10" t="s">
        <v>1364</v>
      </c>
      <c r="B635" s="10" t="s">
        <v>31</v>
      </c>
      <c r="C635" s="10">
        <v>637.0</v>
      </c>
      <c r="D635" s="11" t="s">
        <v>1765</v>
      </c>
      <c r="E635" s="11" t="s">
        <v>1766</v>
      </c>
      <c r="F635" s="11" t="s">
        <v>248</v>
      </c>
      <c r="G635" s="10">
        <v>637.0</v>
      </c>
      <c r="H635" s="10">
        <f>VLOOKUP(F635,'Generos y Familia'!$A$1:$C$623,2,FALSE)</f>
        <v>20</v>
      </c>
      <c r="I635" s="12" t="str">
        <f t="shared" si="1"/>
        <v>Kigelia africana</v>
      </c>
      <c r="J635" s="10" t="str">
        <f t="shared" si="2"/>
        <v>637 Kigelia africana</v>
      </c>
      <c r="K635" s="10" t="str">
        <f t="shared" si="3"/>
        <v>Árbol de las Salchichas</v>
      </c>
      <c r="L635" s="10" t="str">
        <f t="shared" si="4"/>
        <v>637 Árbol de las Salchichas</v>
      </c>
      <c r="M635" s="10" t="s">
        <v>46</v>
      </c>
      <c r="N635" s="10" t="s">
        <v>36</v>
      </c>
      <c r="O635" s="10" t="s">
        <v>37</v>
      </c>
      <c r="P635" s="10" t="s">
        <v>1767</v>
      </c>
      <c r="Q635" s="13">
        <v>10.0</v>
      </c>
      <c r="R635" s="13" t="s">
        <v>39</v>
      </c>
      <c r="S635" s="13">
        <v>40.0</v>
      </c>
      <c r="T635" s="13" t="s">
        <v>39</v>
      </c>
      <c r="U635" s="13" t="s">
        <v>40</v>
      </c>
      <c r="V635" s="13">
        <v>0.63</v>
      </c>
      <c r="W635" s="16"/>
      <c r="X635" s="13"/>
    </row>
    <row r="636" ht="14.25" customHeight="1">
      <c r="A636" s="10" t="s">
        <v>1364</v>
      </c>
      <c r="B636" s="10" t="s">
        <v>31</v>
      </c>
      <c r="C636" s="10">
        <v>638.0</v>
      </c>
      <c r="D636" s="11" t="s">
        <v>1768</v>
      </c>
      <c r="E636" s="11" t="s">
        <v>1769</v>
      </c>
      <c r="F636" s="11" t="s">
        <v>214</v>
      </c>
      <c r="G636" s="10">
        <v>638.0</v>
      </c>
      <c r="H636" s="10">
        <f>VLOOKUP(F636,'Generos y Familia'!$A$1:$C$623,2,FALSE)</f>
        <v>84</v>
      </c>
      <c r="I636" s="12" t="str">
        <f t="shared" si="1"/>
        <v>Koelreuteria elegans</v>
      </c>
      <c r="J636" s="10" t="str">
        <f t="shared" si="2"/>
        <v>638 Koelreuteria elegans</v>
      </c>
      <c r="K636" s="10" t="str">
        <f t="shared" si="3"/>
        <v>Jabonero de la China</v>
      </c>
      <c r="L636" s="10" t="str">
        <f t="shared" si="4"/>
        <v>638 Jabonero de la China</v>
      </c>
      <c r="M636" s="10" t="s">
        <v>46</v>
      </c>
      <c r="N636" s="10" t="s">
        <v>36</v>
      </c>
      <c r="O636" s="10" t="s">
        <v>37</v>
      </c>
      <c r="P636" s="10" t="s">
        <v>1770</v>
      </c>
      <c r="Q636" s="17" t="s">
        <v>338</v>
      </c>
      <c r="R636" s="14"/>
      <c r="S636" s="17" t="s">
        <v>54</v>
      </c>
      <c r="T636" s="14"/>
      <c r="U636" s="14" t="s">
        <v>40</v>
      </c>
      <c r="V636" s="14"/>
      <c r="W636" s="17"/>
      <c r="X636" s="14" t="s">
        <v>41</v>
      </c>
    </row>
    <row r="637" ht="14.25" customHeight="1">
      <c r="A637" s="10" t="s">
        <v>1364</v>
      </c>
      <c r="B637" s="10" t="s">
        <v>31</v>
      </c>
      <c r="C637" s="10">
        <v>639.0</v>
      </c>
      <c r="D637" s="11" t="s">
        <v>1771</v>
      </c>
      <c r="E637" s="11" t="s">
        <v>1772</v>
      </c>
      <c r="F637" s="11" t="s">
        <v>214</v>
      </c>
      <c r="G637" s="10">
        <v>639.0</v>
      </c>
      <c r="H637" s="10">
        <f>VLOOKUP(F637,'Generos y Familia'!$A$1:$C$623,2,FALSE)</f>
        <v>84</v>
      </c>
      <c r="I637" s="12" t="str">
        <f t="shared" si="1"/>
        <v>Koelreuteria paniculata</v>
      </c>
      <c r="J637" s="10" t="str">
        <f t="shared" si="2"/>
        <v>639 Koelreuteria paniculata</v>
      </c>
      <c r="K637" s="10" t="str">
        <f t="shared" si="3"/>
        <v>Jabonero de la China; Arbol de Los Farolillos; Sombrilla Japones</v>
      </c>
      <c r="L637" s="10" t="str">
        <f t="shared" si="4"/>
        <v>639 Jabonero de la China; Arbol de Los Farolillos; Sombrilla Japones</v>
      </c>
      <c r="M637" s="10" t="s">
        <v>46</v>
      </c>
      <c r="N637" s="10" t="s">
        <v>36</v>
      </c>
      <c r="O637" s="10" t="s">
        <v>47</v>
      </c>
      <c r="P637" s="10" t="s">
        <v>1770</v>
      </c>
      <c r="Q637" s="17" t="s">
        <v>145</v>
      </c>
      <c r="R637" s="14"/>
      <c r="S637" s="17" t="s">
        <v>290</v>
      </c>
      <c r="T637" s="14"/>
      <c r="U637" s="14" t="s">
        <v>40</v>
      </c>
      <c r="V637" s="14"/>
      <c r="W637" s="17"/>
      <c r="X637" s="14" t="s">
        <v>41</v>
      </c>
    </row>
    <row r="638" ht="14.25" customHeight="1">
      <c r="A638" s="10" t="s">
        <v>1364</v>
      </c>
      <c r="B638" s="10" t="s">
        <v>31</v>
      </c>
      <c r="C638" s="10">
        <v>640.0</v>
      </c>
      <c r="D638" s="11" t="s">
        <v>1773</v>
      </c>
      <c r="E638" s="11" t="s">
        <v>1774</v>
      </c>
      <c r="F638" s="11" t="s">
        <v>34</v>
      </c>
      <c r="G638" s="10">
        <v>640.0</v>
      </c>
      <c r="H638" s="10">
        <f>VLOOKUP(F638,'Generos y Familia'!$A$1:$C$623,2,FALSE)</f>
        <v>27</v>
      </c>
      <c r="I638" s="12" t="str">
        <f t="shared" si="1"/>
        <v>Laburnum anagyroides</v>
      </c>
      <c r="J638" s="10" t="str">
        <f t="shared" si="2"/>
        <v>640 Laburnum anagyroides</v>
      </c>
      <c r="K638" s="10" t="str">
        <f t="shared" si="3"/>
        <v>Lluvia de Oro; Falso Ébano</v>
      </c>
      <c r="L638" s="10" t="str">
        <f t="shared" si="4"/>
        <v>640 Lluvia de Oro; Falso Ébano</v>
      </c>
      <c r="M638" s="10" t="s">
        <v>46</v>
      </c>
      <c r="N638" s="10" t="s">
        <v>36</v>
      </c>
      <c r="O638" s="10" t="s">
        <v>47</v>
      </c>
      <c r="P638" s="10" t="s">
        <v>1775</v>
      </c>
      <c r="Q638" s="13"/>
      <c r="R638" s="13"/>
      <c r="S638" s="13"/>
      <c r="T638" s="13"/>
      <c r="U638" s="13"/>
      <c r="V638" s="13"/>
      <c r="W638" s="16"/>
      <c r="X638" s="13"/>
    </row>
    <row r="639" ht="14.25" customHeight="1">
      <c r="A639" s="10" t="s">
        <v>1364</v>
      </c>
      <c r="B639" s="10" t="s">
        <v>31</v>
      </c>
      <c r="C639" s="10">
        <v>641.0</v>
      </c>
      <c r="D639" s="11" t="s">
        <v>1776</v>
      </c>
      <c r="E639" s="11" t="s">
        <v>1777</v>
      </c>
      <c r="F639" s="11" t="s">
        <v>116</v>
      </c>
      <c r="G639" s="10">
        <v>641.0</v>
      </c>
      <c r="H639" s="10">
        <f>VLOOKUP(F639,'Generos y Familia'!$A$1:$C$623,2,FALSE)</f>
        <v>14</v>
      </c>
      <c r="I639" s="12" t="str">
        <f t="shared" si="1"/>
        <v>Laccospadix australasicus</v>
      </c>
      <c r="J639" s="10" t="str">
        <f t="shared" si="2"/>
        <v>641 Laccospadix australasicus</v>
      </c>
      <c r="K639" s="10" t="str">
        <f t="shared" si="3"/>
        <v>Palma de Atherton</v>
      </c>
      <c r="L639" s="10" t="str">
        <f t="shared" si="4"/>
        <v>641 Palma de Atherton</v>
      </c>
      <c r="M639" s="10" t="s">
        <v>46</v>
      </c>
      <c r="N639" s="10" t="s">
        <v>28</v>
      </c>
      <c r="O639" s="10" t="s">
        <v>117</v>
      </c>
      <c r="P639" s="10" t="s">
        <v>1778</v>
      </c>
      <c r="Q639" s="13"/>
      <c r="R639" s="13"/>
      <c r="S639" s="13"/>
      <c r="T639" s="13"/>
      <c r="U639" s="13"/>
      <c r="V639" s="13"/>
      <c r="W639" s="16"/>
      <c r="X639" s="13"/>
    </row>
    <row r="640" ht="14.25" customHeight="1">
      <c r="A640" s="10" t="s">
        <v>1364</v>
      </c>
      <c r="B640" s="10" t="s">
        <v>31</v>
      </c>
      <c r="C640" s="10">
        <v>642.0</v>
      </c>
      <c r="D640" s="11" t="s">
        <v>1779</v>
      </c>
      <c r="E640" s="11" t="s">
        <v>1780</v>
      </c>
      <c r="F640" s="11" t="s">
        <v>1781</v>
      </c>
      <c r="G640" s="10">
        <v>642.0</v>
      </c>
      <c r="H640" s="10">
        <f>VLOOKUP(F640,'Generos y Familia'!$A$1:$C$623,2,FALSE)</f>
        <v>33</v>
      </c>
      <c r="I640" s="12" t="str">
        <f t="shared" si="1"/>
        <v>Lacistema aggregatum</v>
      </c>
      <c r="J640" s="10" t="str">
        <f t="shared" si="2"/>
        <v>642 Lacistema aggregatum</v>
      </c>
      <c r="K640" s="10" t="str">
        <f t="shared" si="3"/>
        <v>Huesito; Café de Monte; Cafecillo; Coral; Coralito; Laurel Rosado</v>
      </c>
      <c r="L640" s="10" t="str">
        <f t="shared" si="4"/>
        <v>642 Huesito; Café de Monte; Cafecillo; Coral; Coralito; Laurel Rosado</v>
      </c>
      <c r="M640" s="10" t="s">
        <v>35</v>
      </c>
      <c r="N640" s="10" t="s">
        <v>36</v>
      </c>
      <c r="O640" s="10" t="s">
        <v>47</v>
      </c>
      <c r="P640" s="10" t="s">
        <v>1782</v>
      </c>
      <c r="Q640" s="13"/>
      <c r="R640" s="13"/>
      <c r="S640" s="13"/>
      <c r="T640" s="13"/>
      <c r="U640" s="13"/>
      <c r="V640" s="13"/>
      <c r="W640" s="16"/>
      <c r="X640" s="13"/>
    </row>
    <row r="641" ht="14.25" customHeight="1">
      <c r="A641" s="10" t="s">
        <v>1364</v>
      </c>
      <c r="B641" s="10" t="s">
        <v>31</v>
      </c>
      <c r="C641" s="10">
        <v>643.0</v>
      </c>
      <c r="D641" s="11" t="s">
        <v>1783</v>
      </c>
      <c r="E641" s="11" t="s">
        <v>1784</v>
      </c>
      <c r="F641" s="11" t="s">
        <v>206</v>
      </c>
      <c r="G641" s="10">
        <v>643.0</v>
      </c>
      <c r="H641" s="10">
        <f>VLOOKUP(F641,'Generos y Familia'!$A$1:$C$623,2,FALSE)</f>
        <v>9</v>
      </c>
      <c r="I641" s="12" t="str">
        <f t="shared" si="1"/>
        <v>Lacmellea edulis</v>
      </c>
      <c r="J641" s="10" t="str">
        <f t="shared" si="2"/>
        <v>643 Lacmellea edulis</v>
      </c>
      <c r="K641" s="10" t="str">
        <f t="shared" si="3"/>
        <v>Leche Miel; Lechemiel; Palo Espino; Chicle; Chicle Con Espinas; Chicle Espinoso</v>
      </c>
      <c r="L641" s="10" t="str">
        <f t="shared" si="4"/>
        <v>643 Leche Miel; Lechemiel; Palo Espino; Chicle; Chicle Con Espinas; Chicle Espinoso</v>
      </c>
      <c r="M641" s="10" t="s">
        <v>35</v>
      </c>
      <c r="N641" s="10" t="s">
        <v>36</v>
      </c>
      <c r="O641" s="10" t="s">
        <v>37</v>
      </c>
      <c r="P641" s="10" t="s">
        <v>1785</v>
      </c>
      <c r="Q641" s="13"/>
      <c r="R641" s="13"/>
      <c r="S641" s="13"/>
      <c r="T641" s="13"/>
      <c r="U641" s="13"/>
      <c r="V641" s="13"/>
      <c r="W641" s="13"/>
      <c r="X641" s="13"/>
    </row>
    <row r="642" ht="14.25" customHeight="1">
      <c r="A642" s="10" t="s">
        <v>1364</v>
      </c>
      <c r="B642" s="10" t="s">
        <v>31</v>
      </c>
      <c r="C642" s="10">
        <v>644.0</v>
      </c>
      <c r="D642" s="11" t="s">
        <v>1786</v>
      </c>
      <c r="E642" s="11" t="s">
        <v>1787</v>
      </c>
      <c r="F642" s="11" t="s">
        <v>762</v>
      </c>
      <c r="G642" s="10">
        <v>644.0</v>
      </c>
      <c r="H642" s="10">
        <f>VLOOKUP(F642,'Generos y Familia'!$A$1:$C$623,2,FALSE)</f>
        <v>82</v>
      </c>
      <c r="I642" s="12" t="str">
        <f t="shared" si="1"/>
        <v>Laetia corymbulosa</v>
      </c>
      <c r="J642" s="10" t="str">
        <f t="shared" si="2"/>
        <v>644 Laetia corymbulosa</v>
      </c>
      <c r="K642" s="10" t="str">
        <f t="shared" si="3"/>
        <v>Dorado; Manteco; Lagunero</v>
      </c>
      <c r="L642" s="10" t="str">
        <f t="shared" si="4"/>
        <v>644 Dorado; Manteco; Lagunero</v>
      </c>
      <c r="M642" s="10" t="s">
        <v>35</v>
      </c>
      <c r="N642" s="10" t="s">
        <v>36</v>
      </c>
      <c r="O642" s="10" t="s">
        <v>37</v>
      </c>
      <c r="P642" s="10" t="s">
        <v>1788</v>
      </c>
      <c r="Q642" s="13"/>
      <c r="R642" s="13"/>
      <c r="S642" s="13"/>
      <c r="T642" s="13"/>
      <c r="U642" s="13"/>
      <c r="V642" s="13"/>
      <c r="W642" s="13"/>
      <c r="X642" s="13"/>
    </row>
    <row r="643" ht="14.25" customHeight="1">
      <c r="A643" s="10" t="s">
        <v>1364</v>
      </c>
      <c r="B643" s="10" t="s">
        <v>31</v>
      </c>
      <c r="C643" s="10">
        <v>645.0</v>
      </c>
      <c r="D643" s="11" t="s">
        <v>1789</v>
      </c>
      <c r="E643" s="11" t="s">
        <v>1790</v>
      </c>
      <c r="F643" s="11" t="s">
        <v>125</v>
      </c>
      <c r="G643" s="10">
        <v>645.0</v>
      </c>
      <c r="H643" s="10">
        <f>VLOOKUP(F643,'Generos y Familia'!$A$1:$C$623,2,FALSE)</f>
        <v>37</v>
      </c>
      <c r="I643" s="12" t="str">
        <f t="shared" si="1"/>
        <v>Lafoensia acuminata</v>
      </c>
      <c r="J643" s="10" t="str">
        <f t="shared" si="2"/>
        <v>645 Lafoensia acuminata</v>
      </c>
      <c r="K643" s="10" t="str">
        <f t="shared" si="3"/>
        <v>Guayacán de Manizales; Mirto; Guayabo Manizaleño</v>
      </c>
      <c r="L643" s="10" t="str">
        <f t="shared" si="4"/>
        <v>645 Guayacán de Manizales; Mirto; Guayabo Manizaleño</v>
      </c>
      <c r="M643" s="10" t="s">
        <v>35</v>
      </c>
      <c r="N643" s="10" t="s">
        <v>36</v>
      </c>
      <c r="O643" s="10" t="s">
        <v>37</v>
      </c>
      <c r="P643" s="10" t="s">
        <v>1791</v>
      </c>
      <c r="Q643" s="17" t="s">
        <v>229</v>
      </c>
      <c r="R643" s="14" t="s">
        <v>39</v>
      </c>
      <c r="S643" s="17" t="s">
        <v>70</v>
      </c>
      <c r="T643" s="14" t="s">
        <v>39</v>
      </c>
      <c r="U643" s="14" t="s">
        <v>40</v>
      </c>
      <c r="V643" s="14"/>
      <c r="W643" s="18"/>
      <c r="X643" s="14"/>
    </row>
    <row r="644" ht="14.25" customHeight="1">
      <c r="A644" s="10" t="s">
        <v>1364</v>
      </c>
      <c r="B644" s="10" t="s">
        <v>31</v>
      </c>
      <c r="C644" s="10">
        <v>646.0</v>
      </c>
      <c r="D644" s="11" t="s">
        <v>1792</v>
      </c>
      <c r="E644" s="11" t="s">
        <v>1793</v>
      </c>
      <c r="F644" s="11" t="s">
        <v>125</v>
      </c>
      <c r="G644" s="10">
        <v>646.0</v>
      </c>
      <c r="H644" s="10">
        <f>VLOOKUP(F644,'Generos y Familia'!$A$1:$C$623,2,FALSE)</f>
        <v>37</v>
      </c>
      <c r="I644" s="12" t="str">
        <f t="shared" si="1"/>
        <v>Lafoensia punicifolia</v>
      </c>
      <c r="J644" s="10" t="str">
        <f t="shared" si="2"/>
        <v>646 Lafoensia punicifolia</v>
      </c>
      <c r="K644" s="10" t="str">
        <f t="shared" si="3"/>
        <v>Guayacán de Manizales; Guayacán del Cauca; Arrayán Escobo; Pelincú</v>
      </c>
      <c r="L644" s="10" t="str">
        <f t="shared" si="4"/>
        <v>646 Guayacán de Manizales; Guayacán del Cauca; Arrayán Escobo; Pelincú</v>
      </c>
      <c r="M644" s="10" t="s">
        <v>35</v>
      </c>
      <c r="N644" s="10" t="s">
        <v>36</v>
      </c>
      <c r="O644" s="10" t="s">
        <v>37</v>
      </c>
      <c r="P644" s="10" t="s">
        <v>1791</v>
      </c>
      <c r="Q644" s="13"/>
      <c r="R644" s="13"/>
      <c r="S644" s="13"/>
      <c r="T644" s="13"/>
      <c r="U644" s="13"/>
      <c r="V644" s="13"/>
      <c r="W644" s="13"/>
      <c r="X644" s="13"/>
    </row>
    <row r="645" ht="14.25" customHeight="1">
      <c r="A645" s="10" t="s">
        <v>1364</v>
      </c>
      <c r="B645" s="10" t="s">
        <v>31</v>
      </c>
      <c r="C645" s="10">
        <v>647.0</v>
      </c>
      <c r="D645" s="11" t="s">
        <v>1794</v>
      </c>
      <c r="E645" s="11" t="s">
        <v>1795</v>
      </c>
      <c r="F645" s="11" t="s">
        <v>125</v>
      </c>
      <c r="G645" s="10">
        <v>647.0</v>
      </c>
      <c r="H645" s="10">
        <f>VLOOKUP(F645,'Generos y Familia'!$A$1:$C$623,2,FALSE)</f>
        <v>37</v>
      </c>
      <c r="I645" s="12" t="str">
        <f t="shared" si="1"/>
        <v>lafoensia sp</v>
      </c>
      <c r="J645" s="10" t="str">
        <f t="shared" si="2"/>
        <v>647 lafoensia sp</v>
      </c>
      <c r="K645" s="10" t="str">
        <f t="shared" si="3"/>
        <v>Guayacan</v>
      </c>
      <c r="L645" s="10" t="str">
        <f t="shared" si="4"/>
        <v>647 Guayacan</v>
      </c>
      <c r="M645" s="10" t="s">
        <v>35</v>
      </c>
      <c r="N645" s="10" t="s">
        <v>36</v>
      </c>
      <c r="O645" s="10" t="s">
        <v>37</v>
      </c>
      <c r="P645" s="10" t="s">
        <v>1796</v>
      </c>
      <c r="Q645" s="17" t="s">
        <v>229</v>
      </c>
      <c r="R645" s="14"/>
      <c r="S645" s="17" t="s">
        <v>70</v>
      </c>
      <c r="T645" s="14"/>
      <c r="U645" s="14" t="s">
        <v>40</v>
      </c>
      <c r="V645" s="14"/>
      <c r="W645" s="17"/>
      <c r="X645" s="14" t="s">
        <v>41</v>
      </c>
    </row>
    <row r="646" ht="14.25" customHeight="1">
      <c r="A646" s="10" t="s">
        <v>1364</v>
      </c>
      <c r="B646" s="10" t="s">
        <v>31</v>
      </c>
      <c r="C646" s="10">
        <v>648.0</v>
      </c>
      <c r="D646" s="11" t="s">
        <v>1797</v>
      </c>
      <c r="E646" s="11" t="s">
        <v>1798</v>
      </c>
      <c r="F646" s="11" t="s">
        <v>125</v>
      </c>
      <c r="G646" s="10">
        <v>648.0</v>
      </c>
      <c r="H646" s="10">
        <f>VLOOKUP(F646,'Generos y Familia'!$A$1:$C$623,2,FALSE)</f>
        <v>37</v>
      </c>
      <c r="I646" s="12" t="str">
        <f t="shared" si="1"/>
        <v>Lafoensia speciosa</v>
      </c>
      <c r="J646" s="10" t="str">
        <f t="shared" si="2"/>
        <v>648 Lafoensia speciosa</v>
      </c>
      <c r="K646" s="10" t="str">
        <f t="shared" si="3"/>
        <v>Guayacan; Arrayan de Manizales</v>
      </c>
      <c r="L646" s="10" t="str">
        <f t="shared" si="4"/>
        <v>648 Guayacan; Arrayan de Manizales</v>
      </c>
      <c r="M646" s="10" t="s">
        <v>35</v>
      </c>
      <c r="N646" s="10" t="s">
        <v>36</v>
      </c>
      <c r="O646" s="10" t="s">
        <v>37</v>
      </c>
      <c r="P646" s="10" t="s">
        <v>1791</v>
      </c>
      <c r="Q646" s="17" t="s">
        <v>229</v>
      </c>
      <c r="R646" s="14"/>
      <c r="S646" s="17" t="s">
        <v>70</v>
      </c>
      <c r="T646" s="14"/>
      <c r="U646" s="14" t="s">
        <v>40</v>
      </c>
      <c r="V646" s="14"/>
      <c r="W646" s="18"/>
      <c r="X646" s="14" t="s">
        <v>41</v>
      </c>
    </row>
    <row r="647" ht="14.25" customHeight="1">
      <c r="A647" s="10" t="s">
        <v>1364</v>
      </c>
      <c r="B647" s="10" t="s">
        <v>31</v>
      </c>
      <c r="C647" s="10">
        <v>649.0</v>
      </c>
      <c r="D647" s="11" t="s">
        <v>1799</v>
      </c>
      <c r="E647" s="11" t="s">
        <v>1800</v>
      </c>
      <c r="F647" s="11" t="s">
        <v>125</v>
      </c>
      <c r="G647" s="10">
        <v>649.0</v>
      </c>
      <c r="H647" s="10">
        <f>VLOOKUP(F647,'Generos y Familia'!$A$1:$C$623,2,FALSE)</f>
        <v>37</v>
      </c>
      <c r="I647" s="12" t="str">
        <f t="shared" si="1"/>
        <v>Lagerstroemia indica</v>
      </c>
      <c r="J647" s="10" t="str">
        <f t="shared" si="2"/>
        <v>649 Lagerstroemia indica</v>
      </c>
      <c r="K647" s="10" t="str">
        <f t="shared" si="3"/>
        <v>Júpiter; Astromelio; Júpiter; Astromelia; Gólgota</v>
      </c>
      <c r="L647" s="10" t="str">
        <f t="shared" si="4"/>
        <v>649 Júpiter; Astromelio; Júpiter; Astromelia; Gólgota</v>
      </c>
      <c r="M647" s="10" t="s">
        <v>46</v>
      </c>
      <c r="N647" s="10" t="s">
        <v>36</v>
      </c>
      <c r="O647" s="10" t="s">
        <v>47</v>
      </c>
      <c r="P647" s="10" t="s">
        <v>1801</v>
      </c>
      <c r="Q647" s="17" t="s">
        <v>338</v>
      </c>
      <c r="R647" s="14" t="s">
        <v>39</v>
      </c>
      <c r="S647" s="17" t="s">
        <v>448</v>
      </c>
      <c r="T647" s="14" t="s">
        <v>39</v>
      </c>
      <c r="U647" s="14" t="s">
        <v>55</v>
      </c>
      <c r="V647" s="14"/>
      <c r="W647" s="17"/>
      <c r="X647" s="14"/>
    </row>
    <row r="648" ht="14.25" customHeight="1">
      <c r="A648" s="10" t="s">
        <v>1364</v>
      </c>
      <c r="B648" s="10" t="s">
        <v>31</v>
      </c>
      <c r="C648" s="10">
        <v>650.0</v>
      </c>
      <c r="D648" s="11" t="s">
        <v>1802</v>
      </c>
      <c r="E648" s="11" t="s">
        <v>1803</v>
      </c>
      <c r="F648" s="11" t="s">
        <v>125</v>
      </c>
      <c r="G648" s="10">
        <v>650.0</v>
      </c>
      <c r="H648" s="10">
        <f>VLOOKUP(F648,'Generos y Familia'!$A$1:$C$623,2,FALSE)</f>
        <v>37</v>
      </c>
      <c r="I648" s="12" t="str">
        <f t="shared" si="1"/>
        <v>Lagerstroemia speciosa</v>
      </c>
      <c r="J648" s="10" t="str">
        <f t="shared" si="2"/>
        <v>650 Lagerstroemia speciosa</v>
      </c>
      <c r="K648" s="10" t="str">
        <f t="shared" si="3"/>
        <v>Flor de la Reina; Reina de las Flores; Astromelia; Embrujo de la India; Orgullo de la India</v>
      </c>
      <c r="L648" s="10" t="str">
        <f t="shared" si="4"/>
        <v>650 Flor de la Reina; Reina de las Flores; Astromelia; Embrujo de la India; Orgullo de la India</v>
      </c>
      <c r="M648" s="10" t="s">
        <v>46</v>
      </c>
      <c r="N648" s="10" t="s">
        <v>36</v>
      </c>
      <c r="O648" s="10" t="s">
        <v>37</v>
      </c>
      <c r="P648" s="10" t="s">
        <v>1801</v>
      </c>
      <c r="Q648" s="17" t="s">
        <v>145</v>
      </c>
      <c r="R648" s="14" t="s">
        <v>39</v>
      </c>
      <c r="S648" s="17" t="s">
        <v>70</v>
      </c>
      <c r="T648" s="14" t="s">
        <v>39</v>
      </c>
      <c r="U648" s="14" t="s">
        <v>40</v>
      </c>
      <c r="V648" s="14">
        <v>0.6</v>
      </c>
      <c r="W648" s="18"/>
      <c r="X648" s="14"/>
    </row>
    <row r="649" ht="14.25" customHeight="1">
      <c r="A649" s="10" t="s">
        <v>1364</v>
      </c>
      <c r="B649" s="10" t="s">
        <v>31</v>
      </c>
      <c r="C649" s="10">
        <v>651.0</v>
      </c>
      <c r="D649" s="11" t="s">
        <v>1804</v>
      </c>
      <c r="E649" s="11" t="s">
        <v>1805</v>
      </c>
      <c r="F649" s="11" t="s">
        <v>227</v>
      </c>
      <c r="G649" s="10">
        <v>651.0</v>
      </c>
      <c r="H649" s="10">
        <f>VLOOKUP(F649,'Generos y Familia'!$A$1:$C$623,2,FALSE)</f>
        <v>96</v>
      </c>
      <c r="I649" s="12" t="str">
        <f t="shared" si="1"/>
        <v>Lantana aculeata</v>
      </c>
      <c r="J649" s="10" t="str">
        <f t="shared" si="2"/>
        <v>651 Lantana aculeata</v>
      </c>
      <c r="K649" s="10" t="str">
        <f t="shared" si="3"/>
        <v>Cinco Negritos</v>
      </c>
      <c r="L649" s="10" t="str">
        <f t="shared" si="4"/>
        <v>651 Cinco Negritos</v>
      </c>
      <c r="M649" s="10" t="s">
        <v>35</v>
      </c>
      <c r="N649" s="10" t="s">
        <v>36</v>
      </c>
      <c r="O649" s="10" t="s">
        <v>47</v>
      </c>
      <c r="P649" s="10" t="s">
        <v>1806</v>
      </c>
      <c r="Q649" s="13"/>
      <c r="R649" s="13"/>
      <c r="S649" s="13"/>
      <c r="T649" s="13"/>
      <c r="U649" s="13"/>
      <c r="V649" s="13"/>
      <c r="W649" s="13"/>
      <c r="X649" s="13"/>
    </row>
    <row r="650" ht="14.25" customHeight="1">
      <c r="A650" s="10" t="s">
        <v>1364</v>
      </c>
      <c r="B650" s="10" t="s">
        <v>31</v>
      </c>
      <c r="C650" s="10">
        <v>653.0</v>
      </c>
      <c r="D650" s="11" t="s">
        <v>1807</v>
      </c>
      <c r="E650" s="11" t="s">
        <v>1808</v>
      </c>
      <c r="F650" s="11" t="s">
        <v>227</v>
      </c>
      <c r="G650" s="10">
        <v>653.0</v>
      </c>
      <c r="H650" s="10">
        <f>VLOOKUP(F650,'Generos y Familia'!$A$1:$C$623,2,FALSE)</f>
        <v>96</v>
      </c>
      <c r="I650" s="12" t="str">
        <f t="shared" si="1"/>
        <v>Lantana viburnoides</v>
      </c>
      <c r="J650" s="10" t="str">
        <f t="shared" si="2"/>
        <v>653 Lantana viburnoides</v>
      </c>
      <c r="K650" s="10" t="str">
        <f t="shared" si="3"/>
        <v>Lantana Viburnoides</v>
      </c>
      <c r="L650" s="10" t="str">
        <f t="shared" si="4"/>
        <v>653 Lantana Viburnoides</v>
      </c>
      <c r="M650" s="10" t="s">
        <v>46</v>
      </c>
      <c r="N650" s="10" t="s">
        <v>36</v>
      </c>
      <c r="O650" s="10" t="s">
        <v>47</v>
      </c>
      <c r="P650" s="10" t="s">
        <v>1806</v>
      </c>
      <c r="Q650" s="13"/>
      <c r="R650" s="13"/>
      <c r="S650" s="13"/>
      <c r="T650" s="13"/>
      <c r="U650" s="13"/>
      <c r="V650" s="13"/>
      <c r="W650" s="13"/>
      <c r="X650" s="13"/>
    </row>
    <row r="651" ht="14.25" customHeight="1">
      <c r="A651" s="10"/>
      <c r="B651" s="10"/>
      <c r="C651" s="10"/>
      <c r="D651" s="11" t="s">
        <v>1809</v>
      </c>
      <c r="E651" s="11" t="s">
        <v>1810</v>
      </c>
      <c r="F651" s="11" t="s">
        <v>227</v>
      </c>
      <c r="G651" s="11">
        <v>652.0</v>
      </c>
      <c r="H651" s="11">
        <v>96.0</v>
      </c>
      <c r="I651" s="12" t="str">
        <f t="shared" si="1"/>
        <v>Lantana camara</v>
      </c>
      <c r="J651" s="10" t="str">
        <f t="shared" si="2"/>
        <v>652 Lantana camara</v>
      </c>
      <c r="K651" s="10" t="str">
        <f t="shared" si="3"/>
        <v>Camará; Lantana; Bandera Española; Cinco Negritos</v>
      </c>
      <c r="L651" s="10" t="str">
        <f t="shared" si="4"/>
        <v>652 Camará; Lantana; Bandera Española; Cinco Negritos</v>
      </c>
      <c r="M651" s="10" t="s">
        <v>46</v>
      </c>
      <c r="N651" s="10" t="s">
        <v>36</v>
      </c>
      <c r="O651" s="11" t="s">
        <v>47</v>
      </c>
      <c r="P651" s="10"/>
      <c r="Q651" s="22">
        <v>5.0</v>
      </c>
      <c r="R651" s="13"/>
      <c r="S651" s="13"/>
      <c r="T651" s="13"/>
      <c r="U651" s="13"/>
      <c r="V651" s="13"/>
      <c r="W651" s="13"/>
      <c r="X651" s="13"/>
    </row>
    <row r="652" ht="14.25" customHeight="1">
      <c r="A652" s="10" t="s">
        <v>1364</v>
      </c>
      <c r="B652" s="10" t="s">
        <v>31</v>
      </c>
      <c r="C652" s="10">
        <v>654.0</v>
      </c>
      <c r="D652" s="11" t="s">
        <v>1811</v>
      </c>
      <c r="E652" s="11" t="s">
        <v>1812</v>
      </c>
      <c r="F652" s="11" t="s">
        <v>116</v>
      </c>
      <c r="G652" s="10">
        <v>654.0</v>
      </c>
      <c r="H652" s="10">
        <f>VLOOKUP(F652,'Generos y Familia'!$A$1:$C$623,2,FALSE)</f>
        <v>14</v>
      </c>
      <c r="I652" s="12" t="str">
        <f t="shared" si="1"/>
        <v>Latania loddigesii</v>
      </c>
      <c r="J652" s="10" t="str">
        <f t="shared" si="2"/>
        <v>654 Latania loddigesii</v>
      </c>
      <c r="K652" s="10" t="str">
        <f t="shared" si="3"/>
        <v>Palma Latania</v>
      </c>
      <c r="L652" s="10" t="str">
        <f t="shared" si="4"/>
        <v>654 Palma Latania</v>
      </c>
      <c r="M652" s="10" t="s">
        <v>46</v>
      </c>
      <c r="N652" s="10" t="s">
        <v>28</v>
      </c>
      <c r="O652" s="10" t="s">
        <v>117</v>
      </c>
      <c r="P652" s="10" t="s">
        <v>1813</v>
      </c>
      <c r="Q652" s="13"/>
      <c r="R652" s="13"/>
      <c r="S652" s="13"/>
      <c r="T652" s="13"/>
      <c r="U652" s="13"/>
      <c r="V652" s="13"/>
      <c r="W652" s="13"/>
      <c r="X652" s="13"/>
    </row>
    <row r="653" ht="14.25" customHeight="1">
      <c r="A653" s="10" t="s">
        <v>1364</v>
      </c>
      <c r="B653" s="10" t="s">
        <v>31</v>
      </c>
      <c r="C653" s="10">
        <v>655.0</v>
      </c>
      <c r="D653" s="11" t="s">
        <v>1814</v>
      </c>
      <c r="E653" s="11" t="s">
        <v>1815</v>
      </c>
      <c r="F653" s="11" t="s">
        <v>116</v>
      </c>
      <c r="G653" s="10">
        <v>655.0</v>
      </c>
      <c r="H653" s="10">
        <f>VLOOKUP(F653,'Generos y Familia'!$A$1:$C$623,2,FALSE)</f>
        <v>14</v>
      </c>
      <c r="I653" s="12" t="str">
        <f t="shared" si="1"/>
        <v>Latania lontaroides</v>
      </c>
      <c r="J653" s="10" t="str">
        <f t="shared" si="2"/>
        <v>655 Latania lontaroides</v>
      </c>
      <c r="K653" s="10" t="str">
        <f t="shared" si="3"/>
        <v>Latania Roja</v>
      </c>
      <c r="L653" s="10" t="str">
        <f t="shared" si="4"/>
        <v>655 Latania Roja</v>
      </c>
      <c r="M653" s="10" t="s">
        <v>46</v>
      </c>
      <c r="N653" s="10" t="s">
        <v>28</v>
      </c>
      <c r="O653" s="10" t="s">
        <v>117</v>
      </c>
      <c r="P653" s="10" t="s">
        <v>1813</v>
      </c>
      <c r="Q653" s="17" t="s">
        <v>145</v>
      </c>
      <c r="R653" s="14" t="s">
        <v>1338</v>
      </c>
      <c r="S653" s="17" t="s">
        <v>54</v>
      </c>
      <c r="T653" s="14" t="s">
        <v>1338</v>
      </c>
      <c r="U653" s="14" t="s">
        <v>1816</v>
      </c>
      <c r="V653" s="14"/>
      <c r="W653" s="17" t="s">
        <v>290</v>
      </c>
      <c r="X653" s="14"/>
    </row>
    <row r="654" ht="14.25" customHeight="1">
      <c r="A654" s="10" t="s">
        <v>1364</v>
      </c>
      <c r="B654" s="10" t="s">
        <v>31</v>
      </c>
      <c r="C654" s="10">
        <v>656.0</v>
      </c>
      <c r="D654" s="11" t="s">
        <v>1817</v>
      </c>
      <c r="E654" s="11" t="s">
        <v>1818</v>
      </c>
      <c r="F654" s="11" t="s">
        <v>158</v>
      </c>
      <c r="G654" s="10">
        <v>656.0</v>
      </c>
      <c r="H654" s="10">
        <f>VLOOKUP(F654,'Generos y Familia'!$A$1:$C$623,2,FALSE)</f>
        <v>35</v>
      </c>
      <c r="I654" s="12" t="str">
        <f t="shared" si="1"/>
        <v>Laurus nobilis</v>
      </c>
      <c r="J654" s="10" t="str">
        <f t="shared" si="2"/>
        <v>656 Laurus nobilis</v>
      </c>
      <c r="K654" s="10" t="str">
        <f t="shared" si="3"/>
        <v>Laurel; Laurel Real; Canlón; Laurel Europeo</v>
      </c>
      <c r="L654" s="10" t="str">
        <f t="shared" si="4"/>
        <v>656 Laurel; Laurel Real; Canlón; Laurel Europeo</v>
      </c>
      <c r="M654" s="10" t="s">
        <v>46</v>
      </c>
      <c r="N654" s="10" t="s">
        <v>36</v>
      </c>
      <c r="O654" s="10" t="s">
        <v>37</v>
      </c>
      <c r="P654" s="10" t="s">
        <v>1819</v>
      </c>
      <c r="Q654" s="17" t="s">
        <v>145</v>
      </c>
      <c r="R654" s="14"/>
      <c r="S654" s="17" t="s">
        <v>442</v>
      </c>
      <c r="T654" s="14"/>
      <c r="U654" s="14" t="s">
        <v>40</v>
      </c>
      <c r="V654" s="14"/>
      <c r="W654" s="17"/>
      <c r="X654" s="14" t="s">
        <v>41</v>
      </c>
    </row>
    <row r="655" ht="14.25" customHeight="1">
      <c r="A655" s="10" t="s">
        <v>1364</v>
      </c>
      <c r="B655" s="10" t="s">
        <v>31</v>
      </c>
      <c r="C655" s="10">
        <v>657.0</v>
      </c>
      <c r="D655" s="11" t="s">
        <v>1820</v>
      </c>
      <c r="E655" s="11" t="s">
        <v>1821</v>
      </c>
      <c r="F655" s="11" t="s">
        <v>34</v>
      </c>
      <c r="G655" s="10">
        <v>657.0</v>
      </c>
      <c r="H655" s="10">
        <f>VLOOKUP(F655,'Generos y Familia'!$A$1:$C$623,2,FALSE)</f>
        <v>27</v>
      </c>
      <c r="I655" s="12" t="str">
        <f t="shared" si="1"/>
        <v>Lecointea amazonica</v>
      </c>
      <c r="J655" s="10" t="str">
        <f t="shared" si="2"/>
        <v>657 Lecointea amazonica</v>
      </c>
      <c r="K655" s="10" t="str">
        <f t="shared" si="3"/>
        <v>Carrapo; la Costilla Danto</v>
      </c>
      <c r="L655" s="10" t="str">
        <f t="shared" si="4"/>
        <v>657 Carrapo; la Costilla Danto</v>
      </c>
      <c r="M655" s="10" t="s">
        <v>35</v>
      </c>
      <c r="N655" s="10" t="s">
        <v>36</v>
      </c>
      <c r="O655" s="10" t="s">
        <v>37</v>
      </c>
      <c r="P655" s="10" t="s">
        <v>1822</v>
      </c>
      <c r="Q655" s="13"/>
      <c r="R655" s="13"/>
      <c r="S655" s="13"/>
      <c r="T655" s="13"/>
      <c r="U655" s="13"/>
      <c r="V655" s="13"/>
      <c r="W655" s="13"/>
      <c r="X655" s="13"/>
    </row>
    <row r="656" ht="14.25" customHeight="1">
      <c r="A656" s="10" t="s">
        <v>1364</v>
      </c>
      <c r="B656" s="10" t="s">
        <v>31</v>
      </c>
      <c r="C656" s="10">
        <v>658.0</v>
      </c>
      <c r="D656" s="11" t="s">
        <v>1823</v>
      </c>
      <c r="E656" s="11" t="s">
        <v>1824</v>
      </c>
      <c r="F656" s="11" t="s">
        <v>728</v>
      </c>
      <c r="G656" s="10">
        <v>658.0</v>
      </c>
      <c r="H656" s="10">
        <f>VLOOKUP(F656,'Generos y Familia'!$A$1:$C$623,2,FALSE)</f>
        <v>36</v>
      </c>
      <c r="I656" s="12" t="str">
        <f t="shared" si="1"/>
        <v>Lecythis minor</v>
      </c>
      <c r="J656" s="10" t="str">
        <f t="shared" si="2"/>
        <v>658 Lecythis minor</v>
      </c>
      <c r="K656" s="10" t="str">
        <f t="shared" si="3"/>
        <v>Olletico; Olla de Mono; Olleto; Cocuelo; Coquillo</v>
      </c>
      <c r="L656" s="10" t="str">
        <f t="shared" si="4"/>
        <v>658 Olletico; Olla de Mono; Olleto; Cocuelo; Coquillo</v>
      </c>
      <c r="M656" s="10" t="s">
        <v>35</v>
      </c>
      <c r="N656" s="10" t="s">
        <v>36</v>
      </c>
      <c r="O656" s="10" t="s">
        <v>37</v>
      </c>
      <c r="P656" s="10" t="s">
        <v>1825</v>
      </c>
      <c r="Q656" s="13"/>
      <c r="R656" s="13"/>
      <c r="S656" s="13"/>
      <c r="T656" s="13"/>
      <c r="U656" s="13"/>
      <c r="V656" s="13"/>
      <c r="W656" s="13"/>
      <c r="X656" s="13"/>
    </row>
    <row r="657" ht="14.25" customHeight="1">
      <c r="A657" s="10" t="s">
        <v>1364</v>
      </c>
      <c r="B657" s="10" t="s">
        <v>31</v>
      </c>
      <c r="C657" s="10">
        <v>659.0</v>
      </c>
      <c r="D657" s="11" t="s">
        <v>1826</v>
      </c>
      <c r="E657" s="11" t="s">
        <v>1827</v>
      </c>
      <c r="F657" s="11" t="s">
        <v>728</v>
      </c>
      <c r="G657" s="10">
        <v>659.0</v>
      </c>
      <c r="H657" s="10">
        <f>VLOOKUP(F657,'Generos y Familia'!$A$1:$C$623,2,FALSE)</f>
        <v>36</v>
      </c>
      <c r="I657" s="12" t="str">
        <f t="shared" si="1"/>
        <v>Lecythis tuyrana</v>
      </c>
      <c r="J657" s="10" t="str">
        <f t="shared" si="2"/>
        <v>659 Lecythis tuyrana</v>
      </c>
      <c r="K657" s="10" t="str">
        <f t="shared" si="3"/>
        <v>Olla de Mono; Olleto; Olleta de Mono</v>
      </c>
      <c r="L657" s="10" t="str">
        <f t="shared" si="4"/>
        <v>659 Olla de Mono; Olleto; Olleta de Mono</v>
      </c>
      <c r="M657" s="10" t="s">
        <v>35</v>
      </c>
      <c r="N657" s="10" t="s">
        <v>36</v>
      </c>
      <c r="O657" s="10" t="s">
        <v>37</v>
      </c>
      <c r="P657" s="10" t="s">
        <v>1825</v>
      </c>
      <c r="Q657" s="13">
        <v>45.0</v>
      </c>
      <c r="R657" s="13" t="s">
        <v>39</v>
      </c>
      <c r="S657" s="13">
        <v>200.0</v>
      </c>
      <c r="T657" s="13" t="s">
        <v>39</v>
      </c>
      <c r="U657" s="13" t="s">
        <v>73</v>
      </c>
      <c r="V657" s="13"/>
      <c r="W657" s="13"/>
      <c r="X657" s="13"/>
    </row>
    <row r="658" ht="14.25" customHeight="1">
      <c r="A658" s="10" t="s">
        <v>1364</v>
      </c>
      <c r="B658" s="10" t="s">
        <v>31</v>
      </c>
      <c r="C658" s="10">
        <v>660.0</v>
      </c>
      <c r="D658" s="11" t="s">
        <v>1828</v>
      </c>
      <c r="E658" s="11" t="s">
        <v>1829</v>
      </c>
      <c r="F658" s="11" t="s">
        <v>1830</v>
      </c>
      <c r="G658" s="10">
        <v>660.0</v>
      </c>
      <c r="H658" s="10">
        <f>VLOOKUP(F658,'Generos y Familia'!$A$1:$C$623,2,FALSE)</f>
        <v>97</v>
      </c>
      <c r="I658" s="12" t="str">
        <f t="shared" si="1"/>
        <v>Leea guineensis</v>
      </c>
      <c r="J658" s="10" t="str">
        <f t="shared" si="2"/>
        <v>660 Leea guineensis</v>
      </c>
      <c r="K658" s="10" t="str">
        <f t="shared" si="3"/>
        <v>Coccinea; Talyantan</v>
      </c>
      <c r="L658" s="10" t="str">
        <f t="shared" si="4"/>
        <v>660 Coccinea; Talyantan</v>
      </c>
      <c r="M658" s="10" t="s">
        <v>46</v>
      </c>
      <c r="N658" s="10" t="s">
        <v>36</v>
      </c>
      <c r="O658" s="10" t="s">
        <v>47</v>
      </c>
      <c r="P658" s="10" t="s">
        <v>1831</v>
      </c>
      <c r="Q658" s="13"/>
      <c r="R658" s="13"/>
      <c r="S658" s="13"/>
      <c r="T658" s="13"/>
      <c r="U658" s="13"/>
      <c r="V658" s="13"/>
      <c r="W658" s="16"/>
      <c r="X658" s="13"/>
    </row>
    <row r="659" ht="14.25" customHeight="1">
      <c r="A659" s="10" t="s">
        <v>1364</v>
      </c>
      <c r="B659" s="10" t="s">
        <v>31</v>
      </c>
      <c r="C659" s="10">
        <v>661.0</v>
      </c>
      <c r="D659" s="11" t="s">
        <v>1832</v>
      </c>
      <c r="E659" s="11" t="s">
        <v>1833</v>
      </c>
      <c r="F659" s="11" t="s">
        <v>1830</v>
      </c>
      <c r="G659" s="10">
        <v>661.0</v>
      </c>
      <c r="H659" s="10">
        <f>VLOOKUP(F659,'Generos y Familia'!$A$1:$C$623,2,FALSE)</f>
        <v>97</v>
      </c>
      <c r="I659" s="12" t="str">
        <f t="shared" si="1"/>
        <v>Leea rubra</v>
      </c>
      <c r="J659" s="10" t="str">
        <f t="shared" si="2"/>
        <v>661 Leea rubra</v>
      </c>
      <c r="K659" s="10" t="str">
        <f t="shared" si="3"/>
        <v>Acebo Hawaiano Rojo</v>
      </c>
      <c r="L659" s="10" t="str">
        <f t="shared" si="4"/>
        <v>661 Acebo Hawaiano Rojo</v>
      </c>
      <c r="M659" s="10" t="s">
        <v>46</v>
      </c>
      <c r="N659" s="10" t="s">
        <v>36</v>
      </c>
      <c r="O659" s="10" t="s">
        <v>47</v>
      </c>
      <c r="P659" s="10" t="s">
        <v>1831</v>
      </c>
      <c r="Q659" s="13"/>
      <c r="R659" s="13"/>
      <c r="S659" s="13"/>
      <c r="T659" s="13"/>
      <c r="U659" s="13"/>
      <c r="V659" s="13"/>
      <c r="W659" s="13"/>
      <c r="X659" s="13"/>
    </row>
    <row r="660" ht="14.25" customHeight="1">
      <c r="A660" s="10" t="s">
        <v>1364</v>
      </c>
      <c r="B660" s="10" t="s">
        <v>31</v>
      </c>
      <c r="C660" s="10">
        <v>662.0</v>
      </c>
      <c r="D660" s="11" t="s">
        <v>1834</v>
      </c>
      <c r="E660" s="11" t="s">
        <v>1835</v>
      </c>
      <c r="F660" s="11" t="s">
        <v>95</v>
      </c>
      <c r="G660" s="10">
        <v>662.0</v>
      </c>
      <c r="H660" s="10">
        <f>VLOOKUP(F660,'Generos y Familia'!$A$1:$C$623,2,FALSE)</f>
        <v>49</v>
      </c>
      <c r="I660" s="12" t="str">
        <f t="shared" si="1"/>
        <v>Leptospermum scoparium</v>
      </c>
      <c r="J660" s="10" t="str">
        <f t="shared" si="2"/>
        <v>662 Leptospermum scoparium</v>
      </c>
      <c r="K660" s="10" t="str">
        <f t="shared" si="3"/>
        <v>Leptospermum; Arbol de Te</v>
      </c>
      <c r="L660" s="10" t="str">
        <f t="shared" si="4"/>
        <v>662 Leptospermum; Arbol de Te</v>
      </c>
      <c r="M660" s="10" t="s">
        <v>46</v>
      </c>
      <c r="N660" s="10" t="s">
        <v>36</v>
      </c>
      <c r="O660" s="10" t="s">
        <v>47</v>
      </c>
      <c r="P660" s="10" t="s">
        <v>1836</v>
      </c>
      <c r="Q660" s="13"/>
      <c r="R660" s="13"/>
      <c r="S660" s="13"/>
      <c r="T660" s="13"/>
      <c r="U660" s="13"/>
      <c r="V660" s="13"/>
      <c r="W660" s="16"/>
      <c r="X660" s="13"/>
    </row>
    <row r="661" ht="14.25" customHeight="1">
      <c r="A661" s="10" t="s">
        <v>1364</v>
      </c>
      <c r="B661" s="10" t="s">
        <v>31</v>
      </c>
      <c r="C661" s="10">
        <v>663.0</v>
      </c>
      <c r="D661" s="11" t="s">
        <v>1837</v>
      </c>
      <c r="E661" s="11" t="s">
        <v>1838</v>
      </c>
      <c r="F661" s="11" t="s">
        <v>34</v>
      </c>
      <c r="G661" s="10">
        <v>663.0</v>
      </c>
      <c r="H661" s="10">
        <f>VLOOKUP(F661,'Generos y Familia'!$A$1:$C$623,2,FALSE)</f>
        <v>27</v>
      </c>
      <c r="I661" s="12" t="str">
        <f t="shared" si="1"/>
        <v>Leucaena latisiliqua</v>
      </c>
      <c r="J661" s="10" t="str">
        <f t="shared" si="2"/>
        <v>663 Leucaena latisiliqua</v>
      </c>
      <c r="K661" s="10" t="str">
        <f t="shared" si="3"/>
        <v>Guaje</v>
      </c>
      <c r="L661" s="10" t="str">
        <f t="shared" si="4"/>
        <v>663 Guaje</v>
      </c>
      <c r="M661" s="10" t="s">
        <v>46</v>
      </c>
      <c r="N661" s="10" t="s">
        <v>28</v>
      </c>
      <c r="O661" s="10" t="s">
        <v>37</v>
      </c>
      <c r="P661" s="10" t="s">
        <v>1839</v>
      </c>
      <c r="Q661" s="13"/>
      <c r="R661" s="13"/>
      <c r="S661" s="13"/>
      <c r="T661" s="13"/>
      <c r="U661" s="13"/>
      <c r="V661" s="13"/>
      <c r="W661" s="13"/>
      <c r="X661" s="13"/>
    </row>
    <row r="662" ht="14.25" customHeight="1">
      <c r="A662" s="10" t="s">
        <v>1364</v>
      </c>
      <c r="B662" s="10" t="s">
        <v>31</v>
      </c>
      <c r="C662" s="10">
        <v>664.0</v>
      </c>
      <c r="D662" s="11" t="s">
        <v>1840</v>
      </c>
      <c r="E662" s="11" t="s">
        <v>1841</v>
      </c>
      <c r="F662" s="11" t="s">
        <v>34</v>
      </c>
      <c r="G662" s="10">
        <v>664.0</v>
      </c>
      <c r="H662" s="10">
        <f>VLOOKUP(F662,'Generos y Familia'!$A$1:$C$623,2,FALSE)</f>
        <v>27</v>
      </c>
      <c r="I662" s="12" t="str">
        <f t="shared" si="1"/>
        <v>Leucaena leucocephala</v>
      </c>
      <c r="J662" s="10" t="str">
        <f t="shared" si="2"/>
        <v>664 Leucaena leucocephala</v>
      </c>
      <c r="K662" s="10" t="str">
        <f t="shared" si="3"/>
        <v>Leucaena; Acacia Blanca; Panelo; Carbonero Blanco; Acacia Forrajera</v>
      </c>
      <c r="L662" s="10" t="str">
        <f t="shared" si="4"/>
        <v>664 Leucaena; Acacia Blanca; Panelo; Carbonero Blanco; Acacia Forrajera</v>
      </c>
      <c r="M662" s="10" t="s">
        <v>46</v>
      </c>
      <c r="N662" s="10" t="s">
        <v>36</v>
      </c>
      <c r="O662" s="10" t="s">
        <v>37</v>
      </c>
      <c r="P662" s="10" t="s">
        <v>1839</v>
      </c>
      <c r="Q662" s="17" t="s">
        <v>379</v>
      </c>
      <c r="R662" s="14" t="s">
        <v>39</v>
      </c>
      <c r="S662" s="17" t="s">
        <v>229</v>
      </c>
      <c r="T662" s="14" t="s">
        <v>39</v>
      </c>
      <c r="U662" s="14" t="s">
        <v>55</v>
      </c>
      <c r="V662" s="14">
        <v>0.45</v>
      </c>
      <c r="W662" s="17"/>
      <c r="X662" s="14"/>
    </row>
    <row r="663" ht="14.25" customHeight="1">
      <c r="A663" s="10" t="s">
        <v>1364</v>
      </c>
      <c r="B663" s="10" t="s">
        <v>31</v>
      </c>
      <c r="C663" s="10">
        <v>665.0</v>
      </c>
      <c r="D663" s="11" t="s">
        <v>1842</v>
      </c>
      <c r="E663" s="11" t="s">
        <v>1843</v>
      </c>
      <c r="F663" s="11" t="s">
        <v>803</v>
      </c>
      <c r="G663" s="10">
        <v>665.0</v>
      </c>
      <c r="H663" s="10">
        <f>VLOOKUP(F663,'Generos y Familia'!$A$1:$C$623,2,FALSE)</f>
        <v>23</v>
      </c>
      <c r="I663" s="12" t="str">
        <f t="shared" si="1"/>
        <v>Leucothoe fontanesiana</v>
      </c>
      <c r="J663" s="10" t="str">
        <f t="shared" si="2"/>
        <v>665 Leucothoe fontanesiana</v>
      </c>
      <c r="K663" s="10" t="str">
        <f t="shared" si="3"/>
        <v>Leucothoe Fontanesiana</v>
      </c>
      <c r="L663" s="10" t="str">
        <f t="shared" si="4"/>
        <v>665 Leucothoe Fontanesiana</v>
      </c>
      <c r="M663" s="10" t="s">
        <v>46</v>
      </c>
      <c r="N663" s="10" t="s">
        <v>36</v>
      </c>
      <c r="O663" s="10" t="s">
        <v>37</v>
      </c>
      <c r="P663" s="10" t="s">
        <v>1844</v>
      </c>
      <c r="Q663" s="13"/>
      <c r="R663" s="13"/>
      <c r="S663" s="13"/>
      <c r="T663" s="13"/>
      <c r="U663" s="13"/>
      <c r="V663" s="13"/>
      <c r="W663" s="13"/>
      <c r="X663" s="13"/>
    </row>
    <row r="664" ht="14.25" customHeight="1">
      <c r="A664" s="10" t="s">
        <v>1364</v>
      </c>
      <c r="B664" s="10" t="s">
        <v>31</v>
      </c>
      <c r="C664" s="10">
        <v>666.0</v>
      </c>
      <c r="D664" s="11" t="s">
        <v>1845</v>
      </c>
      <c r="E664" s="11" t="s">
        <v>1846</v>
      </c>
      <c r="F664" s="11" t="s">
        <v>914</v>
      </c>
      <c r="G664" s="10">
        <v>666.0</v>
      </c>
      <c r="H664" s="10">
        <f>VLOOKUP(F664,'Generos y Familia'!$A$1:$C$623,2,FALSE)</f>
        <v>35</v>
      </c>
      <c r="I664" s="12" t="str">
        <f t="shared" si="1"/>
        <v>Licania sp</v>
      </c>
      <c r="J664" s="10" t="str">
        <f t="shared" si="2"/>
        <v>666 Licania sp</v>
      </c>
      <c r="K664" s="10" t="str">
        <f t="shared" si="3"/>
        <v>Licania</v>
      </c>
      <c r="L664" s="10" t="str">
        <f t="shared" si="4"/>
        <v>666 Licania</v>
      </c>
      <c r="M664" s="10" t="s">
        <v>35</v>
      </c>
      <c r="N664" s="10" t="s">
        <v>36</v>
      </c>
      <c r="O664" s="10" t="s">
        <v>37</v>
      </c>
      <c r="P664" s="10" t="s">
        <v>1846</v>
      </c>
      <c r="Q664" s="17" t="s">
        <v>1847</v>
      </c>
      <c r="R664" s="14" t="s">
        <v>1338</v>
      </c>
      <c r="S664" s="17" t="s">
        <v>477</v>
      </c>
      <c r="T664" s="14" t="s">
        <v>1338</v>
      </c>
      <c r="U664" s="14" t="s">
        <v>73</v>
      </c>
      <c r="V664" s="14"/>
      <c r="W664" s="17"/>
      <c r="X664" s="14"/>
    </row>
    <row r="665" ht="14.25" customHeight="1">
      <c r="A665" s="10" t="s">
        <v>1364</v>
      </c>
      <c r="B665" s="10" t="s">
        <v>31</v>
      </c>
      <c r="C665" s="10">
        <v>667.0</v>
      </c>
      <c r="D665" s="11" t="s">
        <v>1848</v>
      </c>
      <c r="E665" s="11" t="s">
        <v>1849</v>
      </c>
      <c r="F665" s="11" t="s">
        <v>914</v>
      </c>
      <c r="G665" s="10">
        <v>667.0</v>
      </c>
      <c r="H665" s="10">
        <f>VLOOKUP(F665,'Generos y Familia'!$A$1:$C$623,2,FALSE)</f>
        <v>35</v>
      </c>
      <c r="I665" s="12" t="str">
        <f t="shared" si="1"/>
        <v>Licania tomentosa</v>
      </c>
      <c r="J665" s="10" t="str">
        <f t="shared" si="2"/>
        <v>667 Licania tomentosa</v>
      </c>
      <c r="K665" s="10" t="str">
        <f t="shared" si="3"/>
        <v>Oití; Árbol de Cúcuta; Aití</v>
      </c>
      <c r="L665" s="10" t="str">
        <f t="shared" si="4"/>
        <v>667 Oití; Árbol de Cúcuta; Aití</v>
      </c>
      <c r="M665" s="10" t="s">
        <v>46</v>
      </c>
      <c r="N665" s="10" t="s">
        <v>36</v>
      </c>
      <c r="O665" s="10" t="s">
        <v>37</v>
      </c>
      <c r="P665" s="10" t="s">
        <v>1846</v>
      </c>
      <c r="Q665" s="13">
        <v>15.0</v>
      </c>
      <c r="R665" s="13" t="s">
        <v>39</v>
      </c>
      <c r="S665" s="13">
        <v>50.0</v>
      </c>
      <c r="T665" s="13" t="s">
        <v>39</v>
      </c>
      <c r="U665" s="13" t="s">
        <v>40</v>
      </c>
      <c r="V665" s="13">
        <v>0.98</v>
      </c>
      <c r="W665" s="13"/>
      <c r="X665" s="13"/>
    </row>
    <row r="666" ht="14.25" customHeight="1">
      <c r="A666" s="10" t="s">
        <v>1364</v>
      </c>
      <c r="B666" s="10" t="s">
        <v>31</v>
      </c>
      <c r="C666" s="10">
        <v>668.0</v>
      </c>
      <c r="D666" s="11" t="s">
        <v>1850</v>
      </c>
      <c r="E666" s="11" t="s">
        <v>1851</v>
      </c>
      <c r="F666" s="11" t="s">
        <v>158</v>
      </c>
      <c r="G666" s="10">
        <v>668.0</v>
      </c>
      <c r="H666" s="10">
        <f>VLOOKUP(F666,'Generos y Familia'!$A$1:$C$623,2,FALSE)</f>
        <v>35</v>
      </c>
      <c r="I666" s="12" t="str">
        <f t="shared" si="1"/>
        <v>Licaria triandra</v>
      </c>
      <c r="J666" s="10" t="str">
        <f t="shared" si="2"/>
        <v>668 Licaria triandra</v>
      </c>
      <c r="K666" s="10" t="str">
        <f t="shared" si="3"/>
        <v>Laurel; Canelo; Tuabe Canelo; Jigua Canelo; Laurel; Laurel de Bola</v>
      </c>
      <c r="L666" s="10" t="str">
        <f t="shared" si="4"/>
        <v>668 Laurel; Canelo; Tuabe Canelo; Jigua Canelo; Laurel; Laurel de Bola</v>
      </c>
      <c r="M666" s="10" t="s">
        <v>46</v>
      </c>
      <c r="N666" s="10" t="s">
        <v>36</v>
      </c>
      <c r="O666" s="10" t="s">
        <v>37</v>
      </c>
      <c r="P666" s="10" t="s">
        <v>1852</v>
      </c>
      <c r="Q666" s="13">
        <v>20.0</v>
      </c>
      <c r="R666" s="13" t="s">
        <v>39</v>
      </c>
      <c r="S666" s="13">
        <v>40.0</v>
      </c>
      <c r="T666" s="13" t="s">
        <v>39</v>
      </c>
      <c r="U666" s="13" t="s">
        <v>40</v>
      </c>
      <c r="V666" s="13"/>
      <c r="W666" s="16"/>
      <c r="X666" s="13"/>
    </row>
    <row r="667" ht="14.25" customHeight="1">
      <c r="A667" s="10" t="s">
        <v>1364</v>
      </c>
      <c r="B667" s="10" t="s">
        <v>31</v>
      </c>
      <c r="C667" s="10">
        <v>669.0</v>
      </c>
      <c r="D667" s="11" t="s">
        <v>1853</v>
      </c>
      <c r="E667" s="11" t="s">
        <v>1854</v>
      </c>
      <c r="F667" s="11" t="s">
        <v>116</v>
      </c>
      <c r="G667" s="10">
        <v>669.0</v>
      </c>
      <c r="H667" s="10">
        <f>VLOOKUP(F667,'Generos y Familia'!$A$1:$C$623,2,FALSE)</f>
        <v>14</v>
      </c>
      <c r="I667" s="12" t="str">
        <f t="shared" si="1"/>
        <v>Licuala grandis</v>
      </c>
      <c r="J667" s="10" t="str">
        <f t="shared" si="2"/>
        <v>669 Licuala grandis</v>
      </c>
      <c r="K667" s="10" t="str">
        <f t="shared" si="3"/>
        <v>Palma Totuma; Licuala; Palma Licuala</v>
      </c>
      <c r="L667" s="10" t="str">
        <f t="shared" si="4"/>
        <v>669 Palma Totuma; Licuala; Palma Licuala</v>
      </c>
      <c r="M667" s="10" t="s">
        <v>46</v>
      </c>
      <c r="N667" s="10" t="s">
        <v>36</v>
      </c>
      <c r="O667" s="10" t="s">
        <v>117</v>
      </c>
      <c r="P667" s="10" t="s">
        <v>1855</v>
      </c>
      <c r="Q667" s="13"/>
      <c r="R667" s="13"/>
      <c r="S667" s="13"/>
      <c r="T667" s="13"/>
      <c r="U667" s="13"/>
      <c r="V667" s="13"/>
      <c r="W667" s="13"/>
      <c r="X667" s="13"/>
    </row>
    <row r="668" ht="14.25" customHeight="1">
      <c r="A668" s="10" t="s">
        <v>1364</v>
      </c>
      <c r="B668" s="10" t="s">
        <v>31</v>
      </c>
      <c r="C668" s="10">
        <v>670.0</v>
      </c>
      <c r="D668" s="11" t="s">
        <v>1856</v>
      </c>
      <c r="E668" s="11" t="s">
        <v>1857</v>
      </c>
      <c r="F668" s="11" t="s">
        <v>116</v>
      </c>
      <c r="G668" s="10">
        <v>670.0</v>
      </c>
      <c r="H668" s="10">
        <f>VLOOKUP(F668,'Generos y Familia'!$A$1:$C$623,2,FALSE)</f>
        <v>14</v>
      </c>
      <c r="I668" s="12" t="str">
        <f t="shared" si="1"/>
        <v>Licuala spinosa</v>
      </c>
      <c r="J668" s="10" t="str">
        <f t="shared" si="2"/>
        <v>670 Licuala spinosa</v>
      </c>
      <c r="K668" s="10" t="str">
        <f t="shared" si="3"/>
        <v>Licuala de Manglar</v>
      </c>
      <c r="L668" s="10" t="str">
        <f t="shared" si="4"/>
        <v>670 Licuala de Manglar</v>
      </c>
      <c r="M668" s="10" t="s">
        <v>46</v>
      </c>
      <c r="N668" s="10" t="s">
        <v>36</v>
      </c>
      <c r="O668" s="10" t="s">
        <v>117</v>
      </c>
      <c r="P668" s="10" t="s">
        <v>1855</v>
      </c>
      <c r="Q668" s="13"/>
      <c r="R668" s="13"/>
      <c r="S668" s="13"/>
      <c r="T668" s="13"/>
      <c r="U668" s="13"/>
      <c r="V668" s="13"/>
      <c r="W668" s="13"/>
      <c r="X668" s="13"/>
    </row>
    <row r="669" ht="14.25" customHeight="1">
      <c r="A669" s="10" t="s">
        <v>1364</v>
      </c>
      <c r="B669" s="10" t="s">
        <v>31</v>
      </c>
      <c r="C669" s="10">
        <v>671.0</v>
      </c>
      <c r="D669" s="11" t="s">
        <v>1858</v>
      </c>
      <c r="E669" s="11" t="s">
        <v>1859</v>
      </c>
      <c r="F669" s="11" t="s">
        <v>1496</v>
      </c>
      <c r="G669" s="10">
        <v>671.0</v>
      </c>
      <c r="H669" s="10">
        <f>VLOOKUP(F669,'Generos y Familia'!$A$1:$C$623,2,FALSE)</f>
        <v>53</v>
      </c>
      <c r="I669" s="12" t="str">
        <f t="shared" si="1"/>
        <v>Ligustrum japonicum</v>
      </c>
      <c r="J669" s="10" t="str">
        <f t="shared" si="2"/>
        <v>671 Ligustrum japonicum</v>
      </c>
      <c r="K669" s="10" t="str">
        <f t="shared" si="3"/>
        <v>Aligustre; Alheña; Ligustro Común; Ligustro Europeo</v>
      </c>
      <c r="L669" s="10" t="str">
        <f t="shared" si="4"/>
        <v>671 Aligustre; Alheña; Ligustro Común; Ligustro Europeo</v>
      </c>
      <c r="M669" s="10" t="s">
        <v>46</v>
      </c>
      <c r="N669" s="10" t="s">
        <v>36</v>
      </c>
      <c r="O669" s="10" t="s">
        <v>47</v>
      </c>
      <c r="P669" s="10" t="s">
        <v>1860</v>
      </c>
      <c r="Q669" s="13"/>
      <c r="R669" s="13"/>
      <c r="S669" s="13"/>
      <c r="T669" s="13"/>
      <c r="U669" s="13"/>
      <c r="V669" s="13"/>
      <c r="W669" s="13"/>
      <c r="X669" s="13"/>
    </row>
    <row r="670" ht="14.25" customHeight="1">
      <c r="A670" s="10" t="s">
        <v>1364</v>
      </c>
      <c r="B670" s="10" t="s">
        <v>31</v>
      </c>
      <c r="C670" s="10">
        <v>672.0</v>
      </c>
      <c r="D670" s="11" t="s">
        <v>1861</v>
      </c>
      <c r="E670" s="11" t="s">
        <v>1862</v>
      </c>
      <c r="F670" s="11" t="s">
        <v>1496</v>
      </c>
      <c r="G670" s="10">
        <v>672.0</v>
      </c>
      <c r="H670" s="10">
        <f>VLOOKUP(F670,'Generos y Familia'!$A$1:$C$623,2,FALSE)</f>
        <v>53</v>
      </c>
      <c r="I670" s="12" t="str">
        <f t="shared" si="1"/>
        <v>Ligustrum lucidum</v>
      </c>
      <c r="J670" s="10" t="str">
        <f t="shared" si="2"/>
        <v>672 Ligustrum lucidum</v>
      </c>
      <c r="K670" s="10" t="str">
        <f t="shared" si="3"/>
        <v>Jazmín de la China; Paraseto</v>
      </c>
      <c r="L670" s="10" t="str">
        <f t="shared" si="4"/>
        <v>672 Jazmín de la China; Paraseto</v>
      </c>
      <c r="M670" s="10" t="s">
        <v>46</v>
      </c>
      <c r="N670" s="10" t="s">
        <v>36</v>
      </c>
      <c r="O670" s="10" t="s">
        <v>37</v>
      </c>
      <c r="P670" s="10" t="s">
        <v>1860</v>
      </c>
      <c r="Q670" s="13">
        <v>10.0</v>
      </c>
      <c r="R670" s="13" t="s">
        <v>39</v>
      </c>
      <c r="S670" s="13">
        <v>30.0</v>
      </c>
      <c r="T670" s="13" t="s">
        <v>39</v>
      </c>
      <c r="U670" s="13" t="s">
        <v>40</v>
      </c>
      <c r="V670" s="13">
        <v>0.58</v>
      </c>
      <c r="W670" s="13"/>
      <c r="X670" s="13"/>
    </row>
    <row r="671" ht="14.25" customHeight="1">
      <c r="A671" s="10" t="s">
        <v>1364</v>
      </c>
      <c r="B671" s="10" t="s">
        <v>31</v>
      </c>
      <c r="C671" s="10">
        <v>673.0</v>
      </c>
      <c r="D671" s="11" t="s">
        <v>1863</v>
      </c>
      <c r="E671" s="11" t="s">
        <v>1864</v>
      </c>
      <c r="F671" s="11" t="s">
        <v>1496</v>
      </c>
      <c r="G671" s="10">
        <v>673.0</v>
      </c>
      <c r="H671" s="10">
        <f>VLOOKUP(F671,'Generos y Familia'!$A$1:$C$623,2,FALSE)</f>
        <v>53</v>
      </c>
      <c r="I671" s="12" t="str">
        <f t="shared" si="1"/>
        <v>Ligustrum ovalifolium</v>
      </c>
      <c r="J671" s="10" t="str">
        <f t="shared" si="2"/>
        <v>673 Ligustrum ovalifolium</v>
      </c>
      <c r="K671" s="10" t="str">
        <f t="shared" si="3"/>
        <v>Ligustro</v>
      </c>
      <c r="L671" s="10" t="str">
        <f t="shared" si="4"/>
        <v>673 Ligustro</v>
      </c>
      <c r="M671" s="10" t="s">
        <v>46</v>
      </c>
      <c r="N671" s="10" t="s">
        <v>36</v>
      </c>
      <c r="O671" s="10" t="s">
        <v>47</v>
      </c>
      <c r="P671" s="10" t="s">
        <v>1860</v>
      </c>
      <c r="Q671" s="13"/>
      <c r="R671" s="13"/>
      <c r="S671" s="13"/>
      <c r="T671" s="13"/>
      <c r="U671" s="13"/>
      <c r="V671" s="13"/>
      <c r="W671" s="13"/>
      <c r="X671" s="13"/>
    </row>
    <row r="672" ht="14.25" customHeight="1">
      <c r="A672" s="10" t="s">
        <v>1364</v>
      </c>
      <c r="B672" s="10" t="s">
        <v>31</v>
      </c>
      <c r="C672" s="10">
        <v>674.0</v>
      </c>
      <c r="D672" s="11" t="s">
        <v>1865</v>
      </c>
      <c r="E672" s="11" t="s">
        <v>1866</v>
      </c>
      <c r="F672" s="11" t="s">
        <v>1496</v>
      </c>
      <c r="G672" s="10">
        <v>674.0</v>
      </c>
      <c r="H672" s="10">
        <f>VLOOKUP(F672,'Generos y Familia'!$A$1:$C$623,2,FALSE)</f>
        <v>53</v>
      </c>
      <c r="I672" s="12" t="str">
        <f t="shared" si="1"/>
        <v>Ligustrum sinense</v>
      </c>
      <c r="J672" s="10" t="str">
        <f t="shared" si="2"/>
        <v>674 Ligustrum sinense</v>
      </c>
      <c r="K672" s="10" t="str">
        <f t="shared" si="3"/>
        <v>Paraseto; Aligustrina; Ligustrina; Ligustrín; Aligustre</v>
      </c>
      <c r="L672" s="10" t="str">
        <f t="shared" si="4"/>
        <v>674 Paraseto; Aligustrina; Ligustrina; Ligustrín; Aligustre</v>
      </c>
      <c r="M672" s="10" t="s">
        <v>46</v>
      </c>
      <c r="N672" s="10" t="s">
        <v>36</v>
      </c>
      <c r="O672" s="10" t="s">
        <v>47</v>
      </c>
      <c r="P672" s="10" t="s">
        <v>1860</v>
      </c>
      <c r="Q672" s="13"/>
      <c r="R672" s="13"/>
      <c r="S672" s="13"/>
      <c r="T672" s="13"/>
      <c r="U672" s="13"/>
      <c r="V672" s="13"/>
      <c r="W672" s="13"/>
      <c r="X672" s="13"/>
    </row>
    <row r="673" ht="14.25" customHeight="1">
      <c r="A673" s="10" t="s">
        <v>1364</v>
      </c>
      <c r="B673" s="10" t="s">
        <v>31</v>
      </c>
      <c r="C673" s="10">
        <v>675.0</v>
      </c>
      <c r="D673" s="11" t="s">
        <v>1867</v>
      </c>
      <c r="E673" s="11" t="s">
        <v>1868</v>
      </c>
      <c r="F673" s="11" t="s">
        <v>1496</v>
      </c>
      <c r="G673" s="10">
        <v>675.0</v>
      </c>
      <c r="H673" s="10">
        <f>VLOOKUP(F673,'Generos y Familia'!$A$1:$C$623,2,FALSE)</f>
        <v>53</v>
      </c>
      <c r="I673" s="12" t="str">
        <f t="shared" si="1"/>
        <v>Ligustrum sp</v>
      </c>
      <c r="J673" s="10" t="str">
        <f t="shared" si="2"/>
        <v>675 Ligustrum sp</v>
      </c>
      <c r="K673" s="10" t="str">
        <f t="shared" si="3"/>
        <v>Paraseto</v>
      </c>
      <c r="L673" s="10" t="str">
        <f t="shared" si="4"/>
        <v>675 Paraseto</v>
      </c>
      <c r="M673" s="10" t="s">
        <v>46</v>
      </c>
      <c r="N673" s="10" t="s">
        <v>36</v>
      </c>
      <c r="O673" s="10" t="s">
        <v>47</v>
      </c>
      <c r="P673" s="10" t="s">
        <v>1860</v>
      </c>
      <c r="Q673" s="17" t="s">
        <v>379</v>
      </c>
      <c r="R673" s="14" t="s">
        <v>39</v>
      </c>
      <c r="S673" s="17" t="s">
        <v>54</v>
      </c>
      <c r="T673" s="14" t="s">
        <v>39</v>
      </c>
      <c r="U673" s="14" t="s">
        <v>40</v>
      </c>
      <c r="V673" s="14">
        <v>0.58</v>
      </c>
      <c r="W673" s="18"/>
      <c r="X673" s="14"/>
    </row>
    <row r="674" ht="14.25" customHeight="1">
      <c r="A674" s="10" t="s">
        <v>1364</v>
      </c>
      <c r="B674" s="10" t="s">
        <v>31</v>
      </c>
      <c r="C674" s="10">
        <v>676.0</v>
      </c>
      <c r="D674" s="11" t="s">
        <v>1869</v>
      </c>
      <c r="E674" s="11" t="s">
        <v>1860</v>
      </c>
      <c r="F674" s="11" t="s">
        <v>1496</v>
      </c>
      <c r="G674" s="10">
        <v>676.0</v>
      </c>
      <c r="H674" s="10">
        <f>VLOOKUP(F674,'Generos y Familia'!$A$1:$C$623,2,FALSE)</f>
        <v>53</v>
      </c>
      <c r="I674" s="12" t="str">
        <f t="shared" si="1"/>
        <v>Ligustrum vulgare</v>
      </c>
      <c r="J674" s="10" t="str">
        <f t="shared" si="2"/>
        <v>676 Ligustrum vulgare</v>
      </c>
      <c r="K674" s="10" t="str">
        <f t="shared" si="3"/>
        <v>Ligustrum</v>
      </c>
      <c r="L674" s="10" t="str">
        <f t="shared" si="4"/>
        <v>676 Ligustrum</v>
      </c>
      <c r="M674" s="10" t="s">
        <v>46</v>
      </c>
      <c r="N674" s="10" t="s">
        <v>36</v>
      </c>
      <c r="O674" s="10" t="s">
        <v>47</v>
      </c>
      <c r="P674" s="10" t="s">
        <v>1860</v>
      </c>
      <c r="Q674" s="13"/>
      <c r="R674" s="13"/>
      <c r="S674" s="13"/>
      <c r="T674" s="13"/>
      <c r="U674" s="13"/>
      <c r="V674" s="13"/>
      <c r="W674" s="13"/>
      <c r="X674" s="13"/>
    </row>
    <row r="675" ht="14.25" customHeight="1">
      <c r="A675" s="10" t="s">
        <v>1364</v>
      </c>
      <c r="B675" s="10" t="s">
        <v>31</v>
      </c>
      <c r="C675" s="10">
        <v>677.0</v>
      </c>
      <c r="D675" s="11" t="s">
        <v>1870</v>
      </c>
      <c r="E675" s="11" t="s">
        <v>1871</v>
      </c>
      <c r="F675" s="11" t="s">
        <v>1872</v>
      </c>
      <c r="G675" s="10">
        <v>677.0</v>
      </c>
      <c r="H675" s="10">
        <f>VLOOKUP(F675,'Generos y Familia'!$A$1:$C$623,2,FALSE)</f>
        <v>5</v>
      </c>
      <c r="I675" s="12" t="str">
        <f t="shared" si="1"/>
        <v>Liquidambar styraciflua</v>
      </c>
      <c r="J675" s="10" t="str">
        <f t="shared" si="2"/>
        <v>677 Liquidambar styraciflua</v>
      </c>
      <c r="K675" s="10" t="str">
        <f t="shared" si="3"/>
        <v>Alcornoque; Liquidambar; Estoraque</v>
      </c>
      <c r="L675" s="10" t="str">
        <f t="shared" si="4"/>
        <v>677 Alcornoque; Liquidambar; Estoraque</v>
      </c>
      <c r="M675" s="10" t="s">
        <v>46</v>
      </c>
      <c r="N675" s="10" t="s">
        <v>36</v>
      </c>
      <c r="O675" s="10" t="s">
        <v>37</v>
      </c>
      <c r="P675" s="10" t="s">
        <v>1873</v>
      </c>
      <c r="Q675" s="17" t="s">
        <v>442</v>
      </c>
      <c r="R675" s="14" t="s">
        <v>1338</v>
      </c>
      <c r="S675" s="17" t="s">
        <v>1331</v>
      </c>
      <c r="T675" s="14" t="s">
        <v>1338</v>
      </c>
      <c r="U675" s="14" t="s">
        <v>73</v>
      </c>
      <c r="V675" s="14"/>
      <c r="W675" s="18" t="s">
        <v>54</v>
      </c>
      <c r="X675" s="14"/>
    </row>
    <row r="676" ht="14.25" customHeight="1">
      <c r="A676" s="10" t="s">
        <v>1364</v>
      </c>
      <c r="B676" s="10" t="s">
        <v>31</v>
      </c>
      <c r="C676" s="10">
        <v>678.0</v>
      </c>
      <c r="D676" s="11" t="s">
        <v>1874</v>
      </c>
      <c r="E676" s="11" t="s">
        <v>1875</v>
      </c>
      <c r="F676" s="11" t="s">
        <v>214</v>
      </c>
      <c r="G676" s="10">
        <v>678.0</v>
      </c>
      <c r="H676" s="10">
        <f>VLOOKUP(F676,'Generos y Familia'!$A$1:$C$623,2,FALSE)</f>
        <v>84</v>
      </c>
      <c r="I676" s="12" t="str">
        <f t="shared" si="1"/>
        <v>Litchi chinensis</v>
      </c>
      <c r="J676" s="10" t="str">
        <f t="shared" si="2"/>
        <v>678 Litchi chinensis</v>
      </c>
      <c r="K676" s="10" t="str">
        <f t="shared" si="3"/>
        <v>Mamoncillo Chino; Lychee; Lich</v>
      </c>
      <c r="L676" s="10" t="str">
        <f t="shared" si="4"/>
        <v>678 Mamoncillo Chino; Lychee; Lich</v>
      </c>
      <c r="M676" s="10" t="s">
        <v>46</v>
      </c>
      <c r="N676" s="10" t="s">
        <v>36</v>
      </c>
      <c r="O676" s="10" t="s">
        <v>37</v>
      </c>
      <c r="P676" s="10" t="s">
        <v>1876</v>
      </c>
      <c r="Q676" s="13"/>
      <c r="R676" s="13"/>
      <c r="S676" s="13"/>
      <c r="T676" s="13"/>
      <c r="U676" s="13"/>
      <c r="V676" s="13"/>
      <c r="W676" s="16"/>
      <c r="X676" s="13"/>
    </row>
    <row r="677" ht="14.25" customHeight="1">
      <c r="A677" s="10" t="s">
        <v>1364</v>
      </c>
      <c r="B677" s="10" t="s">
        <v>31</v>
      </c>
      <c r="C677" s="10">
        <v>679.0</v>
      </c>
      <c r="D677" s="11" t="s">
        <v>1877</v>
      </c>
      <c r="E677" s="11" t="s">
        <v>1878</v>
      </c>
      <c r="F677" s="11" t="s">
        <v>158</v>
      </c>
      <c r="G677" s="10">
        <v>679.0</v>
      </c>
      <c r="H677" s="10">
        <f>VLOOKUP(F677,'Generos y Familia'!$A$1:$C$623,2,FALSE)</f>
        <v>35</v>
      </c>
      <c r="I677" s="12" t="str">
        <f t="shared" si="1"/>
        <v>Litsea monopetala</v>
      </c>
      <c r="J677" s="10" t="str">
        <f t="shared" si="2"/>
        <v>679 Litsea monopetala</v>
      </c>
      <c r="K677" s="10" t="str">
        <f t="shared" si="3"/>
        <v>Litsea Monopetala</v>
      </c>
      <c r="L677" s="10" t="str">
        <f t="shared" si="4"/>
        <v>679 Litsea Monopetala</v>
      </c>
      <c r="M677" s="10" t="s">
        <v>46</v>
      </c>
      <c r="N677" s="10" t="s">
        <v>28</v>
      </c>
      <c r="O677" s="10" t="s">
        <v>37</v>
      </c>
      <c r="P677" s="10" t="s">
        <v>1879</v>
      </c>
      <c r="Q677" s="13"/>
      <c r="R677" s="13"/>
      <c r="S677" s="13"/>
      <c r="T677" s="13"/>
      <c r="U677" s="13"/>
      <c r="V677" s="13"/>
      <c r="W677" s="13"/>
      <c r="X677" s="13"/>
    </row>
    <row r="678" ht="14.25" customHeight="1">
      <c r="A678" s="10" t="s">
        <v>1364</v>
      </c>
      <c r="B678" s="10" t="s">
        <v>31</v>
      </c>
      <c r="C678" s="10">
        <v>680.0</v>
      </c>
      <c r="D678" s="11" t="s">
        <v>1880</v>
      </c>
      <c r="E678" s="11" t="s">
        <v>1881</v>
      </c>
      <c r="F678" s="11" t="s">
        <v>116</v>
      </c>
      <c r="G678" s="10">
        <v>680.0</v>
      </c>
      <c r="H678" s="10">
        <f>VLOOKUP(F678,'Generos y Familia'!$A$1:$C$623,2,FALSE)</f>
        <v>14</v>
      </c>
      <c r="I678" s="12" t="str">
        <f t="shared" si="1"/>
        <v>Livistona chinensis</v>
      </c>
      <c r="J678" s="10" t="str">
        <f t="shared" si="2"/>
        <v>680 Livistona chinensis</v>
      </c>
      <c r="K678" s="10" t="str">
        <f t="shared" si="3"/>
        <v>Palma Abanico de la China</v>
      </c>
      <c r="L678" s="10" t="str">
        <f t="shared" si="4"/>
        <v>680 Palma Abanico de la China</v>
      </c>
      <c r="M678" s="10" t="s">
        <v>46</v>
      </c>
      <c r="N678" s="10" t="s">
        <v>36</v>
      </c>
      <c r="O678" s="10" t="s">
        <v>117</v>
      </c>
      <c r="P678" s="10" t="s">
        <v>1882</v>
      </c>
      <c r="Q678" s="17" t="s">
        <v>379</v>
      </c>
      <c r="R678" s="14" t="s">
        <v>39</v>
      </c>
      <c r="S678" s="17" t="s">
        <v>290</v>
      </c>
      <c r="T678" s="14" t="s">
        <v>39</v>
      </c>
      <c r="U678" s="14" t="s">
        <v>73</v>
      </c>
      <c r="V678" s="14"/>
      <c r="W678" s="18"/>
      <c r="X678" s="14"/>
    </row>
    <row r="679" ht="14.25" customHeight="1">
      <c r="A679" s="10" t="s">
        <v>1364</v>
      </c>
      <c r="B679" s="10" t="s">
        <v>31</v>
      </c>
      <c r="C679" s="10">
        <v>681.0</v>
      </c>
      <c r="D679" s="11" t="s">
        <v>1883</v>
      </c>
      <c r="E679" s="11" t="s">
        <v>1884</v>
      </c>
      <c r="F679" s="11" t="s">
        <v>116</v>
      </c>
      <c r="G679" s="10">
        <v>681.0</v>
      </c>
      <c r="H679" s="10">
        <f>VLOOKUP(F679,'Generos y Familia'!$A$1:$C$623,2,FALSE)</f>
        <v>14</v>
      </c>
      <c r="I679" s="12" t="str">
        <f t="shared" si="1"/>
        <v>Livistona drudei</v>
      </c>
      <c r="J679" s="10" t="str">
        <f t="shared" si="2"/>
        <v>681 Livistona drudei</v>
      </c>
      <c r="K679" s="10" t="str">
        <f t="shared" si="3"/>
        <v>Palma Abanico (Drudei)</v>
      </c>
      <c r="L679" s="10" t="str">
        <f t="shared" si="4"/>
        <v>681 Palma Abanico (Drudei)</v>
      </c>
      <c r="M679" s="10" t="s">
        <v>46</v>
      </c>
      <c r="N679" s="10" t="s">
        <v>36</v>
      </c>
      <c r="O679" s="10" t="s">
        <v>117</v>
      </c>
      <c r="P679" s="10" t="s">
        <v>1882</v>
      </c>
      <c r="Q679" s="17" t="s">
        <v>54</v>
      </c>
      <c r="R679" s="14" t="s">
        <v>1338</v>
      </c>
      <c r="S679" s="17" t="s">
        <v>106</v>
      </c>
      <c r="T679" s="14" t="s">
        <v>1338</v>
      </c>
      <c r="U679" s="14" t="s">
        <v>40</v>
      </c>
      <c r="V679" s="14"/>
      <c r="W679" s="17" t="s">
        <v>379</v>
      </c>
      <c r="X679" s="14"/>
    </row>
    <row r="680" ht="14.25" customHeight="1">
      <c r="A680" s="10" t="s">
        <v>1364</v>
      </c>
      <c r="B680" s="10" t="s">
        <v>31</v>
      </c>
      <c r="C680" s="10">
        <v>682.0</v>
      </c>
      <c r="D680" s="11" t="s">
        <v>1885</v>
      </c>
      <c r="E680" s="11" t="s">
        <v>1886</v>
      </c>
      <c r="F680" s="11" t="s">
        <v>116</v>
      </c>
      <c r="G680" s="10">
        <v>682.0</v>
      </c>
      <c r="H680" s="10">
        <f>VLOOKUP(F680,'Generos y Familia'!$A$1:$C$623,2,FALSE)</f>
        <v>14</v>
      </c>
      <c r="I680" s="12" t="str">
        <f t="shared" si="1"/>
        <v>Livistona rotundifolia</v>
      </c>
      <c r="J680" s="10" t="str">
        <f t="shared" si="2"/>
        <v>682 Livistona rotundifolia</v>
      </c>
      <c r="K680" s="10" t="str">
        <f t="shared" si="3"/>
        <v>Palma Abanico (Rotundifolia)</v>
      </c>
      <c r="L680" s="10" t="str">
        <f t="shared" si="4"/>
        <v>682 Palma Abanico (Rotundifolia)</v>
      </c>
      <c r="M680" s="10" t="s">
        <v>46</v>
      </c>
      <c r="N680" s="10" t="s">
        <v>36</v>
      </c>
      <c r="O680" s="10" t="s">
        <v>117</v>
      </c>
      <c r="P680" s="10" t="s">
        <v>1882</v>
      </c>
      <c r="Q680" s="13"/>
      <c r="R680" s="13"/>
      <c r="S680" s="13"/>
      <c r="T680" s="13"/>
      <c r="U680" s="13"/>
      <c r="V680" s="13"/>
      <c r="W680" s="13"/>
      <c r="X680" s="13"/>
    </row>
    <row r="681" ht="14.25" customHeight="1">
      <c r="A681" s="10" t="s">
        <v>1364</v>
      </c>
      <c r="B681" s="10" t="s">
        <v>31</v>
      </c>
      <c r="C681" s="10">
        <v>683.0</v>
      </c>
      <c r="D681" s="11" t="s">
        <v>1887</v>
      </c>
      <c r="E681" s="11" t="s">
        <v>1888</v>
      </c>
      <c r="F681" s="11" t="s">
        <v>34</v>
      </c>
      <c r="G681" s="10">
        <v>683.0</v>
      </c>
      <c r="H681" s="10">
        <f>VLOOKUP(F681,'Generos y Familia'!$A$1:$C$623,2,FALSE)</f>
        <v>27</v>
      </c>
      <c r="I681" s="12" t="str">
        <f t="shared" si="1"/>
        <v>Lonchocarpus macrophyllus</v>
      </c>
      <c r="J681" s="10" t="str">
        <f t="shared" si="2"/>
        <v>683 Lonchocarpus macrophyllus</v>
      </c>
      <c r="K681" s="10" t="str">
        <f t="shared" si="3"/>
        <v>Barbasco; Matapez; Baurá; Palo de José</v>
      </c>
      <c r="L681" s="10" t="str">
        <f t="shared" si="4"/>
        <v>683 Barbasco; Matapez; Baurá; Palo de José</v>
      </c>
      <c r="M681" s="10" t="s">
        <v>35</v>
      </c>
      <c r="N681" s="10" t="s">
        <v>36</v>
      </c>
      <c r="O681" s="10" t="s">
        <v>37</v>
      </c>
      <c r="P681" s="10" t="s">
        <v>1889</v>
      </c>
      <c r="Q681" s="13"/>
      <c r="R681" s="13"/>
      <c r="S681" s="13"/>
      <c r="T681" s="13"/>
      <c r="U681" s="13"/>
      <c r="V681" s="13"/>
      <c r="W681" s="16"/>
      <c r="X681" s="13"/>
    </row>
    <row r="682" ht="14.25" customHeight="1">
      <c r="A682" s="10" t="s">
        <v>1364</v>
      </c>
      <c r="B682" s="10" t="s">
        <v>31</v>
      </c>
      <c r="C682" s="10">
        <v>684.0</v>
      </c>
      <c r="D682" s="11" t="s">
        <v>1890</v>
      </c>
      <c r="E682" s="11" t="s">
        <v>1891</v>
      </c>
      <c r="F682" s="11" t="s">
        <v>34</v>
      </c>
      <c r="G682" s="10">
        <v>684.0</v>
      </c>
      <c r="H682" s="10">
        <f>VLOOKUP(F682,'Generos y Familia'!$A$1:$C$623,2,FALSE)</f>
        <v>27</v>
      </c>
      <c r="I682" s="12" t="str">
        <f t="shared" si="1"/>
        <v>Lonchocarpus sp</v>
      </c>
      <c r="J682" s="10" t="str">
        <f t="shared" si="2"/>
        <v>684 Lonchocarpus sp</v>
      </c>
      <c r="K682" s="10" t="str">
        <f t="shared" si="3"/>
        <v>Fresno</v>
      </c>
      <c r="L682" s="10" t="str">
        <f t="shared" si="4"/>
        <v>684 Fresno</v>
      </c>
      <c r="M682" s="10" t="s">
        <v>46</v>
      </c>
      <c r="N682" s="10" t="s">
        <v>36</v>
      </c>
      <c r="O682" s="10" t="s">
        <v>37</v>
      </c>
      <c r="P682" s="10" t="s">
        <v>1889</v>
      </c>
      <c r="Q682" s="13"/>
      <c r="R682" s="13"/>
      <c r="S682" s="13"/>
      <c r="T682" s="13"/>
      <c r="U682" s="13"/>
      <c r="V682" s="13"/>
      <c r="W682" s="16"/>
      <c r="X682" s="13"/>
    </row>
    <row r="683" ht="14.25" customHeight="1">
      <c r="A683" s="10" t="s">
        <v>1364</v>
      </c>
      <c r="B683" s="10" t="s">
        <v>31</v>
      </c>
      <c r="C683" s="10">
        <v>685.0</v>
      </c>
      <c r="D683" s="11" t="s">
        <v>1892</v>
      </c>
      <c r="E683" s="11" t="s">
        <v>1893</v>
      </c>
      <c r="F683" s="11" t="s">
        <v>1503</v>
      </c>
      <c r="G683" s="10">
        <v>685.0</v>
      </c>
      <c r="H683" s="10">
        <f>VLOOKUP(F683,'Generos y Familia'!$A$1:$C$623,2,FALSE)</f>
        <v>54</v>
      </c>
      <c r="I683" s="12" t="str">
        <f t="shared" si="1"/>
        <v>Ludwigia peruviana</v>
      </c>
      <c r="J683" s="10" t="str">
        <f t="shared" si="2"/>
        <v>685 Ludwigia peruviana</v>
      </c>
      <c r="K683" s="10" t="str">
        <f t="shared" si="3"/>
        <v>Clavo de Laguna; Clavito; Clavo; Clavo Amarillo; Yerba de Rejo</v>
      </c>
      <c r="L683" s="10" t="str">
        <f t="shared" si="4"/>
        <v>685 Clavo de Laguna; Clavito; Clavo; Clavo Amarillo; Yerba de Rejo</v>
      </c>
      <c r="M683" s="10" t="s">
        <v>35</v>
      </c>
      <c r="N683" s="10" t="s">
        <v>36</v>
      </c>
      <c r="O683" s="10" t="s">
        <v>47</v>
      </c>
      <c r="P683" s="10" t="s">
        <v>1894</v>
      </c>
      <c r="Q683" s="13"/>
      <c r="R683" s="13"/>
      <c r="S683" s="13"/>
      <c r="T683" s="13"/>
      <c r="U683" s="13"/>
      <c r="V683" s="13"/>
      <c r="W683" s="16"/>
      <c r="X683" s="13"/>
    </row>
    <row r="684" ht="14.25" customHeight="1">
      <c r="A684" s="10" t="s">
        <v>1364</v>
      </c>
      <c r="B684" s="10" t="s">
        <v>31</v>
      </c>
      <c r="C684" s="10">
        <v>686.0</v>
      </c>
      <c r="D684" s="11" t="s">
        <v>1895</v>
      </c>
      <c r="E684" s="11" t="s">
        <v>1896</v>
      </c>
      <c r="F684" s="11" t="s">
        <v>45</v>
      </c>
      <c r="G684" s="10">
        <v>686.0</v>
      </c>
      <c r="H684" s="10">
        <f>VLOOKUP(F684,'Generos y Familia'!$A$1:$C$623,2,FALSE)</f>
        <v>40</v>
      </c>
      <c r="I684" s="12" t="str">
        <f t="shared" si="1"/>
        <v>Luehea seemannii</v>
      </c>
      <c r="J684" s="10" t="str">
        <f t="shared" si="2"/>
        <v>686 Luehea seemannii</v>
      </c>
      <c r="K684" s="10" t="str">
        <f t="shared" si="3"/>
        <v>Guácimo Colorado; Malagano</v>
      </c>
      <c r="L684" s="10" t="str">
        <f t="shared" si="4"/>
        <v>686 Guácimo Colorado; Malagano</v>
      </c>
      <c r="M684" s="10" t="s">
        <v>35</v>
      </c>
      <c r="N684" s="10" t="s">
        <v>36</v>
      </c>
      <c r="O684" s="10" t="s">
        <v>37</v>
      </c>
      <c r="P684" s="10" t="s">
        <v>1897</v>
      </c>
      <c r="Q684" s="13"/>
      <c r="R684" s="13"/>
      <c r="S684" s="13"/>
      <c r="T684" s="13"/>
      <c r="U684" s="13"/>
      <c r="V684" s="13"/>
      <c r="W684" s="16"/>
      <c r="X684" s="13"/>
    </row>
    <row r="685" ht="14.25" customHeight="1">
      <c r="A685" s="10" t="s">
        <v>1364</v>
      </c>
      <c r="B685" s="10" t="s">
        <v>31</v>
      </c>
      <c r="C685" s="10">
        <v>687.0</v>
      </c>
      <c r="D685" s="11" t="s">
        <v>1898</v>
      </c>
      <c r="E685" s="11" t="s">
        <v>1899</v>
      </c>
      <c r="F685" s="11" t="s">
        <v>116</v>
      </c>
      <c r="G685" s="10">
        <v>687.0</v>
      </c>
      <c r="H685" s="10">
        <f>VLOOKUP(F685,'Generos y Familia'!$A$1:$C$623,2,FALSE)</f>
        <v>14</v>
      </c>
      <c r="I685" s="12" t="str">
        <f t="shared" si="1"/>
        <v>Lytocaryum weddellianum</v>
      </c>
      <c r="J685" s="10" t="str">
        <f t="shared" si="2"/>
        <v>687 Lytocaryum weddellianum</v>
      </c>
      <c r="K685" s="10" t="str">
        <f t="shared" si="3"/>
        <v>Palma Coquito</v>
      </c>
      <c r="L685" s="10" t="str">
        <f t="shared" si="4"/>
        <v>687 Palma Coquito</v>
      </c>
      <c r="M685" s="10" t="s">
        <v>46</v>
      </c>
      <c r="N685" s="10" t="s">
        <v>36</v>
      </c>
      <c r="O685" s="10" t="s">
        <v>117</v>
      </c>
      <c r="P685" s="10" t="s">
        <v>1900</v>
      </c>
      <c r="Q685" s="13"/>
      <c r="R685" s="13"/>
      <c r="S685" s="13"/>
      <c r="T685" s="13"/>
      <c r="U685" s="13"/>
      <c r="V685" s="13"/>
      <c r="W685" s="13"/>
      <c r="X685" s="13"/>
    </row>
    <row r="686" ht="14.25" customHeight="1">
      <c r="A686" s="10" t="s">
        <v>1364</v>
      </c>
      <c r="B686" s="10" t="s">
        <v>31</v>
      </c>
      <c r="C686" s="10">
        <v>688.0</v>
      </c>
      <c r="D686" s="11" t="s">
        <v>1901</v>
      </c>
      <c r="E686" s="11" t="s">
        <v>1902</v>
      </c>
      <c r="F686" s="11" t="s">
        <v>1549</v>
      </c>
      <c r="G686" s="10">
        <v>688.0</v>
      </c>
      <c r="H686" s="10">
        <f>VLOOKUP(F686,'Generos y Familia'!$A$1:$C$623,2,FALSE)</f>
        <v>75</v>
      </c>
      <c r="I686" s="12" t="str">
        <f t="shared" si="1"/>
        <v>Macadamia integrifolia</v>
      </c>
      <c r="J686" s="10" t="str">
        <f t="shared" si="2"/>
        <v>688 Macadamia integrifolia</v>
      </c>
      <c r="K686" s="10" t="str">
        <f t="shared" si="3"/>
        <v>Macadamia</v>
      </c>
      <c r="L686" s="10" t="str">
        <f t="shared" si="4"/>
        <v>688 Macadamia</v>
      </c>
      <c r="M686" s="10" t="s">
        <v>46</v>
      </c>
      <c r="N686" s="10" t="s">
        <v>36</v>
      </c>
      <c r="O686" s="10" t="s">
        <v>37</v>
      </c>
      <c r="P686" s="10" t="s">
        <v>1902</v>
      </c>
      <c r="Q686" s="13"/>
      <c r="R686" s="13"/>
      <c r="S686" s="13"/>
      <c r="T686" s="13"/>
      <c r="U686" s="13"/>
      <c r="V686" s="13"/>
      <c r="W686" s="16"/>
      <c r="X686" s="13"/>
    </row>
    <row r="687" ht="14.25" customHeight="1">
      <c r="A687" s="10" t="s">
        <v>1364</v>
      </c>
      <c r="B687" s="10" t="s">
        <v>31</v>
      </c>
      <c r="C687" s="10">
        <v>689.0</v>
      </c>
      <c r="D687" s="11" t="s">
        <v>1903</v>
      </c>
      <c r="E687" s="11" t="s">
        <v>1904</v>
      </c>
      <c r="F687" s="11" t="s">
        <v>34</v>
      </c>
      <c r="G687" s="10">
        <v>689.0</v>
      </c>
      <c r="H687" s="10">
        <f>VLOOKUP(F687,'Generos y Familia'!$A$1:$C$623,2,FALSE)</f>
        <v>27</v>
      </c>
      <c r="I687" s="12" t="str">
        <f t="shared" si="1"/>
        <v>Machaerium capote</v>
      </c>
      <c r="J687" s="10" t="str">
        <f t="shared" si="2"/>
        <v>689 Machaerium capote</v>
      </c>
      <c r="K687" s="10" t="str">
        <f t="shared" si="3"/>
        <v>Pico de Loro; Capote; Sietecueros; Carbón; Chucunda</v>
      </c>
      <c r="L687" s="10" t="str">
        <f t="shared" si="4"/>
        <v>689 Pico de Loro; Capote; Sietecueros; Carbón; Chucunda</v>
      </c>
      <c r="M687" s="10" t="s">
        <v>35</v>
      </c>
      <c r="N687" s="10" t="s">
        <v>36</v>
      </c>
      <c r="O687" s="10" t="s">
        <v>37</v>
      </c>
      <c r="P687" s="10" t="s">
        <v>1905</v>
      </c>
      <c r="Q687" s="13"/>
      <c r="R687" s="13"/>
      <c r="S687" s="13"/>
      <c r="T687" s="13"/>
      <c r="U687" s="13"/>
      <c r="V687" s="13"/>
      <c r="W687" s="16"/>
      <c r="X687" s="13"/>
    </row>
    <row r="688" ht="14.25" customHeight="1">
      <c r="A688" s="10" t="s">
        <v>1364</v>
      </c>
      <c r="B688" s="10" t="s">
        <v>31</v>
      </c>
      <c r="C688" s="10">
        <v>690.0</v>
      </c>
      <c r="D688" s="11" t="s">
        <v>1906</v>
      </c>
      <c r="E688" s="11" t="s">
        <v>1907</v>
      </c>
      <c r="F688" s="11" t="s">
        <v>34</v>
      </c>
      <c r="G688" s="10">
        <v>690.0</v>
      </c>
      <c r="H688" s="10">
        <f>VLOOKUP(F688,'Generos y Familia'!$A$1:$C$623,2,FALSE)</f>
        <v>27</v>
      </c>
      <c r="I688" s="12" t="str">
        <f t="shared" si="1"/>
        <v>Machaerium sp</v>
      </c>
      <c r="J688" s="10" t="str">
        <f t="shared" si="2"/>
        <v>690 Machaerium sp</v>
      </c>
      <c r="K688" s="10" t="str">
        <f t="shared" si="3"/>
        <v>Machetico</v>
      </c>
      <c r="L688" s="10" t="str">
        <f t="shared" si="4"/>
        <v>690 Machetico</v>
      </c>
      <c r="M688" s="10" t="s">
        <v>35</v>
      </c>
      <c r="N688" s="10"/>
      <c r="O688" s="10"/>
      <c r="P688" s="10" t="s">
        <v>1905</v>
      </c>
      <c r="Q688" s="13"/>
      <c r="R688" s="13"/>
      <c r="S688" s="13"/>
      <c r="T688" s="13"/>
      <c r="U688" s="13"/>
      <c r="V688" s="13"/>
      <c r="W688" s="16"/>
      <c r="X688" s="13"/>
    </row>
    <row r="689" ht="14.25" customHeight="1">
      <c r="A689" s="10" t="s">
        <v>1364</v>
      </c>
      <c r="B689" s="10" t="s">
        <v>31</v>
      </c>
      <c r="C689" s="10">
        <v>691.0</v>
      </c>
      <c r="D689" s="11" t="s">
        <v>1908</v>
      </c>
      <c r="E689" s="11" t="s">
        <v>1909</v>
      </c>
      <c r="F689" s="11" t="s">
        <v>365</v>
      </c>
      <c r="G689" s="10">
        <v>691.0</v>
      </c>
      <c r="H689" s="10">
        <f>VLOOKUP(F689,'Generos y Familia'!$A$1:$C$623,2,FALSE)</f>
        <v>43</v>
      </c>
      <c r="I689" s="12" t="str">
        <f t="shared" si="1"/>
        <v>Maclura tinctoria</v>
      </c>
      <c r="J689" s="10" t="str">
        <f t="shared" si="2"/>
        <v>691 Maclura tinctoria</v>
      </c>
      <c r="K689" s="10" t="str">
        <f t="shared" si="3"/>
        <v>Ají Mora; Rabito de Mora; Dindé</v>
      </c>
      <c r="L689" s="10" t="str">
        <f t="shared" si="4"/>
        <v>691 Ají Mora; Rabito de Mora; Dindé</v>
      </c>
      <c r="M689" s="10" t="s">
        <v>35</v>
      </c>
      <c r="N689" s="10" t="s">
        <v>36</v>
      </c>
      <c r="O689" s="10" t="s">
        <v>47</v>
      </c>
      <c r="P689" s="10" t="s">
        <v>1910</v>
      </c>
      <c r="Q689" s="13"/>
      <c r="R689" s="13"/>
      <c r="S689" s="13"/>
      <c r="T689" s="13"/>
      <c r="U689" s="13"/>
      <c r="V689" s="13"/>
      <c r="W689" s="16"/>
      <c r="X689" s="13"/>
    </row>
    <row r="690" ht="14.25" customHeight="1">
      <c r="A690" s="10" t="s">
        <v>1364</v>
      </c>
      <c r="B690" s="10" t="s">
        <v>31</v>
      </c>
      <c r="C690" s="10">
        <v>692.0</v>
      </c>
      <c r="D690" s="11" t="s">
        <v>1911</v>
      </c>
      <c r="E690" s="11" t="s">
        <v>1912</v>
      </c>
      <c r="F690" s="11" t="s">
        <v>1913</v>
      </c>
      <c r="G690" s="10">
        <v>692.0</v>
      </c>
      <c r="H690" s="10">
        <f>VLOOKUP(F690,'Generos y Familia'!$A$1:$C$623,2,FALSE)</f>
        <v>30</v>
      </c>
      <c r="I690" s="12" t="str">
        <f t="shared" si="1"/>
        <v>Macrocarpaea Macrophylla</v>
      </c>
      <c r="J690" s="10" t="str">
        <f t="shared" si="2"/>
        <v>692 Macrocarpaea Macrophylla</v>
      </c>
      <c r="K690" s="10" t="str">
        <f t="shared" si="3"/>
        <v>Tabaquillo</v>
      </c>
      <c r="L690" s="10" t="str">
        <f t="shared" si="4"/>
        <v>692 Tabaquillo</v>
      </c>
      <c r="M690" s="10" t="s">
        <v>35</v>
      </c>
      <c r="N690" s="10" t="s">
        <v>36</v>
      </c>
      <c r="O690" s="10" t="s">
        <v>47</v>
      </c>
      <c r="P690" s="10" t="s">
        <v>1914</v>
      </c>
      <c r="Q690" s="13"/>
      <c r="R690" s="13"/>
      <c r="S690" s="13"/>
      <c r="T690" s="13"/>
      <c r="U690" s="13"/>
      <c r="V690" s="13"/>
      <c r="W690" s="16"/>
      <c r="X690" s="13"/>
    </row>
    <row r="691" ht="14.25" customHeight="1">
      <c r="A691" s="10" t="s">
        <v>1364</v>
      </c>
      <c r="B691" s="10" t="s">
        <v>31</v>
      </c>
      <c r="C691" s="10">
        <v>693.0</v>
      </c>
      <c r="D691" s="11" t="s">
        <v>1915</v>
      </c>
      <c r="E691" s="11" t="s">
        <v>1916</v>
      </c>
      <c r="F691" s="11" t="s">
        <v>34</v>
      </c>
      <c r="G691" s="10">
        <v>693.0</v>
      </c>
      <c r="H691" s="10">
        <f>VLOOKUP(F691,'Generos y Familia'!$A$1:$C$623,2,FALSE)</f>
        <v>27</v>
      </c>
      <c r="I691" s="12" t="str">
        <f t="shared" si="1"/>
        <v>Macrolobium colombianum</v>
      </c>
      <c r="J691" s="10" t="str">
        <f t="shared" si="2"/>
        <v>693 Macrolobium colombianum</v>
      </c>
      <c r="K691" s="10" t="str">
        <f t="shared" si="3"/>
        <v>Guamillo; Encenillo; Cuero de Marrano</v>
      </c>
      <c r="L691" s="10" t="str">
        <f t="shared" si="4"/>
        <v>693 Guamillo; Encenillo; Cuero de Marrano</v>
      </c>
      <c r="M691" s="10" t="s">
        <v>35</v>
      </c>
      <c r="N691" s="10" t="s">
        <v>36</v>
      </c>
      <c r="O691" s="10" t="s">
        <v>47</v>
      </c>
      <c r="P691" s="10" t="s">
        <v>1917</v>
      </c>
      <c r="Q691" s="13"/>
      <c r="R691" s="13"/>
      <c r="S691" s="13"/>
      <c r="T691" s="13"/>
      <c r="U691" s="13"/>
      <c r="V691" s="13"/>
      <c r="W691" s="16"/>
      <c r="X691" s="13"/>
    </row>
    <row r="692" ht="14.25" customHeight="1">
      <c r="A692" s="10" t="s">
        <v>1364</v>
      </c>
      <c r="B692" s="10" t="s">
        <v>31</v>
      </c>
      <c r="C692" s="10">
        <v>694.0</v>
      </c>
      <c r="D692" s="11" t="s">
        <v>1918</v>
      </c>
      <c r="E692" s="11" t="s">
        <v>1919</v>
      </c>
      <c r="F692" s="11" t="s">
        <v>1920</v>
      </c>
      <c r="G692" s="10">
        <v>694.0</v>
      </c>
      <c r="H692" s="10">
        <f>VLOOKUP(F692,'Generos y Familia'!$A$1:$C$623,2,FALSE)</f>
        <v>38</v>
      </c>
      <c r="I692" s="12" t="str">
        <f t="shared" si="1"/>
        <v>Magnolia grandiflora</v>
      </c>
      <c r="J692" s="10" t="str">
        <f t="shared" si="2"/>
        <v>694 Magnolia grandiflora</v>
      </c>
      <c r="K692" s="10" t="str">
        <f t="shared" si="3"/>
        <v>Magnolia; Magnolio; Magnolia Blanca</v>
      </c>
      <c r="L692" s="10" t="str">
        <f t="shared" si="4"/>
        <v>694 Magnolia; Magnolio; Magnolia Blanca</v>
      </c>
      <c r="M692" s="10" t="s">
        <v>46</v>
      </c>
      <c r="N692" s="10" t="s">
        <v>36</v>
      </c>
      <c r="O692" s="10" t="s">
        <v>37</v>
      </c>
      <c r="P692" s="10" t="s">
        <v>1921</v>
      </c>
      <c r="Q692" s="17" t="s">
        <v>106</v>
      </c>
      <c r="R692" s="14" t="s">
        <v>39</v>
      </c>
      <c r="S692" s="17" t="s">
        <v>62</v>
      </c>
      <c r="T692" s="14" t="s">
        <v>39</v>
      </c>
      <c r="U692" s="14" t="s">
        <v>73</v>
      </c>
      <c r="V692" s="14">
        <v>0.44</v>
      </c>
      <c r="W692" s="18"/>
      <c r="X692" s="14"/>
    </row>
    <row r="693" ht="14.25" customHeight="1">
      <c r="A693" s="10" t="s">
        <v>1364</v>
      </c>
      <c r="B693" s="10" t="s">
        <v>31</v>
      </c>
      <c r="C693" s="10">
        <v>695.0</v>
      </c>
      <c r="D693" s="11" t="s">
        <v>1922</v>
      </c>
      <c r="E693" s="11" t="s">
        <v>1923</v>
      </c>
      <c r="F693" s="11" t="s">
        <v>1920</v>
      </c>
      <c r="G693" s="10">
        <v>695.0</v>
      </c>
      <c r="H693" s="10">
        <f>VLOOKUP(F693,'Generos y Familia'!$A$1:$C$623,2,FALSE)</f>
        <v>38</v>
      </c>
      <c r="I693" s="12" t="str">
        <f t="shared" si="1"/>
        <v>Magnolia hernandezii</v>
      </c>
      <c r="J693" s="10" t="str">
        <f t="shared" si="2"/>
        <v>695 Magnolia hernandezii</v>
      </c>
      <c r="K693" s="10" t="str">
        <f t="shared" si="3"/>
        <v>Molinillo; Copachí; Guanábano de Monte</v>
      </c>
      <c r="L693" s="10" t="str">
        <f t="shared" si="4"/>
        <v>695 Molinillo; Copachí; Guanábano de Monte</v>
      </c>
      <c r="M693" s="10" t="s">
        <v>35</v>
      </c>
      <c r="N693" s="10" t="s">
        <v>36</v>
      </c>
      <c r="O693" s="10" t="s">
        <v>37</v>
      </c>
      <c r="P693" s="10" t="s">
        <v>1921</v>
      </c>
      <c r="Q693" s="17" t="s">
        <v>54</v>
      </c>
      <c r="R693" s="14" t="s">
        <v>39</v>
      </c>
      <c r="S693" s="17" t="s">
        <v>442</v>
      </c>
      <c r="T693" s="14"/>
      <c r="U693" s="14" t="s">
        <v>40</v>
      </c>
      <c r="V693" s="14"/>
      <c r="W693" s="17"/>
      <c r="X693" s="14" t="s">
        <v>41</v>
      </c>
    </row>
    <row r="694" ht="14.25" customHeight="1">
      <c r="A694" s="10" t="s">
        <v>1364</v>
      </c>
      <c r="B694" s="10" t="s">
        <v>31</v>
      </c>
      <c r="C694" s="10">
        <v>696.0</v>
      </c>
      <c r="D694" s="11" t="s">
        <v>1924</v>
      </c>
      <c r="E694" s="11" t="s">
        <v>1925</v>
      </c>
      <c r="F694" s="11" t="s">
        <v>1920</v>
      </c>
      <c r="G694" s="10">
        <v>696.0</v>
      </c>
      <c r="H694" s="10">
        <f>VLOOKUP(F694,'Generos y Familia'!$A$1:$C$623,2,FALSE)</f>
        <v>38</v>
      </c>
      <c r="I694" s="12" t="str">
        <f t="shared" si="1"/>
        <v>Magnolia silvioi</v>
      </c>
      <c r="J694" s="10" t="str">
        <f t="shared" si="2"/>
        <v>696 Magnolia silvioi</v>
      </c>
      <c r="K694" s="10" t="str">
        <f t="shared" si="3"/>
        <v>Magnolio (Silvioi)</v>
      </c>
      <c r="L694" s="10" t="str">
        <f t="shared" si="4"/>
        <v>696 Magnolio (Silvioi)</v>
      </c>
      <c r="M694" s="10" t="s">
        <v>35</v>
      </c>
      <c r="N694" s="10" t="s">
        <v>36</v>
      </c>
      <c r="O694" s="10" t="s">
        <v>37</v>
      </c>
      <c r="P694" s="10" t="s">
        <v>1921</v>
      </c>
      <c r="Q694" s="13"/>
      <c r="R694" s="13"/>
      <c r="S694" s="13"/>
      <c r="T694" s="13"/>
      <c r="U694" s="13"/>
      <c r="V694" s="13"/>
      <c r="W694" s="16"/>
      <c r="X694" s="13"/>
    </row>
    <row r="695" ht="14.25" customHeight="1">
      <c r="A695" s="10" t="s">
        <v>1364</v>
      </c>
      <c r="B695" s="10" t="s">
        <v>31</v>
      </c>
      <c r="C695" s="10">
        <v>697.0</v>
      </c>
      <c r="D695" s="11" t="s">
        <v>1926</v>
      </c>
      <c r="E695" s="11" t="s">
        <v>1927</v>
      </c>
      <c r="F695" s="11" t="s">
        <v>1920</v>
      </c>
      <c r="G695" s="10">
        <v>697.0</v>
      </c>
      <c r="H695" s="10">
        <f>VLOOKUP(F695,'Generos y Familia'!$A$1:$C$623,2,FALSE)</f>
        <v>38</v>
      </c>
      <c r="I695" s="12" t="str">
        <f t="shared" si="1"/>
        <v>Magnolia sp</v>
      </c>
      <c r="J695" s="10" t="str">
        <f t="shared" si="2"/>
        <v>697 Magnolia sp</v>
      </c>
      <c r="K695" s="10" t="str">
        <f t="shared" si="3"/>
        <v>Guanábano de Monte; Guanabanillo; Guanabanadillo; Fruta de Molinillo</v>
      </c>
      <c r="L695" s="10" t="str">
        <f t="shared" si="4"/>
        <v>697 Guanábano de Monte; Guanabanillo; Guanabanadillo; Fruta de Molinillo</v>
      </c>
      <c r="M695" s="10" t="s">
        <v>35</v>
      </c>
      <c r="N695" s="10" t="s">
        <v>36</v>
      </c>
      <c r="O695" s="10" t="s">
        <v>47</v>
      </c>
      <c r="P695" s="10" t="s">
        <v>1921</v>
      </c>
      <c r="Q695" s="17" t="s">
        <v>347</v>
      </c>
      <c r="R695" s="14"/>
      <c r="S695" s="17" t="s">
        <v>54</v>
      </c>
      <c r="T695" s="14"/>
      <c r="U695" s="14" t="s">
        <v>40</v>
      </c>
      <c r="V695" s="14"/>
      <c r="W695" s="18"/>
      <c r="X695" s="14" t="s">
        <v>41</v>
      </c>
    </row>
    <row r="696" ht="14.25" customHeight="1">
      <c r="A696" s="10" t="s">
        <v>1928</v>
      </c>
      <c r="B696" s="10" t="s">
        <v>31</v>
      </c>
      <c r="C696" s="10">
        <v>698.0</v>
      </c>
      <c r="D696" s="11" t="s">
        <v>1929</v>
      </c>
      <c r="E696" s="11" t="s">
        <v>1930</v>
      </c>
      <c r="F696" s="11" t="s">
        <v>596</v>
      </c>
      <c r="G696" s="10">
        <v>698.0</v>
      </c>
      <c r="H696" s="10">
        <f>VLOOKUP(F696,'Generos y Familia'!$A$1:$C$623,2,FALSE)</f>
        <v>39</v>
      </c>
      <c r="I696" s="12" t="str">
        <f t="shared" si="1"/>
        <v>Malpighia coccigera</v>
      </c>
      <c r="J696" s="10" t="str">
        <f t="shared" si="2"/>
        <v>698 Malpighia coccigera</v>
      </c>
      <c r="K696" s="10" t="str">
        <f t="shared" si="3"/>
        <v>Arbolito de Navidad; Holly Brillante; Joli</v>
      </c>
      <c r="L696" s="10" t="str">
        <f t="shared" si="4"/>
        <v>698 Arbolito de Navidad; Holly Brillante; Joli</v>
      </c>
      <c r="M696" s="10" t="s">
        <v>46</v>
      </c>
      <c r="N696" s="10" t="s">
        <v>36</v>
      </c>
      <c r="O696" s="10" t="s">
        <v>47</v>
      </c>
      <c r="P696" s="10" t="s">
        <v>1931</v>
      </c>
      <c r="Q696" s="13"/>
      <c r="R696" s="13"/>
      <c r="S696" s="13"/>
      <c r="T696" s="13"/>
      <c r="U696" s="13"/>
      <c r="V696" s="13"/>
      <c r="W696" s="16"/>
      <c r="X696" s="13"/>
    </row>
    <row r="697" ht="14.25" customHeight="1">
      <c r="A697" s="10" t="s">
        <v>1928</v>
      </c>
      <c r="B697" s="10" t="s">
        <v>31</v>
      </c>
      <c r="C697" s="10">
        <v>699.0</v>
      </c>
      <c r="D697" s="11" t="s">
        <v>1932</v>
      </c>
      <c r="E697" s="11" t="s">
        <v>1933</v>
      </c>
      <c r="F697" s="11" t="s">
        <v>596</v>
      </c>
      <c r="G697" s="10">
        <v>699.0</v>
      </c>
      <c r="H697" s="10">
        <f>VLOOKUP(F697,'Generos y Familia'!$A$1:$C$623,2,FALSE)</f>
        <v>39</v>
      </c>
      <c r="I697" s="12" t="str">
        <f t="shared" si="1"/>
        <v>Malpighia glabra</v>
      </c>
      <c r="J697" s="10" t="str">
        <f t="shared" si="2"/>
        <v>699 Malpighia glabra</v>
      </c>
      <c r="K697" s="10" t="str">
        <f t="shared" si="3"/>
        <v>Huesito; Arrayan Cerezo; Cerezo de Monte; Acerola</v>
      </c>
      <c r="L697" s="10" t="str">
        <f t="shared" si="4"/>
        <v>699 Huesito; Arrayan Cerezo; Cerezo de Monte; Acerola</v>
      </c>
      <c r="M697" s="10" t="s">
        <v>35</v>
      </c>
      <c r="N697" s="10" t="s">
        <v>36</v>
      </c>
      <c r="O697" s="10" t="s">
        <v>47</v>
      </c>
      <c r="P697" s="10" t="s">
        <v>1931</v>
      </c>
      <c r="Q697" s="17" t="s">
        <v>153</v>
      </c>
      <c r="R697" s="14" t="s">
        <v>39</v>
      </c>
      <c r="S697" s="17" t="s">
        <v>54</v>
      </c>
      <c r="T697" s="14" t="s">
        <v>39</v>
      </c>
      <c r="U697" s="14" t="s">
        <v>73</v>
      </c>
      <c r="V697" s="14"/>
      <c r="W697" s="18"/>
      <c r="X697" s="14"/>
    </row>
    <row r="698" ht="14.25" customHeight="1">
      <c r="A698" s="10" t="s">
        <v>1928</v>
      </c>
      <c r="B698" s="10" t="s">
        <v>31</v>
      </c>
      <c r="C698" s="10">
        <v>700.0</v>
      </c>
      <c r="D698" s="11" t="s">
        <v>1934</v>
      </c>
      <c r="E698" s="11" t="s">
        <v>1935</v>
      </c>
      <c r="F698" s="11" t="s">
        <v>596</v>
      </c>
      <c r="G698" s="10">
        <v>700.0</v>
      </c>
      <c r="H698" s="10">
        <f>VLOOKUP(F698,'Generos y Familia'!$A$1:$C$623,2,FALSE)</f>
        <v>39</v>
      </c>
      <c r="I698" s="12" t="str">
        <f t="shared" si="1"/>
        <v>Malpighia punicifolia</v>
      </c>
      <c r="J698" s="10" t="str">
        <f t="shared" si="2"/>
        <v>700 Malpighia punicifolia</v>
      </c>
      <c r="K698" s="10" t="str">
        <f t="shared" si="3"/>
        <v>Ciruelo Rojo; Cereza de Barbados; Cerezo Montañero</v>
      </c>
      <c r="L698" s="10" t="str">
        <f t="shared" si="4"/>
        <v>700 Ciruelo Rojo; Cereza de Barbados; Cerezo Montañero</v>
      </c>
      <c r="M698" s="10" t="s">
        <v>35</v>
      </c>
      <c r="N698" s="10" t="s">
        <v>36</v>
      </c>
      <c r="O698" s="10" t="s">
        <v>47</v>
      </c>
      <c r="P698" s="10" t="s">
        <v>1931</v>
      </c>
      <c r="Q698" s="13"/>
      <c r="R698" s="13"/>
      <c r="S698" s="13" t="s">
        <v>1936</v>
      </c>
      <c r="T698" s="13"/>
      <c r="U698" s="13"/>
      <c r="V698" s="13"/>
      <c r="W698" s="16"/>
      <c r="X698" s="13"/>
    </row>
    <row r="699" ht="14.25" customHeight="1">
      <c r="A699" s="10" t="s">
        <v>1928</v>
      </c>
      <c r="B699" s="10" t="s">
        <v>31</v>
      </c>
      <c r="C699" s="10">
        <v>701.0</v>
      </c>
      <c r="D699" s="11" t="s">
        <v>1937</v>
      </c>
      <c r="E699" s="11" t="s">
        <v>1938</v>
      </c>
      <c r="F699" s="11" t="s">
        <v>1105</v>
      </c>
      <c r="G699" s="10">
        <v>701.0</v>
      </c>
      <c r="H699" s="10">
        <f>VLOOKUP(F699,'Generos y Familia'!$A$1:$C$623,2,FALSE)</f>
        <v>78</v>
      </c>
      <c r="I699" s="12" t="str">
        <f t="shared" si="1"/>
        <v>Malus domestica</v>
      </c>
      <c r="J699" s="10" t="str">
        <f t="shared" si="2"/>
        <v>701 Malus domestica</v>
      </c>
      <c r="K699" s="10" t="str">
        <f t="shared" si="3"/>
        <v>Manzana; Manzano</v>
      </c>
      <c r="L699" s="10" t="str">
        <f t="shared" si="4"/>
        <v>701 Manzana; Manzano</v>
      </c>
      <c r="M699" s="10" t="s">
        <v>46</v>
      </c>
      <c r="N699" s="10" t="s">
        <v>36</v>
      </c>
      <c r="O699" s="10" t="s">
        <v>37</v>
      </c>
      <c r="P699" s="10" t="s">
        <v>1939</v>
      </c>
      <c r="Q699" s="13"/>
      <c r="R699" s="13"/>
      <c r="S699" s="13"/>
      <c r="T699" s="13"/>
      <c r="U699" s="13"/>
      <c r="V699" s="13"/>
      <c r="W699" s="13"/>
      <c r="X699" s="13"/>
    </row>
    <row r="700" ht="14.25" customHeight="1">
      <c r="A700" s="10" t="s">
        <v>1928</v>
      </c>
      <c r="B700" s="10" t="s">
        <v>31</v>
      </c>
      <c r="C700" s="10">
        <v>702.0</v>
      </c>
      <c r="D700" s="11" t="s">
        <v>1940</v>
      </c>
      <c r="E700" s="11" t="s">
        <v>1941</v>
      </c>
      <c r="F700" s="11" t="s">
        <v>45</v>
      </c>
      <c r="G700" s="10">
        <v>702.0</v>
      </c>
      <c r="H700" s="10">
        <f>VLOOKUP(F700,'Generos y Familia'!$A$1:$C$623,2,FALSE)</f>
        <v>40</v>
      </c>
      <c r="I700" s="12" t="str">
        <f t="shared" si="1"/>
        <v>Malvaviscus arboreus</v>
      </c>
      <c r="J700" s="10" t="str">
        <f t="shared" si="2"/>
        <v>702 Malvaviscus arboreus</v>
      </c>
      <c r="K700" s="10" t="str">
        <f t="shared" si="3"/>
        <v>Falso Hibiscus; Altea</v>
      </c>
      <c r="L700" s="10" t="str">
        <f t="shared" si="4"/>
        <v>702 Falso Hibiscus; Altea</v>
      </c>
      <c r="M700" s="10" t="s">
        <v>46</v>
      </c>
      <c r="N700" s="10" t="s">
        <v>36</v>
      </c>
      <c r="O700" s="10" t="s">
        <v>47</v>
      </c>
      <c r="P700" s="10" t="s">
        <v>1942</v>
      </c>
      <c r="Q700" s="17" t="s">
        <v>632</v>
      </c>
      <c r="R700" s="14"/>
      <c r="S700" s="17" t="s">
        <v>421</v>
      </c>
      <c r="T700" s="14"/>
      <c r="U700" s="14" t="s">
        <v>55</v>
      </c>
      <c r="V700" s="14"/>
      <c r="W700" s="17"/>
      <c r="X700" s="14" t="s">
        <v>41</v>
      </c>
    </row>
    <row r="701" ht="14.25" customHeight="1">
      <c r="A701" s="10" t="s">
        <v>1928</v>
      </c>
      <c r="B701" s="10" t="s">
        <v>31</v>
      </c>
      <c r="C701" s="10">
        <v>703.0</v>
      </c>
      <c r="D701" s="11" t="s">
        <v>1943</v>
      </c>
      <c r="E701" s="11" t="s">
        <v>1944</v>
      </c>
      <c r="F701" s="11" t="s">
        <v>45</v>
      </c>
      <c r="G701" s="10">
        <v>703.0</v>
      </c>
      <c r="H701" s="10">
        <f>VLOOKUP(F701,'Generos y Familia'!$A$1:$C$623,2,FALSE)</f>
        <v>40</v>
      </c>
      <c r="I701" s="12" t="str">
        <f t="shared" si="1"/>
        <v>Malvaviscus penduliflorus</v>
      </c>
      <c r="J701" s="10" t="str">
        <f t="shared" si="2"/>
        <v>703 Malvaviscus penduliflorus</v>
      </c>
      <c r="K701" s="10" t="str">
        <f t="shared" si="3"/>
        <v>Campanita Roja; San Joaquín</v>
      </c>
      <c r="L701" s="10" t="str">
        <f t="shared" si="4"/>
        <v>703 Campanita Roja; San Joaquín</v>
      </c>
      <c r="M701" s="10" t="s">
        <v>46</v>
      </c>
      <c r="N701" s="10" t="s">
        <v>36</v>
      </c>
      <c r="O701" s="10" t="s">
        <v>47</v>
      </c>
      <c r="P701" s="10" t="s">
        <v>1942</v>
      </c>
      <c r="Q701" s="17" t="s">
        <v>347</v>
      </c>
      <c r="R701" s="14"/>
      <c r="S701" s="17" t="s">
        <v>106</v>
      </c>
      <c r="T701" s="14"/>
      <c r="U701" s="14" t="s">
        <v>40</v>
      </c>
      <c r="V701" s="14"/>
      <c r="W701" s="18"/>
      <c r="X701" s="14" t="s">
        <v>41</v>
      </c>
    </row>
    <row r="702" ht="14.25" customHeight="1">
      <c r="A702" s="10" t="s">
        <v>1928</v>
      </c>
      <c r="B702" s="10" t="s">
        <v>31</v>
      </c>
      <c r="C702" s="10">
        <v>704.0</v>
      </c>
      <c r="D702" s="11" t="s">
        <v>1945</v>
      </c>
      <c r="E702" s="11" t="s">
        <v>1946</v>
      </c>
      <c r="F702" s="11" t="s">
        <v>681</v>
      </c>
      <c r="G702" s="10">
        <v>704.0</v>
      </c>
      <c r="H702" s="10">
        <f>VLOOKUP(F702,'Generos y Familia'!$A$1:$C$623,2,FALSE)</f>
        <v>27</v>
      </c>
      <c r="I702" s="12" t="str">
        <f t="shared" si="1"/>
        <v>Mammea americana</v>
      </c>
      <c r="J702" s="10" t="str">
        <f t="shared" si="2"/>
        <v>704 Mammea americana</v>
      </c>
      <c r="K702" s="10" t="str">
        <f t="shared" si="3"/>
        <v>Mamey</v>
      </c>
      <c r="L702" s="10" t="str">
        <f t="shared" si="4"/>
        <v>704 Mamey</v>
      </c>
      <c r="M702" s="10" t="s">
        <v>46</v>
      </c>
      <c r="N702" s="10" t="s">
        <v>36</v>
      </c>
      <c r="O702" s="10" t="s">
        <v>37</v>
      </c>
      <c r="P702" s="10" t="s">
        <v>1947</v>
      </c>
      <c r="Q702" s="13"/>
      <c r="R702" s="13"/>
      <c r="S702" s="13"/>
      <c r="T702" s="13"/>
      <c r="U702" s="13"/>
      <c r="V702" s="13"/>
      <c r="W702" s="16"/>
      <c r="X702" s="13"/>
    </row>
    <row r="703" ht="14.25" customHeight="1">
      <c r="A703" s="10" t="s">
        <v>1928</v>
      </c>
      <c r="B703" s="10" t="s">
        <v>31</v>
      </c>
      <c r="C703" s="10">
        <v>705.0</v>
      </c>
      <c r="D703" s="11" t="s">
        <v>1948</v>
      </c>
      <c r="E703" s="11" t="s">
        <v>1949</v>
      </c>
      <c r="F703" s="11" t="s">
        <v>258</v>
      </c>
      <c r="G703" s="10">
        <v>705.0</v>
      </c>
      <c r="H703" s="10">
        <f>VLOOKUP(F703,'Generos y Familia'!$A$1:$C$623,2,FALSE)</f>
        <v>7</v>
      </c>
      <c r="I703" s="12" t="str">
        <f t="shared" si="1"/>
        <v>Mangifera indica</v>
      </c>
      <c r="J703" s="10" t="str">
        <f t="shared" si="2"/>
        <v>705 Mangifera indica</v>
      </c>
      <c r="K703" s="10" t="str">
        <f t="shared" si="3"/>
        <v>Mango; Mango de Azúcar</v>
      </c>
      <c r="L703" s="10" t="str">
        <f t="shared" si="4"/>
        <v>705 Mango; Mango de Azúcar</v>
      </c>
      <c r="M703" s="10" t="s">
        <v>46</v>
      </c>
      <c r="N703" s="10" t="s">
        <v>36</v>
      </c>
      <c r="O703" s="10" t="s">
        <v>37</v>
      </c>
      <c r="P703" s="10" t="s">
        <v>1950</v>
      </c>
      <c r="Q703" s="17" t="s">
        <v>54</v>
      </c>
      <c r="R703" s="14" t="s">
        <v>39</v>
      </c>
      <c r="S703" s="17" t="s">
        <v>821</v>
      </c>
      <c r="T703" s="14" t="s">
        <v>39</v>
      </c>
      <c r="U703" s="14" t="s">
        <v>40</v>
      </c>
      <c r="V703" s="14">
        <v>0.55</v>
      </c>
      <c r="W703" s="17"/>
      <c r="X703" s="14"/>
    </row>
    <row r="704" ht="14.25" customHeight="1">
      <c r="A704" s="10" t="s">
        <v>1928</v>
      </c>
      <c r="B704" s="10" t="s">
        <v>31</v>
      </c>
      <c r="C704" s="10">
        <v>706.0</v>
      </c>
      <c r="D704" s="11" t="s">
        <v>1951</v>
      </c>
      <c r="E704" s="11" t="s">
        <v>1952</v>
      </c>
      <c r="F704" s="11" t="s">
        <v>82</v>
      </c>
      <c r="G704" s="10">
        <v>706.0</v>
      </c>
      <c r="H704" s="10">
        <f>VLOOKUP(F704,'Generos y Familia'!$A$1:$C$623,2,FALSE)</f>
        <v>26</v>
      </c>
      <c r="I704" s="12" t="str">
        <f t="shared" si="1"/>
        <v>Manihot esculenta</v>
      </c>
      <c r="J704" s="10" t="str">
        <f t="shared" si="2"/>
        <v>706 Manihot esculenta</v>
      </c>
      <c r="K704" s="10" t="str">
        <f t="shared" si="3"/>
        <v>Yuca</v>
      </c>
      <c r="L704" s="10" t="str">
        <f t="shared" si="4"/>
        <v>706 Yuca</v>
      </c>
      <c r="M704" s="10" t="s">
        <v>35</v>
      </c>
      <c r="N704" s="10" t="s">
        <v>36</v>
      </c>
      <c r="O704" s="10" t="s">
        <v>37</v>
      </c>
      <c r="P704" s="10" t="s">
        <v>1953</v>
      </c>
      <c r="Q704" s="17" t="s">
        <v>632</v>
      </c>
      <c r="R704" s="14"/>
      <c r="S704" s="17" t="s">
        <v>379</v>
      </c>
      <c r="T704" s="14"/>
      <c r="U704" s="14" t="s">
        <v>55</v>
      </c>
      <c r="V704" s="14"/>
      <c r="W704" s="17"/>
      <c r="X704" s="14" t="s">
        <v>41</v>
      </c>
    </row>
    <row r="705" ht="14.25" customHeight="1">
      <c r="A705" s="10" t="s">
        <v>1928</v>
      </c>
      <c r="B705" s="10" t="s">
        <v>31</v>
      </c>
      <c r="C705" s="10">
        <v>707.0</v>
      </c>
      <c r="D705" s="11" t="s">
        <v>1954</v>
      </c>
      <c r="E705" s="11" t="s">
        <v>1955</v>
      </c>
      <c r="F705" s="11" t="s">
        <v>918</v>
      </c>
      <c r="G705" s="10">
        <v>707.0</v>
      </c>
      <c r="H705" s="10">
        <f>VLOOKUP(F705,'Generos y Familia'!$A$1:$C$623,2,FALSE)</f>
        <v>85</v>
      </c>
      <c r="I705" s="12" t="str">
        <f t="shared" si="1"/>
        <v>Manilkara sp</v>
      </c>
      <c r="J705" s="10" t="str">
        <f t="shared" si="2"/>
        <v>707 Manilkara sp</v>
      </c>
      <c r="K705" s="10" t="str">
        <f t="shared" si="3"/>
        <v>Caimo Rojo</v>
      </c>
      <c r="L705" s="10" t="str">
        <f t="shared" si="4"/>
        <v>707 Caimo Rojo</v>
      </c>
      <c r="M705" s="10" t="s">
        <v>35</v>
      </c>
      <c r="N705" s="10"/>
      <c r="O705" s="10"/>
      <c r="P705" s="10" t="s">
        <v>1956</v>
      </c>
      <c r="Q705" s="13"/>
      <c r="R705" s="13"/>
      <c r="S705" s="13"/>
      <c r="T705" s="13"/>
      <c r="U705" s="13"/>
      <c r="V705" s="13"/>
      <c r="W705" s="16"/>
      <c r="X705" s="13"/>
    </row>
    <row r="706" ht="14.25" customHeight="1">
      <c r="A706" s="10" t="s">
        <v>1928</v>
      </c>
      <c r="B706" s="10" t="s">
        <v>31</v>
      </c>
      <c r="C706" s="10">
        <v>708.0</v>
      </c>
      <c r="D706" s="11" t="s">
        <v>1957</v>
      </c>
      <c r="E706" s="11" t="s">
        <v>1958</v>
      </c>
      <c r="F706" s="11" t="s">
        <v>918</v>
      </c>
      <c r="G706" s="10">
        <v>708.0</v>
      </c>
      <c r="H706" s="10">
        <f>VLOOKUP(F706,'Generos y Familia'!$A$1:$C$623,2,FALSE)</f>
        <v>85</v>
      </c>
      <c r="I706" s="12" t="str">
        <f t="shared" si="1"/>
        <v>Manilkara zapota</v>
      </c>
      <c r="J706" s="10" t="str">
        <f t="shared" si="2"/>
        <v>708 Manilkara zapota</v>
      </c>
      <c r="K706" s="10" t="str">
        <f t="shared" si="3"/>
        <v>Níspero</v>
      </c>
      <c r="L706" s="10" t="str">
        <f t="shared" si="4"/>
        <v>708 Níspero</v>
      </c>
      <c r="M706" s="10" t="s">
        <v>35</v>
      </c>
      <c r="N706" s="10" t="s">
        <v>36</v>
      </c>
      <c r="O706" s="10" t="s">
        <v>37</v>
      </c>
      <c r="P706" s="10" t="s">
        <v>1956</v>
      </c>
      <c r="Q706" s="17" t="s">
        <v>817</v>
      </c>
      <c r="R706" s="14" t="s">
        <v>39</v>
      </c>
      <c r="S706" s="17" t="s">
        <v>821</v>
      </c>
      <c r="T706" s="14" t="s">
        <v>39</v>
      </c>
      <c r="U706" s="14" t="s">
        <v>73</v>
      </c>
      <c r="V706" s="14">
        <v>0.81</v>
      </c>
      <c r="W706" s="17"/>
      <c r="X706" s="14"/>
    </row>
    <row r="707" ht="14.25" customHeight="1">
      <c r="A707" s="10" t="s">
        <v>1928</v>
      </c>
      <c r="B707" s="10" t="s">
        <v>31</v>
      </c>
      <c r="C707" s="10">
        <v>709.0</v>
      </c>
      <c r="D707" s="11" t="s">
        <v>1959</v>
      </c>
      <c r="E707" s="11" t="s">
        <v>1960</v>
      </c>
      <c r="F707" s="11" t="s">
        <v>480</v>
      </c>
      <c r="G707" s="10">
        <v>709.0</v>
      </c>
      <c r="H707" s="10">
        <f>VLOOKUP(F707,'Generos y Familia'!$A$1:$C$623,2,FALSE)</f>
        <v>64</v>
      </c>
      <c r="I707" s="12" t="str">
        <f t="shared" si="1"/>
        <v>Margaritaria nobilis</v>
      </c>
      <c r="J707" s="10" t="str">
        <f t="shared" si="2"/>
        <v>709 Margaritaria nobilis</v>
      </c>
      <c r="K707" s="10" t="str">
        <f t="shared" si="3"/>
        <v>Ojo de Paloma; Ojo de Palomo; Perlito</v>
      </c>
      <c r="L707" s="10" t="str">
        <f t="shared" si="4"/>
        <v>709 Ojo de Paloma; Ojo de Palomo; Perlito</v>
      </c>
      <c r="M707" s="10" t="s">
        <v>35</v>
      </c>
      <c r="N707" s="10" t="s">
        <v>36</v>
      </c>
      <c r="O707" s="10" t="s">
        <v>37</v>
      </c>
      <c r="P707" s="10" t="s">
        <v>1961</v>
      </c>
      <c r="Q707" s="13"/>
      <c r="R707" s="13"/>
      <c r="S707" s="13"/>
      <c r="T707" s="13"/>
      <c r="U707" s="13"/>
      <c r="V707" s="13"/>
      <c r="W707" s="13"/>
      <c r="X707" s="13"/>
    </row>
    <row r="708" ht="14.25" customHeight="1">
      <c r="A708" s="10" t="s">
        <v>1928</v>
      </c>
      <c r="B708" s="10" t="s">
        <v>31</v>
      </c>
      <c r="C708" s="10">
        <v>710.0</v>
      </c>
      <c r="D708" s="11" t="s">
        <v>1962</v>
      </c>
      <c r="E708" s="11" t="s">
        <v>1963</v>
      </c>
      <c r="F708" s="11" t="s">
        <v>214</v>
      </c>
      <c r="G708" s="10">
        <v>710.0</v>
      </c>
      <c r="H708" s="10">
        <f>VLOOKUP(F708,'Generos y Familia'!$A$1:$C$623,2,FALSE)</f>
        <v>84</v>
      </c>
      <c r="I708" s="12" t="str">
        <f t="shared" si="1"/>
        <v>Matayba purgans</v>
      </c>
      <c r="J708" s="10" t="str">
        <f t="shared" si="2"/>
        <v>710 Matayba purgans</v>
      </c>
      <c r="K708" s="10" t="str">
        <f t="shared" si="3"/>
        <v>Trestablas</v>
      </c>
      <c r="L708" s="10" t="str">
        <f t="shared" si="4"/>
        <v>710 Trestablas</v>
      </c>
      <c r="M708" s="10" t="s">
        <v>35</v>
      </c>
      <c r="N708" s="10" t="s">
        <v>36</v>
      </c>
      <c r="O708" s="10" t="s">
        <v>37</v>
      </c>
      <c r="P708" s="10" t="s">
        <v>1964</v>
      </c>
      <c r="Q708" s="17" t="s">
        <v>229</v>
      </c>
      <c r="R708" s="14"/>
      <c r="S708" s="17" t="s">
        <v>290</v>
      </c>
      <c r="T708" s="14"/>
      <c r="U708" s="14" t="s">
        <v>40</v>
      </c>
      <c r="V708" s="14"/>
      <c r="W708" s="18"/>
      <c r="X708" s="14" t="s">
        <v>41</v>
      </c>
    </row>
    <row r="709" ht="14.25" customHeight="1">
      <c r="A709" s="10" t="s">
        <v>1928</v>
      </c>
      <c r="B709" s="10" t="s">
        <v>31</v>
      </c>
      <c r="C709" s="10">
        <v>711.0</v>
      </c>
      <c r="D709" s="11" t="s">
        <v>1965</v>
      </c>
      <c r="E709" s="11" t="s">
        <v>1966</v>
      </c>
      <c r="F709" s="11" t="s">
        <v>45</v>
      </c>
      <c r="G709" s="10">
        <v>711.0</v>
      </c>
      <c r="H709" s="10">
        <f>VLOOKUP(F709,'Generos y Familia'!$A$1:$C$623,2,FALSE)</f>
        <v>40</v>
      </c>
      <c r="I709" s="12" t="str">
        <f t="shared" si="1"/>
        <v>Matisia cordata</v>
      </c>
      <c r="J709" s="10" t="str">
        <f t="shared" si="2"/>
        <v>711 Matisia cordata</v>
      </c>
      <c r="K709" s="10" t="str">
        <f t="shared" si="3"/>
        <v>Zapote; Sapote; Chupa Chupa; Chupachupa</v>
      </c>
      <c r="L709" s="10" t="str">
        <f t="shared" si="4"/>
        <v>711 Zapote; Sapote; Chupa Chupa; Chupachupa</v>
      </c>
      <c r="M709" s="10" t="s">
        <v>35</v>
      </c>
      <c r="N709" s="10" t="s">
        <v>36</v>
      </c>
      <c r="O709" s="10" t="s">
        <v>37</v>
      </c>
      <c r="P709" s="10" t="s">
        <v>1967</v>
      </c>
      <c r="Q709" s="17" t="s">
        <v>145</v>
      </c>
      <c r="R709" s="14" t="s">
        <v>1338</v>
      </c>
      <c r="S709" s="17" t="s">
        <v>290</v>
      </c>
      <c r="T709" s="14" t="s">
        <v>1338</v>
      </c>
      <c r="U709" s="14" t="s">
        <v>40</v>
      </c>
      <c r="V709" s="14"/>
      <c r="W709" s="17" t="s">
        <v>633</v>
      </c>
      <c r="X709" s="14"/>
    </row>
    <row r="710" ht="14.25" customHeight="1">
      <c r="A710" s="10" t="s">
        <v>1928</v>
      </c>
      <c r="B710" s="10" t="s">
        <v>31</v>
      </c>
      <c r="C710" s="10">
        <v>712.0</v>
      </c>
      <c r="D710" s="11" t="s">
        <v>1968</v>
      </c>
      <c r="E710" s="11" t="s">
        <v>1969</v>
      </c>
      <c r="F710" s="11" t="s">
        <v>45</v>
      </c>
      <c r="G710" s="10">
        <v>712.0</v>
      </c>
      <c r="H710" s="10">
        <f>VLOOKUP(F710,'Generos y Familia'!$A$1:$C$623,2,FALSE)</f>
        <v>40</v>
      </c>
      <c r="I710" s="12" t="str">
        <f t="shared" si="1"/>
        <v>Matisia obliquifolia</v>
      </c>
      <c r="J710" s="10" t="str">
        <f t="shared" si="2"/>
        <v>712 Matisia obliquifolia</v>
      </c>
      <c r="K710" s="10" t="str">
        <f t="shared" si="3"/>
        <v>Matisia Obliquifolia</v>
      </c>
      <c r="L710" s="10" t="str">
        <f t="shared" si="4"/>
        <v>712 Matisia Obliquifolia</v>
      </c>
      <c r="M710" s="10" t="s">
        <v>35</v>
      </c>
      <c r="N710" s="10" t="s">
        <v>36</v>
      </c>
      <c r="O710" s="10" t="s">
        <v>37</v>
      </c>
      <c r="P710" s="10" t="s">
        <v>1967</v>
      </c>
      <c r="Q710" s="13"/>
      <c r="R710" s="13"/>
      <c r="S710" s="13"/>
      <c r="T710" s="13"/>
      <c r="U710" s="13"/>
      <c r="V710" s="13"/>
      <c r="W710" s="16"/>
      <c r="X710" s="13"/>
    </row>
    <row r="711" ht="14.25" customHeight="1">
      <c r="A711" s="10" t="s">
        <v>1928</v>
      </c>
      <c r="B711" s="10" t="s">
        <v>31</v>
      </c>
      <c r="C711" s="10">
        <v>713.0</v>
      </c>
      <c r="D711" s="11" t="s">
        <v>1970</v>
      </c>
      <c r="E711" s="11" t="s">
        <v>1971</v>
      </c>
      <c r="F711" s="11" t="s">
        <v>258</v>
      </c>
      <c r="G711" s="10">
        <v>713.0</v>
      </c>
      <c r="H711" s="10">
        <f>VLOOKUP(F711,'Generos y Familia'!$A$1:$C$623,2,FALSE)</f>
        <v>7</v>
      </c>
      <c r="I711" s="12" t="str">
        <f t="shared" si="1"/>
        <v>Mauria sp</v>
      </c>
      <c r="J711" s="10" t="str">
        <f t="shared" si="2"/>
        <v>713 Mauria sp</v>
      </c>
      <c r="K711" s="10" t="str">
        <f t="shared" si="3"/>
        <v>Sarno; Manzanillo; Caspi; Birringo (A otra sp de genero)</v>
      </c>
      <c r="L711" s="10" t="str">
        <f t="shared" si="4"/>
        <v>713 Sarno; Manzanillo; Caspi; Birringo (A otra sp de genero)</v>
      </c>
      <c r="M711" s="10" t="s">
        <v>35</v>
      </c>
      <c r="N711" s="10" t="s">
        <v>36</v>
      </c>
      <c r="O711" s="10" t="s">
        <v>37</v>
      </c>
      <c r="P711" s="10" t="s">
        <v>1972</v>
      </c>
      <c r="Q711" s="13"/>
      <c r="R711" s="13"/>
      <c r="S711" s="13"/>
      <c r="T711" s="13"/>
      <c r="U711" s="13"/>
      <c r="V711" s="13"/>
      <c r="W711" s="13"/>
      <c r="X711" s="13"/>
    </row>
    <row r="712" ht="14.25" customHeight="1">
      <c r="A712" s="10" t="s">
        <v>1928</v>
      </c>
      <c r="B712" s="10" t="s">
        <v>31</v>
      </c>
      <c r="C712" s="10">
        <v>714.0</v>
      </c>
      <c r="D712" s="11" t="s">
        <v>1973</v>
      </c>
      <c r="E712" s="11" t="s">
        <v>1974</v>
      </c>
      <c r="F712" s="11" t="s">
        <v>837</v>
      </c>
      <c r="G712" s="10">
        <v>714.0</v>
      </c>
      <c r="H712" s="10">
        <f>VLOOKUP(F712,'Generos y Familia'!$A$1:$C$623,2,FALSE)</f>
        <v>34</v>
      </c>
      <c r="I712" s="12" t="str">
        <f t="shared" si="1"/>
        <v>Maytenus segoviarum</v>
      </c>
      <c r="J712" s="10" t="str">
        <f t="shared" si="2"/>
        <v>714 Maytenus segoviarum</v>
      </c>
      <c r="K712" s="10" t="str">
        <f t="shared" si="3"/>
        <v>Maytenus Segoviarum</v>
      </c>
      <c r="L712" s="10" t="str">
        <f t="shared" si="4"/>
        <v>714 Maytenus Segoviarum</v>
      </c>
      <c r="M712" s="10" t="s">
        <v>46</v>
      </c>
      <c r="N712" s="10" t="s">
        <v>28</v>
      </c>
      <c r="O712" s="10" t="s">
        <v>37</v>
      </c>
      <c r="P712" s="10" t="s">
        <v>1975</v>
      </c>
      <c r="Q712" s="13"/>
      <c r="R712" s="13"/>
      <c r="S712" s="13"/>
      <c r="T712" s="13"/>
      <c r="U712" s="13"/>
      <c r="V712" s="13"/>
      <c r="W712" s="13"/>
      <c r="X712" s="13"/>
    </row>
    <row r="713" ht="14.25" customHeight="1">
      <c r="A713" s="10" t="s">
        <v>1928</v>
      </c>
      <c r="B713" s="10" t="s">
        <v>31</v>
      </c>
      <c r="C713" s="10">
        <v>715.0</v>
      </c>
      <c r="D713" s="11" t="s">
        <v>1976</v>
      </c>
      <c r="E713" s="11" t="s">
        <v>1977</v>
      </c>
      <c r="F713" s="11" t="s">
        <v>320</v>
      </c>
      <c r="G713" s="10">
        <v>715.0</v>
      </c>
      <c r="H713" s="10">
        <f>VLOOKUP(F713,'Generos y Familia'!$A$1:$C$623,2,FALSE)</f>
        <v>1</v>
      </c>
      <c r="I713" s="12" t="str">
        <f t="shared" si="1"/>
        <v>Megaskepasma erythrochlamys</v>
      </c>
      <c r="J713" s="10" t="str">
        <f t="shared" si="2"/>
        <v>715 Megaskepasma erythrochlamys</v>
      </c>
      <c r="K713" s="10" t="str">
        <f t="shared" si="3"/>
        <v>Camarón Rojo; Manto Rojo; Capote Brasilero</v>
      </c>
      <c r="L713" s="10" t="str">
        <f t="shared" si="4"/>
        <v>715 Camarón Rojo; Manto Rojo; Capote Brasilero</v>
      </c>
      <c r="M713" s="10" t="s">
        <v>46</v>
      </c>
      <c r="N713" s="10" t="s">
        <v>36</v>
      </c>
      <c r="O713" s="10" t="s">
        <v>47</v>
      </c>
      <c r="P713" s="10" t="s">
        <v>1978</v>
      </c>
      <c r="Q713" s="17" t="s">
        <v>632</v>
      </c>
      <c r="R713" s="14" t="s">
        <v>39</v>
      </c>
      <c r="S713" s="17" t="s">
        <v>379</v>
      </c>
      <c r="T713" s="14" t="s">
        <v>39</v>
      </c>
      <c r="U713" s="14" t="s">
        <v>55</v>
      </c>
      <c r="V713" s="14"/>
      <c r="W713" s="17"/>
      <c r="X713" s="14"/>
    </row>
    <row r="714" ht="14.25" customHeight="1">
      <c r="A714" s="10" t="s">
        <v>1928</v>
      </c>
      <c r="B714" s="10" t="s">
        <v>31</v>
      </c>
      <c r="C714" s="10">
        <v>716.0</v>
      </c>
      <c r="D714" s="11" t="s">
        <v>1979</v>
      </c>
      <c r="E714" s="11" t="s">
        <v>1980</v>
      </c>
      <c r="F714" s="11" t="s">
        <v>95</v>
      </c>
      <c r="G714" s="10">
        <v>716.0</v>
      </c>
      <c r="H714" s="10">
        <f>VLOOKUP(F714,'Generos y Familia'!$A$1:$C$623,2,FALSE)</f>
        <v>49</v>
      </c>
      <c r="I714" s="12" t="str">
        <f t="shared" si="1"/>
        <v>Melaleuca quinquenervia</v>
      </c>
      <c r="J714" s="10" t="str">
        <f t="shared" si="2"/>
        <v>716 Melaleuca quinquenervia</v>
      </c>
      <c r="K714" s="10" t="str">
        <f t="shared" si="3"/>
        <v>Corcho; Calistemo Blanco</v>
      </c>
      <c r="L714" s="10" t="str">
        <f t="shared" si="4"/>
        <v>716 Corcho; Calistemo Blanco</v>
      </c>
      <c r="M714" s="10" t="s">
        <v>46</v>
      </c>
      <c r="N714" s="10" t="s">
        <v>36</v>
      </c>
      <c r="O714" s="10" t="s">
        <v>37</v>
      </c>
      <c r="P714" s="10" t="s">
        <v>667</v>
      </c>
      <c r="Q714" s="17" t="s">
        <v>379</v>
      </c>
      <c r="R714" s="14" t="s">
        <v>39</v>
      </c>
      <c r="S714" s="17" t="s">
        <v>442</v>
      </c>
      <c r="T714" s="14" t="s">
        <v>39</v>
      </c>
      <c r="U714" s="14" t="s">
        <v>55</v>
      </c>
      <c r="V714" s="14">
        <v>0.63</v>
      </c>
      <c r="W714" s="17"/>
      <c r="X714" s="14"/>
    </row>
    <row r="715" ht="14.25" customHeight="1">
      <c r="A715" s="10" t="s">
        <v>1928</v>
      </c>
      <c r="B715" s="10" t="s">
        <v>31</v>
      </c>
      <c r="C715" s="10">
        <v>717.0</v>
      </c>
      <c r="D715" s="11" t="s">
        <v>1981</v>
      </c>
      <c r="E715" s="11" t="s">
        <v>1982</v>
      </c>
      <c r="F715" s="11" t="s">
        <v>471</v>
      </c>
      <c r="G715" s="10">
        <v>717.0</v>
      </c>
      <c r="H715" s="10">
        <f>VLOOKUP(F715,'Generos y Familia'!$A$1:$C$623,2,FALSE)</f>
        <v>41</v>
      </c>
      <c r="I715" s="12" t="str">
        <f t="shared" si="1"/>
        <v>Melastoma malabathricum</v>
      </c>
      <c r="J715" s="10" t="str">
        <f t="shared" si="2"/>
        <v>717 Melastoma malabathricum</v>
      </c>
      <c r="K715" s="10" t="str">
        <f t="shared" si="3"/>
        <v>Melastoma Malabathricum</v>
      </c>
      <c r="L715" s="10" t="str">
        <f t="shared" si="4"/>
        <v>717 Melastoma Malabathricum</v>
      </c>
      <c r="M715" s="10" t="s">
        <v>46</v>
      </c>
      <c r="N715" s="10" t="s">
        <v>28</v>
      </c>
      <c r="O715" s="10" t="s">
        <v>47</v>
      </c>
      <c r="P715" s="10" t="s">
        <v>1983</v>
      </c>
      <c r="Q715" s="17" t="s">
        <v>632</v>
      </c>
      <c r="R715" s="14"/>
      <c r="S715" s="17" t="s">
        <v>229</v>
      </c>
      <c r="T715" s="14"/>
      <c r="U715" s="14" t="s">
        <v>55</v>
      </c>
      <c r="V715" s="14"/>
      <c r="W715" s="17"/>
      <c r="X715" s="14" t="s">
        <v>41</v>
      </c>
    </row>
    <row r="716" ht="14.25" customHeight="1">
      <c r="A716" s="10" t="s">
        <v>1928</v>
      </c>
      <c r="B716" s="10" t="s">
        <v>31</v>
      </c>
      <c r="C716" s="10">
        <v>718.0</v>
      </c>
      <c r="D716" s="11" t="s">
        <v>1984</v>
      </c>
      <c r="E716" s="11" t="s">
        <v>1985</v>
      </c>
      <c r="F716" s="11" t="s">
        <v>411</v>
      </c>
      <c r="G716" s="10">
        <v>718.0</v>
      </c>
      <c r="H716" s="10">
        <f>VLOOKUP(F716,'Generos y Familia'!$A$1:$C$623,2,FALSE)</f>
        <v>42</v>
      </c>
      <c r="I716" s="12" t="str">
        <f t="shared" si="1"/>
        <v>Melia azedarach</v>
      </c>
      <c r="J716" s="10" t="str">
        <f t="shared" si="2"/>
        <v>718 Melia azedarach</v>
      </c>
      <c r="K716" s="10" t="str">
        <f t="shared" si="3"/>
        <v>Paraíso; Jazmín; Árbol del Paraíso; Alelí</v>
      </c>
      <c r="L716" s="10" t="str">
        <f t="shared" si="4"/>
        <v>718 Paraíso; Jazmín; Árbol del Paraíso; Alelí</v>
      </c>
      <c r="M716" s="10" t="s">
        <v>46</v>
      </c>
      <c r="N716" s="10" t="s">
        <v>36</v>
      </c>
      <c r="O716" s="10" t="s">
        <v>37</v>
      </c>
      <c r="P716" s="10" t="s">
        <v>1986</v>
      </c>
      <c r="Q716" s="13"/>
      <c r="R716" s="13"/>
      <c r="S716" s="13"/>
      <c r="T716" s="13"/>
      <c r="U716" s="13"/>
      <c r="V716" s="13"/>
      <c r="W716" s="13"/>
      <c r="X716" s="13"/>
    </row>
    <row r="717" ht="14.25" customHeight="1">
      <c r="A717" s="10" t="s">
        <v>1928</v>
      </c>
      <c r="B717" s="10" t="s">
        <v>31</v>
      </c>
      <c r="C717" s="10">
        <v>719.0</v>
      </c>
      <c r="D717" s="11" t="s">
        <v>1987</v>
      </c>
      <c r="E717" s="11" t="s">
        <v>1988</v>
      </c>
      <c r="F717" s="11" t="s">
        <v>214</v>
      </c>
      <c r="G717" s="10">
        <v>719.0</v>
      </c>
      <c r="H717" s="10">
        <f>VLOOKUP(F717,'Generos y Familia'!$A$1:$C$623,2,FALSE)</f>
        <v>84</v>
      </c>
      <c r="I717" s="12" t="str">
        <f t="shared" si="1"/>
        <v>Melicoccus bijugatus</v>
      </c>
      <c r="J717" s="10" t="str">
        <f t="shared" si="2"/>
        <v>719 Melicoccus bijugatus</v>
      </c>
      <c r="K717" s="10" t="str">
        <f t="shared" si="3"/>
        <v>Mamoncillo; Mamón</v>
      </c>
      <c r="L717" s="10" t="str">
        <f t="shared" si="4"/>
        <v>719 Mamoncillo; Mamón</v>
      </c>
      <c r="M717" s="10" t="s">
        <v>35</v>
      </c>
      <c r="N717" s="10" t="s">
        <v>36</v>
      </c>
      <c r="O717" s="10" t="s">
        <v>37</v>
      </c>
      <c r="P717" s="10" t="s">
        <v>1989</v>
      </c>
      <c r="Q717" s="13"/>
      <c r="R717" s="13"/>
      <c r="S717" s="13"/>
      <c r="T717" s="13"/>
      <c r="U717" s="13"/>
      <c r="V717" s="13"/>
      <c r="W717" s="16"/>
      <c r="X717" s="13"/>
    </row>
    <row r="718" ht="14.25" customHeight="1">
      <c r="A718" s="10" t="s">
        <v>1928</v>
      </c>
      <c r="B718" s="10" t="s">
        <v>31</v>
      </c>
      <c r="C718" s="10">
        <v>720.0</v>
      </c>
      <c r="D718" s="11" t="s">
        <v>1990</v>
      </c>
      <c r="E718" s="11" t="s">
        <v>1991</v>
      </c>
      <c r="F718" s="11" t="s">
        <v>214</v>
      </c>
      <c r="G718" s="10">
        <v>720.0</v>
      </c>
      <c r="H718" s="10">
        <f>VLOOKUP(F718,'Generos y Familia'!$A$1:$C$623,2,FALSE)</f>
        <v>84</v>
      </c>
      <c r="I718" s="12" t="str">
        <f t="shared" si="1"/>
        <v>Melicoccus oliviformis</v>
      </c>
      <c r="J718" s="10" t="str">
        <f t="shared" si="2"/>
        <v>720 Melicoccus oliviformis</v>
      </c>
      <c r="K718" s="10" t="str">
        <f t="shared" si="3"/>
        <v>Cotoprís; Mamón</v>
      </c>
      <c r="L718" s="10" t="str">
        <f t="shared" si="4"/>
        <v>720 Cotoprís; Mamón</v>
      </c>
      <c r="M718" s="10" t="s">
        <v>35</v>
      </c>
      <c r="N718" s="10" t="s">
        <v>36</v>
      </c>
      <c r="O718" s="10" t="s">
        <v>37</v>
      </c>
      <c r="P718" s="10" t="s">
        <v>1989</v>
      </c>
      <c r="Q718" s="13"/>
      <c r="R718" s="13"/>
      <c r="S718" s="13"/>
      <c r="T718" s="13"/>
      <c r="U718" s="13"/>
      <c r="V718" s="13"/>
      <c r="W718" s="16"/>
      <c r="X718" s="13"/>
    </row>
    <row r="719" ht="14.25" customHeight="1">
      <c r="A719" s="10" t="s">
        <v>1928</v>
      </c>
      <c r="B719" s="10" t="s">
        <v>31</v>
      </c>
      <c r="C719" s="10">
        <v>721.0</v>
      </c>
      <c r="D719" s="11" t="s">
        <v>1992</v>
      </c>
      <c r="E719" s="11" t="s">
        <v>1993</v>
      </c>
      <c r="F719" s="11" t="s">
        <v>214</v>
      </c>
      <c r="G719" s="10">
        <v>721.0</v>
      </c>
      <c r="H719" s="10">
        <f>VLOOKUP(F719,'Generos y Familia'!$A$1:$C$623,2,FALSE)</f>
        <v>84</v>
      </c>
      <c r="I719" s="12" t="str">
        <f t="shared" si="1"/>
        <v>Melicoccus sp</v>
      </c>
      <c r="J719" s="10" t="str">
        <f t="shared" si="2"/>
        <v>721 Melicoccus sp</v>
      </c>
      <c r="K719" s="10" t="str">
        <f t="shared" si="3"/>
        <v>Cotoprix; Mamoncillo de Monte</v>
      </c>
      <c r="L719" s="10" t="str">
        <f t="shared" si="4"/>
        <v>721 Cotoprix; Mamoncillo de Monte</v>
      </c>
      <c r="M719" s="10" t="s">
        <v>35</v>
      </c>
      <c r="N719" s="10" t="s">
        <v>36</v>
      </c>
      <c r="O719" s="10" t="s">
        <v>37</v>
      </c>
      <c r="P719" s="10" t="s">
        <v>1989</v>
      </c>
      <c r="Q719" s="13"/>
      <c r="R719" s="13"/>
      <c r="S719" s="13" t="s">
        <v>1994</v>
      </c>
      <c r="T719" s="13"/>
      <c r="U719" s="13"/>
      <c r="V719" s="13"/>
      <c r="W719" s="16"/>
      <c r="X719" s="13"/>
    </row>
    <row r="720" ht="14.25" customHeight="1">
      <c r="A720" s="10" t="s">
        <v>1928</v>
      </c>
      <c r="B720" s="10" t="s">
        <v>31</v>
      </c>
      <c r="C720" s="10">
        <v>722.0</v>
      </c>
      <c r="D720" s="11" t="s">
        <v>1995</v>
      </c>
      <c r="E720" s="11" t="s">
        <v>1996</v>
      </c>
      <c r="F720" s="11" t="s">
        <v>1997</v>
      </c>
      <c r="G720" s="10">
        <v>722.0</v>
      </c>
      <c r="H720" s="10">
        <f>VLOOKUP(F720,'Generos y Familia'!$A$1:$C$623,2,FALSE)</f>
        <v>81</v>
      </c>
      <c r="I720" s="12" t="str">
        <f t="shared" si="1"/>
        <v>Meliosma occidentalis</v>
      </c>
      <c r="J720" s="10" t="str">
        <f t="shared" si="2"/>
        <v>722 Meliosma occidentalis</v>
      </c>
      <c r="K720" s="10" t="str">
        <f t="shared" si="3"/>
        <v>Meliosma Occidentalis</v>
      </c>
      <c r="L720" s="10" t="str">
        <f t="shared" si="4"/>
        <v>722 Meliosma Occidentalis</v>
      </c>
      <c r="M720" s="10" t="s">
        <v>35</v>
      </c>
      <c r="N720" s="10" t="s">
        <v>36</v>
      </c>
      <c r="O720" s="10" t="s">
        <v>37</v>
      </c>
      <c r="P720" s="10" t="s">
        <v>1998</v>
      </c>
      <c r="Q720" s="13"/>
      <c r="R720" s="13"/>
      <c r="S720" s="13"/>
      <c r="T720" s="13"/>
      <c r="U720" s="13"/>
      <c r="V720" s="13"/>
      <c r="W720" s="16"/>
      <c r="X720" s="13"/>
    </row>
    <row r="721" ht="14.25" customHeight="1">
      <c r="A721" s="10" t="s">
        <v>1928</v>
      </c>
      <c r="B721" s="10" t="s">
        <v>31</v>
      </c>
      <c r="C721" s="10">
        <v>723.0</v>
      </c>
      <c r="D721" s="11" t="s">
        <v>1999</v>
      </c>
      <c r="E721" s="11" t="s">
        <v>2000</v>
      </c>
      <c r="F721" s="11" t="s">
        <v>1997</v>
      </c>
      <c r="G721" s="10">
        <v>723.0</v>
      </c>
      <c r="H721" s="10">
        <f>VLOOKUP(F721,'Generos y Familia'!$A$1:$C$623,2,FALSE)</f>
        <v>81</v>
      </c>
      <c r="I721" s="12" t="str">
        <f t="shared" si="1"/>
        <v>Meliosma sp</v>
      </c>
      <c r="J721" s="10" t="str">
        <f t="shared" si="2"/>
        <v>723 Meliosma sp</v>
      </c>
      <c r="K721" s="10" t="str">
        <f t="shared" si="3"/>
        <v>Meliosma; Baboso; Babillo; Calabazo</v>
      </c>
      <c r="L721" s="10" t="str">
        <f t="shared" si="4"/>
        <v>723 Meliosma; Baboso; Babillo; Calabazo</v>
      </c>
      <c r="M721" s="10" t="s">
        <v>35</v>
      </c>
      <c r="N721" s="10" t="s">
        <v>36</v>
      </c>
      <c r="O721" s="10" t="s">
        <v>37</v>
      </c>
      <c r="P721" s="10" t="s">
        <v>1998</v>
      </c>
      <c r="Q721" s="13"/>
      <c r="R721" s="13"/>
      <c r="S721" s="13"/>
      <c r="T721" s="13"/>
      <c r="U721" s="13"/>
      <c r="V721" s="13"/>
      <c r="W721" s="16"/>
      <c r="X721" s="13"/>
    </row>
    <row r="722" ht="14.25" customHeight="1">
      <c r="A722" s="10" t="s">
        <v>1928</v>
      </c>
      <c r="B722" s="10" t="s">
        <v>31</v>
      </c>
      <c r="C722" s="10">
        <v>724.0</v>
      </c>
      <c r="D722" s="11" t="s">
        <v>2001</v>
      </c>
      <c r="E722" s="11" t="s">
        <v>2002</v>
      </c>
      <c r="F722" s="11" t="s">
        <v>471</v>
      </c>
      <c r="G722" s="10">
        <v>724.0</v>
      </c>
      <c r="H722" s="10">
        <f>VLOOKUP(F722,'Generos y Familia'!$A$1:$C$623,2,FALSE)</f>
        <v>41</v>
      </c>
      <c r="I722" s="12" t="str">
        <f t="shared" si="1"/>
        <v>Meriania nobilis</v>
      </c>
      <c r="J722" s="10" t="str">
        <f t="shared" si="2"/>
        <v>724 Meriania nobilis</v>
      </c>
      <c r="K722" s="10" t="str">
        <f t="shared" si="3"/>
        <v>Amarrabollo; Amarraboyo</v>
      </c>
      <c r="L722" s="10" t="str">
        <f t="shared" si="4"/>
        <v>724 Amarrabollo; Amarraboyo</v>
      </c>
      <c r="M722" s="10" t="s">
        <v>35</v>
      </c>
      <c r="N722" s="10" t="s">
        <v>36</v>
      </c>
      <c r="O722" s="10" t="s">
        <v>37</v>
      </c>
      <c r="P722" s="10" t="s">
        <v>2003</v>
      </c>
      <c r="Q722" s="17" t="s">
        <v>145</v>
      </c>
      <c r="R722" s="14" t="s">
        <v>39</v>
      </c>
      <c r="S722" s="17" t="s">
        <v>229</v>
      </c>
      <c r="T722" s="14" t="s">
        <v>39</v>
      </c>
      <c r="U722" s="14" t="s">
        <v>73</v>
      </c>
      <c r="V722" s="14"/>
      <c r="W722" s="18"/>
      <c r="X722" s="14"/>
    </row>
    <row r="723" ht="14.25" customHeight="1">
      <c r="A723" s="10" t="s">
        <v>1928</v>
      </c>
      <c r="B723" s="10" t="s">
        <v>63</v>
      </c>
      <c r="C723" s="10">
        <v>725.0</v>
      </c>
      <c r="D723" s="11" t="s">
        <v>2004</v>
      </c>
      <c r="E723" s="11" t="s">
        <v>2005</v>
      </c>
      <c r="F723" s="11" t="s">
        <v>158</v>
      </c>
      <c r="G723" s="10">
        <v>725.0</v>
      </c>
      <c r="H723" s="10">
        <f>VLOOKUP(F723,'Generos y Familia'!$A$1:$C$623,2,FALSE)</f>
        <v>35</v>
      </c>
      <c r="I723" s="12" t="str">
        <f t="shared" si="1"/>
        <v>Mespilodaphne veraguensis</v>
      </c>
      <c r="J723" s="10" t="str">
        <f t="shared" si="2"/>
        <v>725 Mespilodaphne veraguensis</v>
      </c>
      <c r="K723" s="10" t="str">
        <f t="shared" si="3"/>
        <v>Laurel Amarillo</v>
      </c>
      <c r="L723" s="10" t="str">
        <f t="shared" si="4"/>
        <v>725 Laurel Amarillo</v>
      </c>
      <c r="M723" s="10" t="s">
        <v>35</v>
      </c>
      <c r="N723" s="10" t="s">
        <v>36</v>
      </c>
      <c r="O723" s="10" t="s">
        <v>37</v>
      </c>
      <c r="P723" s="10" t="s">
        <v>2006</v>
      </c>
      <c r="Q723" s="13"/>
      <c r="R723" s="13"/>
      <c r="S723" s="13" t="s">
        <v>2007</v>
      </c>
      <c r="T723" s="13"/>
      <c r="U723" s="13"/>
      <c r="V723" s="13"/>
      <c r="W723" s="16"/>
      <c r="X723" s="13"/>
    </row>
    <row r="724" ht="14.25" customHeight="1">
      <c r="A724" s="10" t="s">
        <v>1928</v>
      </c>
      <c r="B724" s="10" t="s">
        <v>31</v>
      </c>
      <c r="C724" s="10">
        <v>726.0</v>
      </c>
      <c r="D724" s="11" t="s">
        <v>2008</v>
      </c>
      <c r="E724" s="11" t="s">
        <v>2009</v>
      </c>
      <c r="F724" s="11" t="s">
        <v>471</v>
      </c>
      <c r="G724" s="10">
        <v>726.0</v>
      </c>
      <c r="H724" s="10">
        <f>VLOOKUP(F724,'Generos y Familia'!$A$1:$C$623,2,FALSE)</f>
        <v>41</v>
      </c>
      <c r="I724" s="12" t="str">
        <f t="shared" si="1"/>
        <v>Miconia affinis</v>
      </c>
      <c r="J724" s="10" t="str">
        <f t="shared" si="2"/>
        <v>726 Miconia affinis</v>
      </c>
      <c r="K724" s="10" t="str">
        <f t="shared" si="3"/>
        <v>Zafiro; Migüito</v>
      </c>
      <c r="L724" s="10" t="str">
        <f t="shared" si="4"/>
        <v>726 Zafiro; Migüito</v>
      </c>
      <c r="M724" s="10" t="s">
        <v>35</v>
      </c>
      <c r="N724" s="10" t="s">
        <v>36</v>
      </c>
      <c r="O724" s="10" t="s">
        <v>37</v>
      </c>
      <c r="P724" s="10" t="s">
        <v>2010</v>
      </c>
      <c r="Q724" s="17" t="s">
        <v>632</v>
      </c>
      <c r="R724" s="14"/>
      <c r="S724" s="17" t="s">
        <v>145</v>
      </c>
      <c r="T724" s="14"/>
      <c r="U724" s="14" t="s">
        <v>40</v>
      </c>
      <c r="V724" s="14"/>
      <c r="W724" s="17"/>
      <c r="X724" s="14" t="s">
        <v>41</v>
      </c>
    </row>
    <row r="725" ht="14.25" customHeight="1">
      <c r="A725" s="10" t="s">
        <v>1928</v>
      </c>
      <c r="B725" s="10" t="s">
        <v>31</v>
      </c>
      <c r="C725" s="10">
        <v>727.0</v>
      </c>
      <c r="D725" s="11" t="s">
        <v>2011</v>
      </c>
      <c r="E725" s="11" t="s">
        <v>2012</v>
      </c>
      <c r="F725" s="11" t="s">
        <v>471</v>
      </c>
      <c r="G725" s="10">
        <v>727.0</v>
      </c>
      <c r="H725" s="10">
        <f>VLOOKUP(F725,'Generos y Familia'!$A$1:$C$623,2,FALSE)</f>
        <v>41</v>
      </c>
      <c r="I725" s="12" t="str">
        <f t="shared" si="1"/>
        <v>Miconia albicans</v>
      </c>
      <c r="J725" s="10" t="str">
        <f t="shared" si="2"/>
        <v>727 Miconia albicans</v>
      </c>
      <c r="K725" s="10" t="str">
        <f t="shared" si="3"/>
        <v>Miconia; Mortiño; Cenizo</v>
      </c>
      <c r="L725" s="10" t="str">
        <f t="shared" si="4"/>
        <v>727 Miconia; Mortiño; Cenizo</v>
      </c>
      <c r="M725" s="10" t="s">
        <v>35</v>
      </c>
      <c r="N725" s="10" t="s">
        <v>36</v>
      </c>
      <c r="O725" s="10" t="s">
        <v>47</v>
      </c>
      <c r="P725" s="10" t="s">
        <v>2010</v>
      </c>
      <c r="Q725" s="13"/>
      <c r="R725" s="13"/>
      <c r="S725" s="13"/>
      <c r="T725" s="13"/>
      <c r="U725" s="13"/>
      <c r="V725" s="13"/>
      <c r="W725" s="13"/>
      <c r="X725" s="13"/>
    </row>
    <row r="726" ht="14.25" customHeight="1">
      <c r="A726" s="10" t="s">
        <v>1928</v>
      </c>
      <c r="B726" s="10" t="s">
        <v>31</v>
      </c>
      <c r="C726" s="10">
        <v>728.0</v>
      </c>
      <c r="D726" s="11" t="s">
        <v>2013</v>
      </c>
      <c r="E726" s="11" t="s">
        <v>2014</v>
      </c>
      <c r="F726" s="11" t="s">
        <v>471</v>
      </c>
      <c r="G726" s="10">
        <v>728.0</v>
      </c>
      <c r="H726" s="10">
        <f>VLOOKUP(F726,'Generos y Familia'!$A$1:$C$623,2,FALSE)</f>
        <v>41</v>
      </c>
      <c r="I726" s="12" t="str">
        <f t="shared" si="1"/>
        <v>Miconia argentea</v>
      </c>
      <c r="J726" s="10" t="str">
        <f t="shared" si="2"/>
        <v>728 Miconia argentea</v>
      </c>
      <c r="K726" s="10" t="str">
        <f t="shared" si="3"/>
        <v>Miconia; Capulincillo</v>
      </c>
      <c r="L726" s="10" t="str">
        <f t="shared" si="4"/>
        <v>728 Miconia; Capulincillo</v>
      </c>
      <c r="M726" s="10" t="s">
        <v>35</v>
      </c>
      <c r="N726" s="10" t="s">
        <v>36</v>
      </c>
      <c r="O726" s="10" t="s">
        <v>47</v>
      </c>
      <c r="P726" s="10" t="s">
        <v>2010</v>
      </c>
      <c r="Q726" s="13"/>
      <c r="R726" s="13"/>
      <c r="S726" s="13"/>
      <c r="T726" s="13"/>
      <c r="U726" s="13"/>
      <c r="V726" s="13"/>
      <c r="W726" s="16"/>
      <c r="X726" s="13"/>
    </row>
    <row r="727" ht="14.25" customHeight="1">
      <c r="A727" s="10" t="s">
        <v>1928</v>
      </c>
      <c r="B727" s="10" t="s">
        <v>31</v>
      </c>
      <c r="C727" s="10">
        <v>729.0</v>
      </c>
      <c r="D727" s="11" t="s">
        <v>2015</v>
      </c>
      <c r="E727" s="11" t="s">
        <v>2016</v>
      </c>
      <c r="F727" s="11" t="s">
        <v>471</v>
      </c>
      <c r="G727" s="10">
        <v>729.0</v>
      </c>
      <c r="H727" s="10">
        <f>VLOOKUP(F727,'Generos y Familia'!$A$1:$C$623,2,FALSE)</f>
        <v>41</v>
      </c>
      <c r="I727" s="12" t="str">
        <f t="shared" si="1"/>
        <v>Miconia caudata</v>
      </c>
      <c r="J727" s="10" t="str">
        <f t="shared" si="2"/>
        <v>729 Miconia caudata</v>
      </c>
      <c r="K727" s="10" t="str">
        <f t="shared" si="3"/>
        <v>Hoja de Lanza; Punta Lanza</v>
      </c>
      <c r="L727" s="10" t="str">
        <f t="shared" si="4"/>
        <v>729 Hoja de Lanza; Punta Lanza</v>
      </c>
      <c r="M727" s="10" t="s">
        <v>35</v>
      </c>
      <c r="N727" s="10" t="s">
        <v>36</v>
      </c>
      <c r="O727" s="10" t="s">
        <v>37</v>
      </c>
      <c r="P727" s="10" t="s">
        <v>2010</v>
      </c>
      <c r="Q727" s="13"/>
      <c r="R727" s="13"/>
      <c r="S727" s="13"/>
      <c r="T727" s="13"/>
      <c r="U727" s="13"/>
      <c r="V727" s="13"/>
      <c r="W727" s="13"/>
      <c r="X727" s="13"/>
    </row>
    <row r="728" ht="14.25" customHeight="1">
      <c r="A728" s="10" t="s">
        <v>1928</v>
      </c>
      <c r="B728" s="10" t="s">
        <v>31</v>
      </c>
      <c r="C728" s="10">
        <v>730.0</v>
      </c>
      <c r="D728" s="11" t="s">
        <v>2017</v>
      </c>
      <c r="E728" s="11" t="s">
        <v>2018</v>
      </c>
      <c r="F728" s="11" t="s">
        <v>471</v>
      </c>
      <c r="G728" s="10">
        <v>730.0</v>
      </c>
      <c r="H728" s="10">
        <f>VLOOKUP(F728,'Generos y Familia'!$A$1:$C$623,2,FALSE)</f>
        <v>41</v>
      </c>
      <c r="I728" s="12" t="str">
        <f t="shared" si="1"/>
        <v>Miconia dodecandra</v>
      </c>
      <c r="J728" s="10" t="str">
        <f t="shared" si="2"/>
        <v>730 Miconia dodecandra</v>
      </c>
      <c r="K728" s="10" t="str">
        <f t="shared" si="3"/>
        <v>Cuatrofilos; Tuno</v>
      </c>
      <c r="L728" s="10" t="str">
        <f t="shared" si="4"/>
        <v>730 Cuatrofilos; Tuno</v>
      </c>
      <c r="M728" s="10" t="s">
        <v>35</v>
      </c>
      <c r="N728" s="10" t="s">
        <v>36</v>
      </c>
      <c r="O728" s="10" t="s">
        <v>47</v>
      </c>
      <c r="P728" s="10" t="s">
        <v>2010</v>
      </c>
      <c r="Q728" s="13"/>
      <c r="R728" s="13"/>
      <c r="S728" s="13"/>
      <c r="T728" s="13"/>
      <c r="U728" s="13"/>
      <c r="V728" s="13"/>
      <c r="W728" s="13"/>
      <c r="X728" s="13"/>
    </row>
    <row r="729" ht="14.25" customHeight="1">
      <c r="A729" s="10" t="s">
        <v>1928</v>
      </c>
      <c r="B729" s="10" t="s">
        <v>31</v>
      </c>
      <c r="C729" s="10">
        <v>731.0</v>
      </c>
      <c r="D729" s="11" t="s">
        <v>2019</v>
      </c>
      <c r="E729" s="11" t="s">
        <v>2020</v>
      </c>
      <c r="F729" s="11" t="s">
        <v>471</v>
      </c>
      <c r="G729" s="10">
        <v>731.0</v>
      </c>
      <c r="H729" s="10">
        <f>VLOOKUP(F729,'Generos y Familia'!$A$1:$C$623,2,FALSE)</f>
        <v>41</v>
      </c>
      <c r="I729" s="12" t="str">
        <f t="shared" si="1"/>
        <v>Miconia elata</v>
      </c>
      <c r="J729" s="10" t="str">
        <f t="shared" si="2"/>
        <v>731 Miconia elata</v>
      </c>
      <c r="K729" s="10" t="str">
        <f t="shared" si="3"/>
        <v>Tuno; Mortiño Negro; Macanillo</v>
      </c>
      <c r="L729" s="10" t="str">
        <f t="shared" si="4"/>
        <v>731 Tuno; Mortiño Negro; Macanillo</v>
      </c>
      <c r="M729" s="10" t="s">
        <v>35</v>
      </c>
      <c r="N729" s="10" t="s">
        <v>36</v>
      </c>
      <c r="O729" s="10" t="s">
        <v>47</v>
      </c>
      <c r="P729" s="10" t="s">
        <v>2010</v>
      </c>
      <c r="Q729" s="13"/>
      <c r="R729" s="13"/>
      <c r="S729" s="13"/>
      <c r="T729" s="13"/>
      <c r="U729" s="13"/>
      <c r="V729" s="13"/>
      <c r="W729" s="13"/>
      <c r="X729" s="13"/>
    </row>
    <row r="730" ht="14.25" customHeight="1">
      <c r="A730" s="10" t="s">
        <v>1928</v>
      </c>
      <c r="B730" s="10" t="s">
        <v>31</v>
      </c>
      <c r="C730" s="10">
        <v>732.0</v>
      </c>
      <c r="D730" s="11" t="s">
        <v>2021</v>
      </c>
      <c r="E730" s="11" t="s">
        <v>2022</v>
      </c>
      <c r="F730" s="11" t="s">
        <v>471</v>
      </c>
      <c r="G730" s="10">
        <v>732.0</v>
      </c>
      <c r="H730" s="10">
        <f>VLOOKUP(F730,'Generos y Familia'!$A$1:$C$623,2,FALSE)</f>
        <v>41</v>
      </c>
      <c r="I730" s="12" t="str">
        <f t="shared" si="1"/>
        <v>Miconia ibaguensis</v>
      </c>
      <c r="J730" s="10" t="str">
        <f t="shared" si="2"/>
        <v>732 Miconia ibaguensis</v>
      </c>
      <c r="K730" s="10" t="str">
        <f t="shared" si="3"/>
        <v>Miconia; Nigüito; Mortiño</v>
      </c>
      <c r="L730" s="10" t="str">
        <f t="shared" si="4"/>
        <v>732 Miconia; Nigüito; Mortiño</v>
      </c>
      <c r="M730" s="10" t="s">
        <v>35</v>
      </c>
      <c r="N730" s="10" t="s">
        <v>36</v>
      </c>
      <c r="O730" s="10" t="s">
        <v>47</v>
      </c>
      <c r="P730" s="10" t="s">
        <v>2010</v>
      </c>
      <c r="Q730" s="13"/>
      <c r="R730" s="13"/>
      <c r="S730" s="13"/>
      <c r="T730" s="13"/>
      <c r="U730" s="13"/>
      <c r="V730" s="13"/>
      <c r="W730" s="13"/>
      <c r="X730" s="13"/>
    </row>
    <row r="731" ht="14.25" customHeight="1">
      <c r="A731" s="10" t="s">
        <v>1928</v>
      </c>
      <c r="B731" s="10" t="s">
        <v>31</v>
      </c>
      <c r="C731" s="10">
        <v>733.0</v>
      </c>
      <c r="D731" s="11" t="s">
        <v>2023</v>
      </c>
      <c r="E731" s="11" t="s">
        <v>2024</v>
      </c>
      <c r="F731" s="11" t="s">
        <v>471</v>
      </c>
      <c r="G731" s="10">
        <v>733.0</v>
      </c>
      <c r="H731" s="10">
        <f>VLOOKUP(F731,'Generos y Familia'!$A$1:$C$623,2,FALSE)</f>
        <v>41</v>
      </c>
      <c r="I731" s="12" t="str">
        <f t="shared" si="1"/>
        <v>Miconia laevigata</v>
      </c>
      <c r="J731" s="10" t="str">
        <f t="shared" si="2"/>
        <v>733 Miconia laevigata</v>
      </c>
      <c r="K731" s="10" t="str">
        <f t="shared" si="3"/>
        <v>Miconia; Pajarito</v>
      </c>
      <c r="L731" s="10" t="str">
        <f t="shared" si="4"/>
        <v>733 Miconia; Pajarito</v>
      </c>
      <c r="M731" s="10" t="s">
        <v>35</v>
      </c>
      <c r="N731" s="10" t="s">
        <v>36</v>
      </c>
      <c r="O731" s="10" t="s">
        <v>47</v>
      </c>
      <c r="P731" s="10" t="s">
        <v>2010</v>
      </c>
      <c r="Q731" s="17" t="s">
        <v>632</v>
      </c>
      <c r="R731" s="14"/>
      <c r="S731" s="17" t="s">
        <v>106</v>
      </c>
      <c r="T731" s="14"/>
      <c r="U731" s="14" t="s">
        <v>55</v>
      </c>
      <c r="V731" s="14"/>
      <c r="W731" s="18"/>
      <c r="X731" s="14" t="s">
        <v>41</v>
      </c>
    </row>
    <row r="732" ht="14.25" customHeight="1">
      <c r="A732" s="10" t="s">
        <v>1928</v>
      </c>
      <c r="B732" s="10" t="s">
        <v>31</v>
      </c>
      <c r="C732" s="10">
        <v>734.0</v>
      </c>
      <c r="D732" s="11" t="s">
        <v>2025</v>
      </c>
      <c r="E732" s="11" t="s">
        <v>2026</v>
      </c>
      <c r="F732" s="11" t="s">
        <v>471</v>
      </c>
      <c r="G732" s="10">
        <v>734.0</v>
      </c>
      <c r="H732" s="10">
        <f>VLOOKUP(F732,'Generos y Familia'!$A$1:$C$623,2,FALSE)</f>
        <v>41</v>
      </c>
      <c r="I732" s="12" t="str">
        <f t="shared" si="1"/>
        <v>Miconia ligustroides</v>
      </c>
      <c r="J732" s="10" t="str">
        <f t="shared" si="2"/>
        <v>734 Miconia ligustroides</v>
      </c>
      <c r="K732" s="10" t="str">
        <f t="shared" si="3"/>
        <v>Miconia Ligustroides</v>
      </c>
      <c r="L732" s="10" t="str">
        <f t="shared" si="4"/>
        <v>734 Miconia Ligustroides</v>
      </c>
      <c r="M732" s="10" t="s">
        <v>46</v>
      </c>
      <c r="N732" s="10" t="s">
        <v>28</v>
      </c>
      <c r="O732" s="10" t="s">
        <v>47</v>
      </c>
      <c r="P732" s="10" t="s">
        <v>2010</v>
      </c>
      <c r="Q732" s="13"/>
      <c r="R732" s="13"/>
      <c r="S732" s="13"/>
      <c r="T732" s="13"/>
      <c r="U732" s="13"/>
      <c r="V732" s="13"/>
      <c r="W732" s="16"/>
      <c r="X732" s="13"/>
    </row>
    <row r="733" ht="14.25" customHeight="1">
      <c r="A733" s="10" t="s">
        <v>1928</v>
      </c>
      <c r="B733" s="10" t="s">
        <v>31</v>
      </c>
      <c r="C733" s="10">
        <v>735.0</v>
      </c>
      <c r="D733" s="11" t="s">
        <v>2027</v>
      </c>
      <c r="E733" s="11" t="s">
        <v>2028</v>
      </c>
      <c r="F733" s="11" t="s">
        <v>471</v>
      </c>
      <c r="G733" s="10">
        <v>735.0</v>
      </c>
      <c r="H733" s="10">
        <f>VLOOKUP(F733,'Generos y Familia'!$A$1:$C$623,2,FALSE)</f>
        <v>41</v>
      </c>
      <c r="I733" s="12" t="str">
        <f t="shared" si="1"/>
        <v>Miconia minutiflora</v>
      </c>
      <c r="J733" s="10" t="str">
        <f t="shared" si="2"/>
        <v>735 Miconia minutiflora</v>
      </c>
      <c r="K733" s="10" t="str">
        <f t="shared" si="3"/>
        <v>Nigüito (Minutiflora); Tuno; Mortiño</v>
      </c>
      <c r="L733" s="10" t="str">
        <f t="shared" si="4"/>
        <v>735 Nigüito (Minutiflora); Tuno; Mortiño</v>
      </c>
      <c r="M733" s="10" t="s">
        <v>35</v>
      </c>
      <c r="N733" s="10" t="s">
        <v>36</v>
      </c>
      <c r="O733" s="10" t="s">
        <v>47</v>
      </c>
      <c r="P733" s="10" t="s">
        <v>2010</v>
      </c>
      <c r="Q733" s="13"/>
      <c r="R733" s="13"/>
      <c r="S733" s="13"/>
      <c r="T733" s="13"/>
      <c r="U733" s="13"/>
      <c r="V733" s="13"/>
      <c r="W733" s="16"/>
      <c r="X733" s="13"/>
    </row>
    <row r="734" ht="14.25" customHeight="1">
      <c r="A734" s="10" t="s">
        <v>1928</v>
      </c>
      <c r="B734" s="10" t="s">
        <v>31</v>
      </c>
      <c r="C734" s="10">
        <v>736.0</v>
      </c>
      <c r="D734" s="11" t="s">
        <v>2029</v>
      </c>
      <c r="E734" s="11" t="s">
        <v>2030</v>
      </c>
      <c r="F734" s="11" t="s">
        <v>471</v>
      </c>
      <c r="G734" s="10">
        <v>736.0</v>
      </c>
      <c r="H734" s="10">
        <f>VLOOKUP(F734,'Generos y Familia'!$A$1:$C$623,2,FALSE)</f>
        <v>41</v>
      </c>
      <c r="I734" s="12" t="str">
        <f t="shared" si="1"/>
        <v>Miconia mirabilis</v>
      </c>
      <c r="J734" s="10" t="str">
        <f t="shared" si="2"/>
        <v>736 Miconia mirabilis</v>
      </c>
      <c r="K734" s="10" t="str">
        <f t="shared" si="3"/>
        <v>Nigüito</v>
      </c>
      <c r="L734" s="10" t="str">
        <f t="shared" si="4"/>
        <v>736 Nigüito</v>
      </c>
      <c r="M734" s="10" t="s">
        <v>35</v>
      </c>
      <c r="N734" s="10" t="s">
        <v>36</v>
      </c>
      <c r="O734" s="10" t="s">
        <v>47</v>
      </c>
      <c r="P734" s="10" t="s">
        <v>2010</v>
      </c>
      <c r="Q734" s="13"/>
      <c r="R734" s="13"/>
      <c r="S734" s="13"/>
      <c r="T734" s="13"/>
      <c r="U734" s="13"/>
      <c r="V734" s="13"/>
      <c r="W734" s="16"/>
      <c r="X734" s="13"/>
    </row>
    <row r="735" ht="14.25" customHeight="1">
      <c r="A735" s="10" t="s">
        <v>1928</v>
      </c>
      <c r="B735" s="10" t="s">
        <v>31</v>
      </c>
      <c r="C735" s="10">
        <v>737.0</v>
      </c>
      <c r="D735" s="11" t="s">
        <v>2031</v>
      </c>
      <c r="E735" s="11" t="s">
        <v>2032</v>
      </c>
      <c r="F735" s="11" t="s">
        <v>471</v>
      </c>
      <c r="G735" s="10">
        <v>737.0</v>
      </c>
      <c r="H735" s="10">
        <f>VLOOKUP(F735,'Generos y Familia'!$A$1:$C$623,2,FALSE)</f>
        <v>41</v>
      </c>
      <c r="I735" s="12" t="str">
        <f t="shared" si="1"/>
        <v>Miconia multiflora</v>
      </c>
      <c r="J735" s="10" t="str">
        <f t="shared" si="2"/>
        <v>737 Miconia multiflora</v>
      </c>
      <c r="K735" s="10" t="str">
        <f t="shared" si="3"/>
        <v>Niguito; Teñidor</v>
      </c>
      <c r="L735" s="10" t="str">
        <f t="shared" si="4"/>
        <v>737 Niguito; Teñidor</v>
      </c>
      <c r="M735" s="10" t="s">
        <v>35</v>
      </c>
      <c r="N735" s="10" t="s">
        <v>36</v>
      </c>
      <c r="O735" s="10" t="s">
        <v>47</v>
      </c>
      <c r="P735" s="10" t="s">
        <v>2010</v>
      </c>
      <c r="Q735" s="13"/>
      <c r="R735" s="13"/>
      <c r="S735" s="13"/>
      <c r="T735" s="13"/>
      <c r="U735" s="13"/>
      <c r="V735" s="13"/>
      <c r="W735" s="16"/>
      <c r="X735" s="13"/>
    </row>
    <row r="736" ht="14.25" customHeight="1">
      <c r="A736" s="10" t="s">
        <v>1928</v>
      </c>
      <c r="B736" s="10" t="s">
        <v>31</v>
      </c>
      <c r="C736" s="10">
        <v>738.0</v>
      </c>
      <c r="D736" s="11" t="s">
        <v>2033</v>
      </c>
      <c r="E736" s="11" t="s">
        <v>2034</v>
      </c>
      <c r="F736" s="11" t="s">
        <v>471</v>
      </c>
      <c r="G736" s="10">
        <v>738.0</v>
      </c>
      <c r="H736" s="10">
        <f>VLOOKUP(F736,'Generos y Familia'!$A$1:$C$623,2,FALSE)</f>
        <v>41</v>
      </c>
      <c r="I736" s="12" t="str">
        <f t="shared" si="1"/>
        <v>Miconia notabilis</v>
      </c>
      <c r="J736" s="10" t="str">
        <f t="shared" si="2"/>
        <v>738 Miconia notabilis</v>
      </c>
      <c r="K736" s="10" t="str">
        <f t="shared" si="3"/>
        <v>Mortiño Blanco; Florentino; Mortiño; Huesito</v>
      </c>
      <c r="L736" s="10" t="str">
        <f t="shared" si="4"/>
        <v>738 Mortiño Blanco; Florentino; Mortiño; Huesito</v>
      </c>
      <c r="M736" s="10" t="s">
        <v>35</v>
      </c>
      <c r="N736" s="10" t="s">
        <v>36</v>
      </c>
      <c r="O736" s="10" t="s">
        <v>47</v>
      </c>
      <c r="P736" s="10" t="s">
        <v>2010</v>
      </c>
      <c r="Q736" s="17" t="s">
        <v>612</v>
      </c>
      <c r="R736" s="14" t="s">
        <v>39</v>
      </c>
      <c r="S736" s="17" t="s">
        <v>229</v>
      </c>
      <c r="T736" s="14"/>
      <c r="U736" s="14" t="s">
        <v>40</v>
      </c>
      <c r="V736" s="14"/>
      <c r="W736" s="17"/>
      <c r="X736" s="14" t="s">
        <v>41</v>
      </c>
    </row>
    <row r="737" ht="14.25" customHeight="1">
      <c r="A737" s="10" t="s">
        <v>1928</v>
      </c>
      <c r="B737" s="10" t="s">
        <v>31</v>
      </c>
      <c r="C737" s="10">
        <v>739.0</v>
      </c>
      <c r="D737" s="11" t="s">
        <v>2035</v>
      </c>
      <c r="E737" s="11" t="s">
        <v>2036</v>
      </c>
      <c r="F737" s="11" t="s">
        <v>471</v>
      </c>
      <c r="G737" s="10">
        <v>739.0</v>
      </c>
      <c r="H737" s="10">
        <f>VLOOKUP(F737,'Generos y Familia'!$A$1:$C$623,2,FALSE)</f>
        <v>41</v>
      </c>
      <c r="I737" s="12" t="str">
        <f t="shared" si="1"/>
        <v>Miconia resima</v>
      </c>
      <c r="J737" s="10" t="str">
        <f t="shared" si="2"/>
        <v>739 Miconia resima</v>
      </c>
      <c r="K737" s="10" t="str">
        <f t="shared" si="3"/>
        <v>Niguito; Tuno Negro</v>
      </c>
      <c r="L737" s="10" t="str">
        <f t="shared" si="4"/>
        <v>739 Niguito; Tuno Negro</v>
      </c>
      <c r="M737" s="10" t="s">
        <v>35</v>
      </c>
      <c r="N737" s="10" t="s">
        <v>36</v>
      </c>
      <c r="O737" s="10" t="s">
        <v>47</v>
      </c>
      <c r="P737" s="10" t="s">
        <v>2010</v>
      </c>
      <c r="Q737" s="13"/>
      <c r="R737" s="13"/>
      <c r="S737" s="13"/>
      <c r="T737" s="13"/>
      <c r="U737" s="13"/>
      <c r="V737" s="13"/>
      <c r="W737" s="13"/>
      <c r="X737" s="13"/>
    </row>
    <row r="738" ht="14.25" customHeight="1">
      <c r="A738" s="10" t="s">
        <v>1928</v>
      </c>
      <c r="B738" s="10" t="s">
        <v>31</v>
      </c>
      <c r="C738" s="10">
        <v>740.0</v>
      </c>
      <c r="D738" s="11" t="s">
        <v>2037</v>
      </c>
      <c r="E738" s="11" t="s">
        <v>2038</v>
      </c>
      <c r="F738" s="11" t="s">
        <v>471</v>
      </c>
      <c r="G738" s="10">
        <v>740.0</v>
      </c>
      <c r="H738" s="10">
        <f>VLOOKUP(F738,'Generos y Familia'!$A$1:$C$623,2,FALSE)</f>
        <v>41</v>
      </c>
      <c r="I738" s="12" t="str">
        <f t="shared" si="1"/>
        <v>Miconia serrulata</v>
      </c>
      <c r="J738" s="10" t="str">
        <f t="shared" si="2"/>
        <v>740 Miconia serrulata</v>
      </c>
      <c r="K738" s="10" t="str">
        <f t="shared" si="3"/>
        <v>Tabaida; Tuno Rosado; Mortiño</v>
      </c>
      <c r="L738" s="10" t="str">
        <f t="shared" si="4"/>
        <v>740 Tabaida; Tuno Rosado; Mortiño</v>
      </c>
      <c r="M738" s="10" t="s">
        <v>35</v>
      </c>
      <c r="N738" s="10" t="s">
        <v>36</v>
      </c>
      <c r="O738" s="10" t="s">
        <v>47</v>
      </c>
      <c r="P738" s="10" t="s">
        <v>2010</v>
      </c>
      <c r="Q738" s="13"/>
      <c r="R738" s="13"/>
      <c r="S738" s="13"/>
      <c r="T738" s="13"/>
      <c r="U738" s="13"/>
      <c r="V738" s="13"/>
      <c r="W738" s="13"/>
      <c r="X738" s="13"/>
    </row>
    <row r="739" ht="14.25" customHeight="1">
      <c r="A739" s="10" t="s">
        <v>1928</v>
      </c>
      <c r="B739" s="10" t="s">
        <v>31</v>
      </c>
      <c r="C739" s="10">
        <v>742.0</v>
      </c>
      <c r="D739" s="11" t="s">
        <v>2039</v>
      </c>
      <c r="E739" s="11" t="s">
        <v>2040</v>
      </c>
      <c r="F739" s="11" t="s">
        <v>471</v>
      </c>
      <c r="G739" s="10">
        <v>742.0</v>
      </c>
      <c r="H739" s="10">
        <f>VLOOKUP(F739,'Generos y Familia'!$A$1:$C$623,2,FALSE)</f>
        <v>41</v>
      </c>
      <c r="I739" s="12" t="str">
        <f t="shared" si="1"/>
        <v>Miconia theaezans</v>
      </c>
      <c r="J739" s="10" t="str">
        <f t="shared" si="2"/>
        <v>742 Miconia theaezans</v>
      </c>
      <c r="K739" s="10" t="str">
        <f t="shared" si="3"/>
        <v>Amaillo; Cántaro; Mortiño</v>
      </c>
      <c r="L739" s="10" t="str">
        <f t="shared" si="4"/>
        <v>742 Amaillo; Cántaro; Mortiño</v>
      </c>
      <c r="M739" s="10" t="s">
        <v>35</v>
      </c>
      <c r="N739" s="10" t="s">
        <v>36</v>
      </c>
      <c r="O739" s="10" t="s">
        <v>47</v>
      </c>
      <c r="P739" s="10" t="s">
        <v>2010</v>
      </c>
      <c r="Q739" s="17" t="s">
        <v>347</v>
      </c>
      <c r="R739" s="14"/>
      <c r="S739" s="17" t="s">
        <v>145</v>
      </c>
      <c r="T739" s="14"/>
      <c r="U739" s="14" t="s">
        <v>40</v>
      </c>
      <c r="V739" s="14"/>
      <c r="W739" s="17"/>
      <c r="X739" s="14" t="s">
        <v>41</v>
      </c>
    </row>
    <row r="740" ht="14.25" customHeight="1">
      <c r="A740" s="10" t="s">
        <v>1928</v>
      </c>
      <c r="B740" s="10" t="s">
        <v>31</v>
      </c>
      <c r="C740" s="10">
        <v>743.0</v>
      </c>
      <c r="D740" s="11" t="s">
        <v>2041</v>
      </c>
      <c r="E740" s="11" t="s">
        <v>2030</v>
      </c>
      <c r="F740" s="11" t="s">
        <v>471</v>
      </c>
      <c r="G740" s="10">
        <v>743.0</v>
      </c>
      <c r="H740" s="10">
        <f>VLOOKUP(F740,'Generos y Familia'!$A$1:$C$623,2,FALSE)</f>
        <v>41</v>
      </c>
      <c r="I740" s="12" t="str">
        <f t="shared" si="1"/>
        <v>Miconia tinifolia</v>
      </c>
      <c r="J740" s="10" t="str">
        <f t="shared" si="2"/>
        <v>743 Miconia tinifolia</v>
      </c>
      <c r="K740" s="10" t="str">
        <f t="shared" si="3"/>
        <v>Nigüito</v>
      </c>
      <c r="L740" s="10" t="str">
        <f t="shared" si="4"/>
        <v>743 Nigüito</v>
      </c>
      <c r="M740" s="10" t="s">
        <v>35</v>
      </c>
      <c r="N740" s="10" t="s">
        <v>36</v>
      </c>
      <c r="O740" s="10" t="s">
        <v>47</v>
      </c>
      <c r="P740" s="10" t="s">
        <v>2010</v>
      </c>
      <c r="Q740" s="13"/>
      <c r="R740" s="13"/>
      <c r="S740" s="13"/>
      <c r="T740" s="13"/>
      <c r="U740" s="13"/>
      <c r="V740" s="13"/>
      <c r="W740" s="13"/>
      <c r="X740" s="13"/>
    </row>
    <row r="741" ht="14.25" customHeight="1">
      <c r="A741" s="10" t="s">
        <v>1928</v>
      </c>
      <c r="B741" s="10" t="s">
        <v>31</v>
      </c>
      <c r="C741" s="10">
        <v>744.0</v>
      </c>
      <c r="D741" s="11" t="s">
        <v>2042</v>
      </c>
      <c r="E741" s="11" t="s">
        <v>2043</v>
      </c>
      <c r="F741" s="11" t="s">
        <v>362</v>
      </c>
      <c r="G741" s="10">
        <v>744.0</v>
      </c>
      <c r="H741" s="10">
        <f>VLOOKUP(F741,'Generos y Familia'!$A$1:$C$623,2,FALSE)</f>
        <v>17</v>
      </c>
      <c r="I741" s="12" t="str">
        <f t="shared" si="1"/>
        <v>Mikania micrantha</v>
      </c>
      <c r="J741" s="10" t="str">
        <f t="shared" si="2"/>
        <v>744 Mikania micrantha</v>
      </c>
      <c r="K741" s="10" t="str">
        <f t="shared" si="3"/>
        <v>Bejuco de Criatura; Guaquito; Cernilla</v>
      </c>
      <c r="L741" s="10" t="str">
        <f t="shared" si="4"/>
        <v>744 Bejuco de Criatura; Guaquito; Cernilla</v>
      </c>
      <c r="M741" s="10" t="s">
        <v>35</v>
      </c>
      <c r="N741" s="10" t="s">
        <v>36</v>
      </c>
      <c r="O741" s="10" t="s">
        <v>392</v>
      </c>
      <c r="P741" s="10" t="s">
        <v>2044</v>
      </c>
      <c r="Q741" s="13"/>
      <c r="R741" s="13"/>
      <c r="S741" s="13"/>
      <c r="T741" s="13"/>
      <c r="U741" s="13"/>
      <c r="V741" s="13"/>
      <c r="W741" s="13"/>
      <c r="X741" s="13"/>
    </row>
    <row r="742" ht="14.25" customHeight="1">
      <c r="A742" s="10" t="s">
        <v>1928</v>
      </c>
      <c r="B742" s="10" t="s">
        <v>31</v>
      </c>
      <c r="C742" s="10">
        <v>745.0</v>
      </c>
      <c r="D742" s="11" t="s">
        <v>2045</v>
      </c>
      <c r="E742" s="11" t="s">
        <v>2046</v>
      </c>
      <c r="F742" s="11" t="s">
        <v>34</v>
      </c>
      <c r="G742" s="10">
        <v>745.0</v>
      </c>
      <c r="H742" s="10">
        <f>VLOOKUP(F742,'Generos y Familia'!$A$1:$C$623,2,FALSE)</f>
        <v>27</v>
      </c>
      <c r="I742" s="12" t="str">
        <f t="shared" si="1"/>
        <v>Millettia pinnata</v>
      </c>
      <c r="J742" s="10" t="str">
        <f t="shared" si="2"/>
        <v>745 Millettia pinnata</v>
      </c>
      <c r="K742" s="10" t="str">
        <f t="shared" si="3"/>
        <v>Haba de la India; Pogam</v>
      </c>
      <c r="L742" s="10" t="str">
        <f t="shared" si="4"/>
        <v>745 Haba de la India; Pogam</v>
      </c>
      <c r="M742" s="10" t="s">
        <v>46</v>
      </c>
      <c r="N742" s="10" t="s">
        <v>28</v>
      </c>
      <c r="O742" s="10" t="s">
        <v>37</v>
      </c>
      <c r="P742" s="10" t="s">
        <v>2047</v>
      </c>
      <c r="Q742" s="13"/>
      <c r="R742" s="13"/>
      <c r="S742" s="13"/>
      <c r="T742" s="13"/>
      <c r="U742" s="13"/>
      <c r="V742" s="13"/>
      <c r="W742" s="13"/>
      <c r="X742" s="13"/>
    </row>
    <row r="743" ht="14.25" customHeight="1">
      <c r="A743" s="10" t="s">
        <v>1928</v>
      </c>
      <c r="B743" s="10" t="s">
        <v>31</v>
      </c>
      <c r="C743" s="10">
        <v>746.0</v>
      </c>
      <c r="D743" s="11" t="s">
        <v>2048</v>
      </c>
      <c r="E743" s="11" t="s">
        <v>2049</v>
      </c>
      <c r="F743" s="11" t="s">
        <v>34</v>
      </c>
      <c r="G743" s="10">
        <v>746.0</v>
      </c>
      <c r="H743" s="10">
        <f>VLOOKUP(F743,'Generos y Familia'!$A$1:$C$623,2,FALSE)</f>
        <v>27</v>
      </c>
      <c r="I743" s="12" t="str">
        <f t="shared" si="1"/>
        <v>Mimosa pigra</v>
      </c>
      <c r="J743" s="10" t="str">
        <f t="shared" si="2"/>
        <v>746 Mimosa pigra</v>
      </c>
      <c r="K743" s="10" t="str">
        <f t="shared" si="3"/>
        <v>Zarzón; Dormidera; Vergonzosa; Zarza Prieta</v>
      </c>
      <c r="L743" s="10" t="str">
        <f t="shared" si="4"/>
        <v>746 Zarzón; Dormidera; Vergonzosa; Zarza Prieta</v>
      </c>
      <c r="M743" s="10" t="s">
        <v>35</v>
      </c>
      <c r="N743" s="10" t="s">
        <v>36</v>
      </c>
      <c r="O743" s="10" t="s">
        <v>47</v>
      </c>
      <c r="P743" s="10" t="s">
        <v>2050</v>
      </c>
      <c r="Q743" s="13"/>
      <c r="R743" s="13"/>
      <c r="S743" s="13"/>
      <c r="T743" s="13"/>
      <c r="U743" s="13"/>
      <c r="V743" s="13"/>
      <c r="W743" s="13"/>
      <c r="X743" s="13"/>
    </row>
    <row r="744" ht="14.25" customHeight="1">
      <c r="A744" s="10" t="s">
        <v>1928</v>
      </c>
      <c r="B744" s="10" t="s">
        <v>31</v>
      </c>
      <c r="C744" s="10">
        <v>747.0</v>
      </c>
      <c r="D744" s="11" t="s">
        <v>2051</v>
      </c>
      <c r="E744" s="11" t="s">
        <v>2052</v>
      </c>
      <c r="F744" s="11" t="s">
        <v>34</v>
      </c>
      <c r="G744" s="10">
        <v>747.0</v>
      </c>
      <c r="H744" s="10">
        <f>VLOOKUP(F744,'Generos y Familia'!$A$1:$C$623,2,FALSE)</f>
        <v>27</v>
      </c>
      <c r="I744" s="12" t="str">
        <f t="shared" si="1"/>
        <v>Mimosa sp</v>
      </c>
      <c r="J744" s="10" t="str">
        <f t="shared" si="2"/>
        <v>747 Mimosa sp</v>
      </c>
      <c r="K744" s="10" t="str">
        <f t="shared" si="3"/>
        <v>Mimosa; Dormidera</v>
      </c>
      <c r="L744" s="10" t="str">
        <f t="shared" si="4"/>
        <v>747 Mimosa; Dormidera</v>
      </c>
      <c r="M744" s="10" t="s">
        <v>35</v>
      </c>
      <c r="N744" s="10" t="s">
        <v>36</v>
      </c>
      <c r="O744" s="10" t="s">
        <v>47</v>
      </c>
      <c r="P744" s="10" t="s">
        <v>2050</v>
      </c>
      <c r="Q744" s="13"/>
      <c r="R744" s="13"/>
      <c r="S744" s="13"/>
      <c r="T744" s="13"/>
      <c r="U744" s="13"/>
      <c r="V744" s="13"/>
      <c r="W744" s="16"/>
      <c r="X744" s="13"/>
    </row>
    <row r="745" ht="14.25" customHeight="1">
      <c r="A745" s="10" t="s">
        <v>1928</v>
      </c>
      <c r="B745" s="10" t="s">
        <v>31</v>
      </c>
      <c r="C745" s="10">
        <v>748.0</v>
      </c>
      <c r="D745" s="11" t="s">
        <v>2053</v>
      </c>
      <c r="E745" s="11" t="s">
        <v>2054</v>
      </c>
      <c r="F745" s="11" t="s">
        <v>2055</v>
      </c>
      <c r="G745" s="10">
        <v>748.0</v>
      </c>
      <c r="H745" s="10">
        <f>VLOOKUP(F745,'Generos y Familia'!$A$1:$C$623,2,FALSE)</f>
        <v>52</v>
      </c>
      <c r="I745" s="12" t="str">
        <f t="shared" si="1"/>
        <v>Minquartia guianensis</v>
      </c>
      <c r="J745" s="10" t="str">
        <f t="shared" si="2"/>
        <v>748 Minquartia guianensis</v>
      </c>
      <c r="K745" s="10" t="str">
        <f t="shared" si="3"/>
        <v>Punta de Candado; Punte; Oquendo; Melcocho</v>
      </c>
      <c r="L745" s="10" t="str">
        <f t="shared" si="4"/>
        <v>748 Punta de Candado; Punte; Oquendo; Melcocho</v>
      </c>
      <c r="M745" s="10" t="s">
        <v>35</v>
      </c>
      <c r="N745" s="10" t="s">
        <v>36</v>
      </c>
      <c r="O745" s="10" t="s">
        <v>37</v>
      </c>
      <c r="P745" s="10" t="s">
        <v>2056</v>
      </c>
      <c r="Q745" s="13"/>
      <c r="R745" s="13"/>
      <c r="S745" s="13"/>
      <c r="T745" s="13"/>
      <c r="U745" s="13"/>
      <c r="V745" s="13"/>
      <c r="W745" s="13"/>
      <c r="X745" s="13"/>
    </row>
    <row r="746" ht="14.25" customHeight="1">
      <c r="A746" s="10" t="s">
        <v>1928</v>
      </c>
      <c r="B746" s="10" t="s">
        <v>31</v>
      </c>
      <c r="C746" s="10">
        <v>749.0</v>
      </c>
      <c r="D746" s="11" t="s">
        <v>2057</v>
      </c>
      <c r="E746" s="11" t="s">
        <v>2058</v>
      </c>
      <c r="F746" s="11" t="s">
        <v>362</v>
      </c>
      <c r="G746" s="10">
        <v>749.0</v>
      </c>
      <c r="H746" s="10">
        <f>VLOOKUP(F746,'Generos y Familia'!$A$1:$C$623,2,FALSE)</f>
        <v>17</v>
      </c>
      <c r="I746" s="12" t="str">
        <f t="shared" si="1"/>
        <v>Montanoa quadrangularis</v>
      </c>
      <c r="J746" s="10" t="str">
        <f t="shared" si="2"/>
        <v>749 Montanoa quadrangularis</v>
      </c>
      <c r="K746" s="10" t="str">
        <f t="shared" si="3"/>
        <v>Arboloco; Pauche</v>
      </c>
      <c r="L746" s="10" t="str">
        <f t="shared" si="4"/>
        <v>749 Arboloco; Pauche</v>
      </c>
      <c r="M746" s="10" t="s">
        <v>35</v>
      </c>
      <c r="N746" s="10" t="s">
        <v>36</v>
      </c>
      <c r="O746" s="10" t="s">
        <v>37</v>
      </c>
      <c r="P746" s="10" t="s">
        <v>2059</v>
      </c>
      <c r="Q746" s="13"/>
      <c r="R746" s="13"/>
      <c r="S746" s="13"/>
      <c r="T746" s="13"/>
      <c r="U746" s="13"/>
      <c r="V746" s="13"/>
      <c r="W746" s="13"/>
      <c r="X746" s="13"/>
    </row>
    <row r="747" ht="14.25" customHeight="1">
      <c r="A747" s="10" t="s">
        <v>1928</v>
      </c>
      <c r="B747" s="10" t="s">
        <v>31</v>
      </c>
      <c r="C747" s="10">
        <v>750.0</v>
      </c>
      <c r="D747" s="11" t="s">
        <v>2060</v>
      </c>
      <c r="E747" s="11" t="s">
        <v>2061</v>
      </c>
      <c r="F747" s="11" t="s">
        <v>2062</v>
      </c>
      <c r="G747" s="10">
        <v>750.0</v>
      </c>
      <c r="H747" s="10">
        <f>VLOOKUP(F747,'Generos y Familia'!$A$1:$C$623,2,FALSE)</f>
        <v>46</v>
      </c>
      <c r="I747" s="12" t="str">
        <f t="shared" si="1"/>
        <v>Morella pubescens</v>
      </c>
      <c r="J747" s="10" t="str">
        <f t="shared" si="2"/>
        <v>750 Morella pubescens</v>
      </c>
      <c r="K747" s="10" t="str">
        <f t="shared" si="3"/>
        <v>Olivo de Cera; Laurel de Cera; Aromo; Laurel</v>
      </c>
      <c r="L747" s="10" t="str">
        <f t="shared" si="4"/>
        <v>750 Olivo de Cera; Laurel de Cera; Aromo; Laurel</v>
      </c>
      <c r="M747" s="10" t="s">
        <v>35</v>
      </c>
      <c r="N747" s="10" t="s">
        <v>36</v>
      </c>
      <c r="O747" s="10" t="s">
        <v>37</v>
      </c>
      <c r="P747" s="10" t="s">
        <v>2063</v>
      </c>
      <c r="Q747" s="17" t="s">
        <v>347</v>
      </c>
      <c r="R747" s="14" t="s">
        <v>39</v>
      </c>
      <c r="S747" s="17" t="s">
        <v>145</v>
      </c>
      <c r="T747" s="14"/>
      <c r="U747" s="14" t="s">
        <v>55</v>
      </c>
      <c r="V747" s="14"/>
      <c r="W747" s="18"/>
      <c r="X747" s="14" t="s">
        <v>41</v>
      </c>
    </row>
    <row r="748" ht="14.25" customHeight="1">
      <c r="A748" s="10" t="s">
        <v>1928</v>
      </c>
      <c r="B748" s="10" t="s">
        <v>31</v>
      </c>
      <c r="C748" s="10">
        <v>751.0</v>
      </c>
      <c r="D748" s="11" t="s">
        <v>2064</v>
      </c>
      <c r="E748" s="11" t="s">
        <v>2065</v>
      </c>
      <c r="F748" s="11" t="s">
        <v>310</v>
      </c>
      <c r="G748" s="10">
        <v>751.0</v>
      </c>
      <c r="H748" s="10">
        <f>VLOOKUP(F748,'Generos y Familia'!$A$1:$C$623,2,FALSE)</f>
        <v>79</v>
      </c>
      <c r="I748" s="12" t="str">
        <f t="shared" si="1"/>
        <v>Morinda citrifolia</v>
      </c>
      <c r="J748" s="10" t="str">
        <f t="shared" si="2"/>
        <v>751 Morinda citrifolia</v>
      </c>
      <c r="K748" s="10" t="str">
        <f t="shared" si="3"/>
        <v>Noni; Piñuela</v>
      </c>
      <c r="L748" s="10" t="str">
        <f t="shared" si="4"/>
        <v>751 Noni; Piñuela</v>
      </c>
      <c r="M748" s="10" t="s">
        <v>46</v>
      </c>
      <c r="N748" s="10" t="s">
        <v>36</v>
      </c>
      <c r="O748" s="10" t="s">
        <v>37</v>
      </c>
      <c r="P748" s="10" t="s">
        <v>2066</v>
      </c>
      <c r="Q748" s="13"/>
      <c r="R748" s="13"/>
      <c r="S748" s="13"/>
      <c r="T748" s="13"/>
      <c r="U748" s="13"/>
      <c r="V748" s="13"/>
      <c r="W748" s="16"/>
      <c r="X748" s="13"/>
    </row>
    <row r="749" ht="14.25" customHeight="1">
      <c r="A749" s="10" t="s">
        <v>1928</v>
      </c>
      <c r="B749" s="10" t="s">
        <v>31</v>
      </c>
      <c r="C749" s="10">
        <v>752.0</v>
      </c>
      <c r="D749" s="11" t="s">
        <v>2067</v>
      </c>
      <c r="E749" s="11" t="s">
        <v>2068</v>
      </c>
      <c r="F749" s="11" t="s">
        <v>2069</v>
      </c>
      <c r="G749" s="10">
        <v>752.0</v>
      </c>
      <c r="H749" s="10">
        <f>VLOOKUP(F749,'Generos y Familia'!$A$1:$C$623,2,FALSE)</f>
        <v>44</v>
      </c>
      <c r="I749" s="12" t="str">
        <f t="shared" si="1"/>
        <v>Moringa oleifera</v>
      </c>
      <c r="J749" s="10" t="str">
        <f t="shared" si="2"/>
        <v>752 Moringa oleifera</v>
      </c>
      <c r="K749" s="10" t="str">
        <f t="shared" si="3"/>
        <v>Moringa</v>
      </c>
      <c r="L749" s="10" t="str">
        <f t="shared" si="4"/>
        <v>752 Moringa</v>
      </c>
      <c r="M749" s="10" t="s">
        <v>46</v>
      </c>
      <c r="N749" s="10" t="s">
        <v>36</v>
      </c>
      <c r="O749" s="10" t="s">
        <v>37</v>
      </c>
      <c r="P749" s="10" t="s">
        <v>2068</v>
      </c>
      <c r="Q749" s="17" t="s">
        <v>338</v>
      </c>
      <c r="R749" s="14" t="s">
        <v>39</v>
      </c>
      <c r="S749" s="17" t="s">
        <v>54</v>
      </c>
      <c r="T749" s="14" t="s">
        <v>39</v>
      </c>
      <c r="U749" s="14" t="s">
        <v>55</v>
      </c>
      <c r="V749" s="14"/>
      <c r="W749" s="18"/>
      <c r="X749" s="14"/>
    </row>
    <row r="750" ht="14.25" customHeight="1">
      <c r="A750" s="10" t="s">
        <v>1928</v>
      </c>
      <c r="B750" s="10" t="s">
        <v>31</v>
      </c>
      <c r="C750" s="10">
        <v>753.0</v>
      </c>
      <c r="D750" s="11" t="s">
        <v>2070</v>
      </c>
      <c r="E750" s="11" t="s">
        <v>2071</v>
      </c>
      <c r="F750" s="11" t="s">
        <v>710</v>
      </c>
      <c r="G750" s="10">
        <v>753.0</v>
      </c>
      <c r="H750" s="10">
        <f>VLOOKUP(F750,'Generos y Familia'!$A$1:$C$623,2,FALSE)</f>
        <v>29</v>
      </c>
      <c r="I750" s="12" t="str">
        <f t="shared" si="1"/>
        <v>Morisonia oblongifolia</v>
      </c>
      <c r="J750" s="10" t="str">
        <f t="shared" si="2"/>
        <v>753 Morisonia oblongifolia</v>
      </c>
      <c r="K750" s="10" t="str">
        <f t="shared" si="3"/>
        <v>Morisonia Oblongifolia</v>
      </c>
      <c r="L750" s="10" t="str">
        <f t="shared" si="4"/>
        <v>753 Morisonia Oblongifolia</v>
      </c>
      <c r="M750" s="10" t="s">
        <v>35</v>
      </c>
      <c r="N750" s="10" t="s">
        <v>36</v>
      </c>
      <c r="O750" s="10" t="s">
        <v>37</v>
      </c>
      <c r="P750" s="10" t="s">
        <v>711</v>
      </c>
      <c r="Q750" s="13"/>
      <c r="R750" s="13"/>
      <c r="S750" s="13"/>
      <c r="T750" s="13"/>
      <c r="U750" s="13"/>
      <c r="V750" s="13"/>
      <c r="W750" s="16"/>
      <c r="X750" s="13"/>
    </row>
    <row r="751" ht="14.25" customHeight="1">
      <c r="A751" s="10" t="s">
        <v>1928</v>
      </c>
      <c r="B751" s="10" t="s">
        <v>31</v>
      </c>
      <c r="C751" s="10">
        <v>754.0</v>
      </c>
      <c r="D751" s="11" t="s">
        <v>2072</v>
      </c>
      <c r="E751" s="11" t="s">
        <v>2073</v>
      </c>
      <c r="F751" s="11" t="s">
        <v>365</v>
      </c>
      <c r="G751" s="10">
        <v>754.0</v>
      </c>
      <c r="H751" s="10">
        <f>VLOOKUP(F751,'Generos y Familia'!$A$1:$C$623,2,FALSE)</f>
        <v>43</v>
      </c>
      <c r="I751" s="12" t="str">
        <f t="shared" si="1"/>
        <v>Morus nigra</v>
      </c>
      <c r="J751" s="10" t="str">
        <f t="shared" si="2"/>
        <v>754 Morus nigra</v>
      </c>
      <c r="K751" s="10" t="str">
        <f t="shared" si="3"/>
        <v>Moral Negro; Morera Negra</v>
      </c>
      <c r="L751" s="10" t="str">
        <f t="shared" si="4"/>
        <v>754 Moral Negro; Morera Negra</v>
      </c>
      <c r="M751" s="10" t="s">
        <v>46</v>
      </c>
      <c r="N751" s="10" t="s">
        <v>36</v>
      </c>
      <c r="O751" s="10" t="s">
        <v>37</v>
      </c>
      <c r="P751" s="10" t="s">
        <v>2074</v>
      </c>
      <c r="Q751" s="17" t="s">
        <v>379</v>
      </c>
      <c r="R751" s="14"/>
      <c r="S751" s="17" t="s">
        <v>442</v>
      </c>
      <c r="T751" s="14"/>
      <c r="U751" s="14" t="s">
        <v>40</v>
      </c>
      <c r="V751" s="14"/>
      <c r="W751" s="17"/>
      <c r="X751" s="14" t="s">
        <v>41</v>
      </c>
    </row>
    <row r="752" ht="14.25" customHeight="1">
      <c r="A752" s="10" t="s">
        <v>1928</v>
      </c>
      <c r="B752" s="10" t="s">
        <v>31</v>
      </c>
      <c r="C752" s="10">
        <v>755.0</v>
      </c>
      <c r="D752" s="11" t="s">
        <v>2075</v>
      </c>
      <c r="E752" s="11" t="s">
        <v>2076</v>
      </c>
      <c r="F752" s="11" t="s">
        <v>365</v>
      </c>
      <c r="G752" s="10">
        <v>755.0</v>
      </c>
      <c r="H752" s="10">
        <f>VLOOKUP(F752,'Generos y Familia'!$A$1:$C$623,2,FALSE)</f>
        <v>43</v>
      </c>
      <c r="I752" s="12" t="str">
        <f t="shared" si="1"/>
        <v>Morus sp</v>
      </c>
      <c r="J752" s="10" t="str">
        <f t="shared" si="2"/>
        <v>755 Morus sp</v>
      </c>
      <c r="K752" s="10" t="str">
        <f t="shared" si="3"/>
        <v>Morera Blanca</v>
      </c>
      <c r="L752" s="10" t="str">
        <f t="shared" si="4"/>
        <v>755 Morera Blanca</v>
      </c>
      <c r="M752" s="10" t="s">
        <v>46</v>
      </c>
      <c r="N752" s="10" t="s">
        <v>36</v>
      </c>
      <c r="O752" s="10" t="s">
        <v>37</v>
      </c>
      <c r="P752" s="10" t="s">
        <v>2074</v>
      </c>
      <c r="Q752" s="17" t="s">
        <v>2077</v>
      </c>
      <c r="R752" s="14"/>
      <c r="S752" s="17" t="s">
        <v>2078</v>
      </c>
      <c r="T752" s="14"/>
      <c r="U752" s="14" t="s">
        <v>55</v>
      </c>
      <c r="V752" s="14"/>
      <c r="W752" s="17"/>
      <c r="X752" s="14" t="s">
        <v>41</v>
      </c>
    </row>
    <row r="753" ht="14.25" customHeight="1">
      <c r="A753" s="10" t="s">
        <v>1928</v>
      </c>
      <c r="B753" s="10" t="s">
        <v>31</v>
      </c>
      <c r="C753" s="10">
        <v>756.0</v>
      </c>
      <c r="D753" s="11" t="s">
        <v>2079</v>
      </c>
      <c r="E753" s="11" t="s">
        <v>2080</v>
      </c>
      <c r="F753" s="11" t="s">
        <v>2081</v>
      </c>
      <c r="G753" s="10">
        <v>756.0</v>
      </c>
      <c r="H753" s="10">
        <f>VLOOKUP(F753,'Generos y Familia'!$A$1:$C$623,2,FALSE)</f>
        <v>45</v>
      </c>
      <c r="I753" s="12" t="str">
        <f t="shared" si="1"/>
        <v>Muntingia calabura</v>
      </c>
      <c r="J753" s="10" t="str">
        <f t="shared" si="2"/>
        <v>756 Muntingia calabura</v>
      </c>
      <c r="K753" s="10" t="str">
        <f t="shared" si="3"/>
        <v>Chitató; Capulín; Chitato; Nigua</v>
      </c>
      <c r="L753" s="10" t="str">
        <f t="shared" si="4"/>
        <v>756 Chitató; Capulín; Chitato; Nigua</v>
      </c>
      <c r="M753" s="10" t="s">
        <v>35</v>
      </c>
      <c r="N753" s="10" t="s">
        <v>36</v>
      </c>
      <c r="O753" s="10" t="s">
        <v>37</v>
      </c>
      <c r="P753" s="10" t="s">
        <v>2082</v>
      </c>
      <c r="Q753" s="13"/>
      <c r="R753" s="13"/>
      <c r="S753" s="13"/>
      <c r="T753" s="13"/>
      <c r="U753" s="13"/>
      <c r="V753" s="13"/>
      <c r="W753" s="13"/>
      <c r="X753" s="13"/>
    </row>
    <row r="754" ht="14.25" customHeight="1">
      <c r="A754" s="10" t="s">
        <v>1928</v>
      </c>
      <c r="B754" s="10" t="s">
        <v>31</v>
      </c>
      <c r="C754" s="10">
        <v>757.0</v>
      </c>
      <c r="D754" s="11" t="s">
        <v>2083</v>
      </c>
      <c r="E754" s="11" t="s">
        <v>2084</v>
      </c>
      <c r="F754" s="11" t="s">
        <v>769</v>
      </c>
      <c r="G754" s="10">
        <v>757.0</v>
      </c>
      <c r="H754" s="10">
        <f>VLOOKUP(F754,'Generos y Familia'!$A$1:$C$623,2,FALSE)</f>
        <v>80</v>
      </c>
      <c r="I754" s="12" t="str">
        <f t="shared" si="1"/>
        <v>Bergera koenigii</v>
      </c>
      <c r="J754" s="10" t="str">
        <f t="shared" si="2"/>
        <v>757 Bergera koenigii</v>
      </c>
      <c r="K754" s="10" t="str">
        <f t="shared" si="3"/>
        <v>Bergera Koenigii</v>
      </c>
      <c r="L754" s="10" t="str">
        <f t="shared" si="4"/>
        <v>757 Bergera Koenigii</v>
      </c>
      <c r="M754" s="10" t="s">
        <v>46</v>
      </c>
      <c r="N754" s="10" t="s">
        <v>28</v>
      </c>
      <c r="O754" s="10" t="s">
        <v>37</v>
      </c>
      <c r="P754" s="10" t="s">
        <v>2085</v>
      </c>
      <c r="Q754" s="13"/>
      <c r="R754" s="13"/>
      <c r="S754" s="13"/>
      <c r="T754" s="13"/>
      <c r="U754" s="13"/>
      <c r="V754" s="13"/>
      <c r="W754" s="13"/>
      <c r="X754" s="13"/>
    </row>
    <row r="755" ht="14.25" customHeight="1">
      <c r="A755" s="10" t="s">
        <v>1928</v>
      </c>
      <c r="B755" s="10" t="s">
        <v>31</v>
      </c>
      <c r="C755" s="10">
        <v>758.0</v>
      </c>
      <c r="D755" s="11" t="s">
        <v>2086</v>
      </c>
      <c r="E755" s="11" t="s">
        <v>2087</v>
      </c>
      <c r="F755" s="11" t="s">
        <v>769</v>
      </c>
      <c r="G755" s="10">
        <v>758.0</v>
      </c>
      <c r="H755" s="10">
        <f>VLOOKUP(F755,'Generos y Familia'!$A$1:$C$623,2,FALSE)</f>
        <v>80</v>
      </c>
      <c r="I755" s="12" t="str">
        <f t="shared" si="1"/>
        <v>Murraya paniculata</v>
      </c>
      <c r="J755" s="10" t="str">
        <f t="shared" si="2"/>
        <v>758 Murraya paniculata</v>
      </c>
      <c r="K755" s="10" t="str">
        <f t="shared" si="3"/>
        <v>Azahar de la India; Jazmín</v>
      </c>
      <c r="L755" s="10" t="str">
        <f t="shared" si="4"/>
        <v>758 Azahar de la India; Jazmín</v>
      </c>
      <c r="M755" s="10" t="s">
        <v>46</v>
      </c>
      <c r="N755" s="10" t="s">
        <v>36</v>
      </c>
      <c r="O755" s="10" t="s">
        <v>47</v>
      </c>
      <c r="P755" s="10" t="s">
        <v>2088</v>
      </c>
      <c r="Q755" s="17" t="s">
        <v>559</v>
      </c>
      <c r="R755" s="14" t="s">
        <v>39</v>
      </c>
      <c r="S755" s="17" t="s">
        <v>145</v>
      </c>
      <c r="T755" s="14" t="s">
        <v>39</v>
      </c>
      <c r="U755" s="14" t="s">
        <v>73</v>
      </c>
      <c r="V755" s="14">
        <v>0.87</v>
      </c>
      <c r="W755" s="17"/>
      <c r="X755" s="14"/>
    </row>
    <row r="756" ht="14.25" customHeight="1">
      <c r="A756" s="10" t="s">
        <v>1928</v>
      </c>
      <c r="B756" s="10" t="s">
        <v>31</v>
      </c>
      <c r="C756" s="10">
        <v>759.0</v>
      </c>
      <c r="D756" s="11" t="s">
        <v>2089</v>
      </c>
      <c r="E756" s="11" t="s">
        <v>2090</v>
      </c>
      <c r="F756" s="11" t="s">
        <v>310</v>
      </c>
      <c r="G756" s="10">
        <v>759.0</v>
      </c>
      <c r="H756" s="10">
        <f>VLOOKUP(F756,'Generos y Familia'!$A$1:$C$623,2,FALSE)</f>
        <v>79</v>
      </c>
      <c r="I756" s="12" t="str">
        <f t="shared" si="1"/>
        <v>Mussaenda erythrophylla</v>
      </c>
      <c r="J756" s="10" t="str">
        <f t="shared" si="2"/>
        <v>759 Mussaenda erythrophylla</v>
      </c>
      <c r="K756" s="10" t="str">
        <f t="shared" si="3"/>
        <v>Musaenda Roja; Musaenda; Musaendo; Musaendra</v>
      </c>
      <c r="L756" s="10" t="str">
        <f t="shared" si="4"/>
        <v>759 Musaenda Roja; Musaenda; Musaendo; Musaendra</v>
      </c>
      <c r="M756" s="10" t="s">
        <v>46</v>
      </c>
      <c r="N756" s="10" t="s">
        <v>36</v>
      </c>
      <c r="O756" s="10" t="s">
        <v>47</v>
      </c>
      <c r="P756" s="10" t="s">
        <v>2091</v>
      </c>
      <c r="Q756" s="13"/>
      <c r="R756" s="13"/>
      <c r="S756" s="13"/>
      <c r="T756" s="13"/>
      <c r="U756" s="13"/>
      <c r="V756" s="13"/>
      <c r="W756" s="16"/>
      <c r="X756" s="13"/>
    </row>
    <row r="757" ht="14.25" customHeight="1">
      <c r="A757" s="10" t="s">
        <v>1928</v>
      </c>
      <c r="B757" s="10" t="s">
        <v>31</v>
      </c>
      <c r="C757" s="10">
        <v>760.0</v>
      </c>
      <c r="D757" s="11" t="s">
        <v>2092</v>
      </c>
      <c r="E757" s="11" t="s">
        <v>2093</v>
      </c>
      <c r="F757" s="11" t="s">
        <v>310</v>
      </c>
      <c r="G757" s="10">
        <v>760.0</v>
      </c>
      <c r="H757" s="10">
        <f>VLOOKUP(F757,'Generos y Familia'!$A$1:$C$623,2,FALSE)</f>
        <v>79</v>
      </c>
      <c r="I757" s="12" t="str">
        <f t="shared" si="1"/>
        <v>Mussaenda philippica</v>
      </c>
      <c r="J757" s="10" t="str">
        <f t="shared" si="2"/>
        <v>760 Mussaenda philippica</v>
      </c>
      <c r="K757" s="10" t="str">
        <f t="shared" si="3"/>
        <v>Musaenda; Musaendra</v>
      </c>
      <c r="L757" s="10" t="str">
        <f t="shared" si="4"/>
        <v>760 Musaenda; Musaendra</v>
      </c>
      <c r="M757" s="10" t="s">
        <v>46</v>
      </c>
      <c r="N757" s="10" t="s">
        <v>36</v>
      </c>
      <c r="O757" s="10" t="s">
        <v>47</v>
      </c>
      <c r="P757" s="10" t="s">
        <v>2091</v>
      </c>
      <c r="Q757" s="13"/>
      <c r="R757" s="13"/>
      <c r="S757" s="13"/>
      <c r="T757" s="13"/>
      <c r="U757" s="13"/>
      <c r="V757" s="13"/>
      <c r="W757" s="16"/>
      <c r="X757" s="13"/>
    </row>
    <row r="758" ht="14.25" customHeight="1">
      <c r="A758" s="10" t="s">
        <v>1928</v>
      </c>
      <c r="B758" s="10" t="s">
        <v>31</v>
      </c>
      <c r="C758" s="10">
        <v>761.0</v>
      </c>
      <c r="D758" s="11" t="s">
        <v>2094</v>
      </c>
      <c r="E758" s="11" t="s">
        <v>2094</v>
      </c>
      <c r="F758" s="11" t="s">
        <v>310</v>
      </c>
      <c r="G758" s="10">
        <v>761.0</v>
      </c>
      <c r="H758" s="10">
        <f>VLOOKUP(F758,'Generos y Familia'!$A$1:$C$623,2,FALSE)</f>
        <v>79</v>
      </c>
      <c r="I758" s="12" t="str">
        <f t="shared" si="1"/>
        <v>Mussaenda sp</v>
      </c>
      <c r="J758" s="10" t="str">
        <f t="shared" si="2"/>
        <v>761 Mussaenda sp</v>
      </c>
      <c r="K758" s="10" t="str">
        <f t="shared" si="3"/>
        <v>Mussaenda sp</v>
      </c>
      <c r="L758" s="10" t="str">
        <f t="shared" si="4"/>
        <v>761 Mussaenda sp</v>
      </c>
      <c r="M758" s="10" t="s">
        <v>35</v>
      </c>
      <c r="N758" s="10" t="s">
        <v>36</v>
      </c>
      <c r="O758" s="10" t="s">
        <v>47</v>
      </c>
      <c r="P758" s="10" t="s">
        <v>2091</v>
      </c>
      <c r="Q758" s="13"/>
      <c r="R758" s="13"/>
      <c r="S758" s="13" t="s">
        <v>2095</v>
      </c>
      <c r="T758" s="13"/>
      <c r="U758" s="13"/>
      <c r="V758" s="13"/>
      <c r="W758" s="13"/>
      <c r="X758" s="13"/>
    </row>
    <row r="759" ht="14.25" customHeight="1">
      <c r="A759" s="10" t="s">
        <v>1928</v>
      </c>
      <c r="B759" s="10" t="s">
        <v>31</v>
      </c>
      <c r="C759" s="10">
        <v>762.0</v>
      </c>
      <c r="D759" s="11" t="s">
        <v>2096</v>
      </c>
      <c r="E759" s="11" t="s">
        <v>2097</v>
      </c>
      <c r="F759" s="11" t="s">
        <v>95</v>
      </c>
      <c r="G759" s="10">
        <v>762.0</v>
      </c>
      <c r="H759" s="10">
        <f>VLOOKUP(F759,'Generos y Familia'!$A$1:$C$623,2,FALSE)</f>
        <v>49</v>
      </c>
      <c r="I759" s="12" t="str">
        <f t="shared" si="1"/>
        <v>Myrcia antioquensis</v>
      </c>
      <c r="J759" s="10" t="str">
        <f t="shared" si="2"/>
        <v>762 Myrcia antioquensis</v>
      </c>
      <c r="K759" s="10" t="str">
        <f t="shared" si="3"/>
        <v>Guamo Peludo</v>
      </c>
      <c r="L759" s="10" t="str">
        <f t="shared" si="4"/>
        <v>762 Guamo Peludo</v>
      </c>
      <c r="M759" s="10" t="s">
        <v>797</v>
      </c>
      <c r="N759" s="10" t="s">
        <v>36</v>
      </c>
      <c r="O759" s="10" t="s">
        <v>37</v>
      </c>
      <c r="P759" s="10" t="s">
        <v>2098</v>
      </c>
      <c r="Q759" s="13"/>
      <c r="R759" s="13"/>
      <c r="S759" s="13"/>
      <c r="T759" s="13"/>
      <c r="U759" s="13"/>
      <c r="V759" s="13"/>
      <c r="W759" s="13"/>
      <c r="X759" s="13"/>
    </row>
    <row r="760" ht="14.25" customHeight="1">
      <c r="A760" s="10" t="s">
        <v>1928</v>
      </c>
      <c r="B760" s="10" t="s">
        <v>31</v>
      </c>
      <c r="C760" s="10">
        <v>763.0</v>
      </c>
      <c r="D760" s="11" t="s">
        <v>2099</v>
      </c>
      <c r="E760" s="11" t="s">
        <v>2100</v>
      </c>
      <c r="F760" s="11" t="s">
        <v>95</v>
      </c>
      <c r="G760" s="10">
        <v>763.0</v>
      </c>
      <c r="H760" s="10">
        <f>VLOOKUP(F760,'Generos y Familia'!$A$1:$C$623,2,FALSE)</f>
        <v>49</v>
      </c>
      <c r="I760" s="12" t="str">
        <f t="shared" si="1"/>
        <v>Myrcia popayanensis</v>
      </c>
      <c r="J760" s="10" t="str">
        <f t="shared" si="2"/>
        <v>763 Myrcia popayanensis</v>
      </c>
      <c r="K760" s="10" t="str">
        <f t="shared" si="3"/>
        <v>Arrayán; Árbol de Cera</v>
      </c>
      <c r="L760" s="10" t="str">
        <f t="shared" si="4"/>
        <v>763 Arrayán; Árbol de Cera</v>
      </c>
      <c r="M760" s="10" t="s">
        <v>35</v>
      </c>
      <c r="N760" s="10" t="s">
        <v>36</v>
      </c>
      <c r="O760" s="10" t="s">
        <v>37</v>
      </c>
      <c r="P760" s="10" t="s">
        <v>2098</v>
      </c>
      <c r="Q760" s="17" t="s">
        <v>1604</v>
      </c>
      <c r="R760" s="14" t="s">
        <v>39</v>
      </c>
      <c r="S760" s="17" t="s">
        <v>106</v>
      </c>
      <c r="T760" s="14" t="s">
        <v>39</v>
      </c>
      <c r="U760" s="14" t="s">
        <v>73</v>
      </c>
      <c r="V760" s="14"/>
      <c r="W760" s="17"/>
      <c r="X760" s="14"/>
    </row>
    <row r="761" ht="14.25" customHeight="1">
      <c r="A761" s="10" t="s">
        <v>1928</v>
      </c>
      <c r="B761" s="10" t="s">
        <v>31</v>
      </c>
      <c r="C761" s="10">
        <v>764.0</v>
      </c>
      <c r="D761" s="11" t="s">
        <v>2101</v>
      </c>
      <c r="E761" s="11" t="s">
        <v>2102</v>
      </c>
      <c r="F761" s="11" t="s">
        <v>95</v>
      </c>
      <c r="G761" s="10">
        <v>764.0</v>
      </c>
      <c r="H761" s="10">
        <f>VLOOKUP(F761,'Generos y Familia'!$A$1:$C$623,2,FALSE)</f>
        <v>49</v>
      </c>
      <c r="I761" s="12" t="str">
        <f t="shared" si="1"/>
        <v>Myrcia sp</v>
      </c>
      <c r="J761" s="10" t="str">
        <f t="shared" si="2"/>
        <v>764 Myrcia sp</v>
      </c>
      <c r="K761" s="10" t="str">
        <f t="shared" si="3"/>
        <v>Guayabillo</v>
      </c>
      <c r="L761" s="10" t="str">
        <f t="shared" si="4"/>
        <v>764 Guayabillo</v>
      </c>
      <c r="M761" s="10" t="s">
        <v>35</v>
      </c>
      <c r="N761" s="10" t="s">
        <v>36</v>
      </c>
      <c r="O761" s="10" t="s">
        <v>47</v>
      </c>
      <c r="P761" s="10" t="s">
        <v>2098</v>
      </c>
      <c r="Q761" s="17" t="s">
        <v>2103</v>
      </c>
      <c r="R761" s="14"/>
      <c r="S761" s="17" t="s">
        <v>683</v>
      </c>
      <c r="T761" s="14"/>
      <c r="U761" s="14" t="s">
        <v>40</v>
      </c>
      <c r="V761" s="14"/>
      <c r="W761" s="17"/>
      <c r="X761" s="14" t="s">
        <v>41</v>
      </c>
    </row>
    <row r="762" ht="14.25" customHeight="1">
      <c r="A762" s="10" t="s">
        <v>1928</v>
      </c>
      <c r="B762" s="10" t="s">
        <v>31</v>
      </c>
      <c r="C762" s="10">
        <v>765.0</v>
      </c>
      <c r="D762" s="11" t="s">
        <v>2104</v>
      </c>
      <c r="E762" s="11" t="s">
        <v>2105</v>
      </c>
      <c r="F762" s="11" t="s">
        <v>95</v>
      </c>
      <c r="G762" s="10">
        <v>765.0</v>
      </c>
      <c r="H762" s="10">
        <f>VLOOKUP(F762,'Generos y Familia'!$A$1:$C$623,2,FALSE)</f>
        <v>49</v>
      </c>
      <c r="I762" s="12" t="str">
        <f t="shared" si="1"/>
        <v>Myrcia subsessilis</v>
      </c>
      <c r="J762" s="10" t="str">
        <f t="shared" si="2"/>
        <v>765 Myrcia subsessilis</v>
      </c>
      <c r="K762" s="10" t="str">
        <f t="shared" si="3"/>
        <v>Arrayán de Hoja Grande; Arrayán</v>
      </c>
      <c r="L762" s="10" t="str">
        <f t="shared" si="4"/>
        <v>765 Arrayán de Hoja Grande; Arrayán</v>
      </c>
      <c r="M762" s="10" t="s">
        <v>35</v>
      </c>
      <c r="N762" s="10" t="s">
        <v>36</v>
      </c>
      <c r="O762" s="10" t="s">
        <v>37</v>
      </c>
      <c r="P762" s="10" t="s">
        <v>2098</v>
      </c>
      <c r="Q762" s="13"/>
      <c r="R762" s="13"/>
      <c r="S762" s="13"/>
      <c r="T762" s="13"/>
      <c r="U762" s="13"/>
      <c r="V762" s="13"/>
      <c r="W762" s="13"/>
      <c r="X762" s="13"/>
    </row>
    <row r="763" ht="14.25" customHeight="1">
      <c r="A763" s="10" t="s">
        <v>1928</v>
      </c>
      <c r="B763" s="10" t="s">
        <v>31</v>
      </c>
      <c r="C763" s="10">
        <v>766.0</v>
      </c>
      <c r="D763" s="11" t="s">
        <v>2106</v>
      </c>
      <c r="E763" s="11" t="s">
        <v>2107</v>
      </c>
      <c r="F763" s="11" t="s">
        <v>95</v>
      </c>
      <c r="G763" s="10">
        <v>766.0</v>
      </c>
      <c r="H763" s="10">
        <f>VLOOKUP(F763,'Generos y Familia'!$A$1:$C$623,2,FALSE)</f>
        <v>49</v>
      </c>
      <c r="I763" s="12" t="str">
        <f t="shared" si="1"/>
        <v>Myrcianthes sp</v>
      </c>
      <c r="J763" s="10" t="str">
        <f t="shared" si="2"/>
        <v>766 Myrcianthes sp</v>
      </c>
      <c r="K763" s="10" t="str">
        <f t="shared" si="3"/>
        <v>Arrayán Blanco; Arrayán Negro; Guayabo de Castilla</v>
      </c>
      <c r="L763" s="10" t="str">
        <f t="shared" si="4"/>
        <v>766 Arrayán Blanco; Arrayán Negro; Guayabo de Castilla</v>
      </c>
      <c r="M763" s="10" t="s">
        <v>35</v>
      </c>
      <c r="N763" s="10" t="s">
        <v>36</v>
      </c>
      <c r="O763" s="10" t="s">
        <v>37</v>
      </c>
      <c r="P763" s="10" t="s">
        <v>2108</v>
      </c>
      <c r="Q763" s="17" t="s">
        <v>379</v>
      </c>
      <c r="R763" s="14"/>
      <c r="S763" s="17" t="s">
        <v>54</v>
      </c>
      <c r="T763" s="14"/>
      <c r="U763" s="14" t="s">
        <v>40</v>
      </c>
      <c r="V763" s="14"/>
      <c r="W763" s="17"/>
      <c r="X763" s="14" t="s">
        <v>41</v>
      </c>
    </row>
    <row r="764" ht="14.25" customHeight="1">
      <c r="A764" s="10" t="s">
        <v>1928</v>
      </c>
      <c r="B764" s="10" t="s">
        <v>31</v>
      </c>
      <c r="C764" s="10">
        <v>767.0</v>
      </c>
      <c r="D764" s="11" t="s">
        <v>2109</v>
      </c>
      <c r="E764" s="11" t="s">
        <v>2110</v>
      </c>
      <c r="F764" s="11" t="s">
        <v>95</v>
      </c>
      <c r="G764" s="10">
        <v>767.0</v>
      </c>
      <c r="H764" s="10">
        <f>VLOOKUP(F764,'Generos y Familia'!$A$1:$C$623,2,FALSE)</f>
        <v>49</v>
      </c>
      <c r="I764" s="12" t="str">
        <f t="shared" si="1"/>
        <v>Plinia cauliflora</v>
      </c>
      <c r="J764" s="10" t="str">
        <f t="shared" si="2"/>
        <v>767 Plinia cauliflora</v>
      </c>
      <c r="K764" s="10" t="str">
        <f t="shared" si="3"/>
        <v>Jaboticaba; Guayabo Jaboticaba</v>
      </c>
      <c r="L764" s="10" t="str">
        <f t="shared" si="4"/>
        <v>767 Jaboticaba; Guayabo Jaboticaba</v>
      </c>
      <c r="M764" s="10" t="s">
        <v>46</v>
      </c>
      <c r="N764" s="10" t="s">
        <v>36</v>
      </c>
      <c r="O764" s="10" t="s">
        <v>37</v>
      </c>
      <c r="P764" s="10" t="s">
        <v>2111</v>
      </c>
      <c r="Q764" s="17" t="s">
        <v>347</v>
      </c>
      <c r="R764" s="14" t="s">
        <v>39</v>
      </c>
      <c r="S764" s="17" t="s">
        <v>379</v>
      </c>
      <c r="T764" s="14" t="s">
        <v>39</v>
      </c>
      <c r="U764" s="14" t="s">
        <v>73</v>
      </c>
      <c r="V764" s="14"/>
      <c r="W764" s="18"/>
      <c r="X764" s="14"/>
    </row>
    <row r="765" ht="14.25" customHeight="1">
      <c r="A765" s="10" t="s">
        <v>1928</v>
      </c>
      <c r="B765" s="10" t="s">
        <v>31</v>
      </c>
      <c r="C765" s="10">
        <v>768.0</v>
      </c>
      <c r="D765" s="11" t="s">
        <v>2112</v>
      </c>
      <c r="E765" s="11" t="s">
        <v>2113</v>
      </c>
      <c r="F765" s="11" t="s">
        <v>34</v>
      </c>
      <c r="G765" s="10">
        <v>768.0</v>
      </c>
      <c r="H765" s="10">
        <f>VLOOKUP(F765,'Generos y Familia'!$A$1:$C$623,2,FALSE)</f>
        <v>27</v>
      </c>
      <c r="I765" s="12" t="str">
        <f t="shared" si="1"/>
        <v>Myroxylon balsamum</v>
      </c>
      <c r="J765" s="10" t="str">
        <f t="shared" si="2"/>
        <v>768 Myroxylon balsamum</v>
      </c>
      <c r="K765" s="10" t="str">
        <f t="shared" si="3"/>
        <v>Bálsamo; Bálsamo de Tolú</v>
      </c>
      <c r="L765" s="10" t="str">
        <f t="shared" si="4"/>
        <v>768 Bálsamo; Bálsamo de Tolú</v>
      </c>
      <c r="M765" s="10" t="s">
        <v>35</v>
      </c>
      <c r="N765" s="10" t="s">
        <v>36</v>
      </c>
      <c r="O765" s="10" t="s">
        <v>37</v>
      </c>
      <c r="P765" s="10" t="s">
        <v>2114</v>
      </c>
      <c r="Q765" s="13"/>
      <c r="R765" s="13"/>
      <c r="S765" s="13"/>
      <c r="T765" s="13"/>
      <c r="U765" s="13"/>
      <c r="V765" s="13"/>
      <c r="W765" s="13"/>
      <c r="X765" s="13"/>
    </row>
    <row r="766" ht="14.25" customHeight="1">
      <c r="A766" s="10" t="s">
        <v>1928</v>
      </c>
      <c r="B766" s="10" t="s">
        <v>31</v>
      </c>
      <c r="C766" s="10">
        <v>769.0</v>
      </c>
      <c r="D766" s="11" t="s">
        <v>2115</v>
      </c>
      <c r="E766" s="11" t="s">
        <v>2116</v>
      </c>
      <c r="F766" s="11" t="s">
        <v>132</v>
      </c>
      <c r="G766" s="10">
        <v>769.0</v>
      </c>
      <c r="H766" s="10">
        <f>VLOOKUP(F766,'Generos y Familia'!$A$1:$C$623,2,FALSE)</f>
        <v>74</v>
      </c>
      <c r="I766" s="12" t="str">
        <f t="shared" si="1"/>
        <v>Myrsine coriacea</v>
      </c>
      <c r="J766" s="10" t="str">
        <f t="shared" si="2"/>
        <v>769 Myrsine coriacea</v>
      </c>
      <c r="K766" s="10" t="str">
        <f t="shared" si="3"/>
        <v>Espadero; Cucharo; Cucharo Blanco</v>
      </c>
      <c r="L766" s="10" t="str">
        <f t="shared" si="4"/>
        <v>769 Espadero; Cucharo; Cucharo Blanco</v>
      </c>
      <c r="M766" s="10" t="s">
        <v>35</v>
      </c>
      <c r="N766" s="10" t="s">
        <v>36</v>
      </c>
      <c r="O766" s="10" t="s">
        <v>37</v>
      </c>
      <c r="P766" s="10" t="s">
        <v>2117</v>
      </c>
      <c r="Q766" s="17" t="s">
        <v>379</v>
      </c>
      <c r="R766" s="14"/>
      <c r="S766" s="17" t="s">
        <v>229</v>
      </c>
      <c r="T766" s="14"/>
      <c r="U766" s="14" t="s">
        <v>40</v>
      </c>
      <c r="V766" s="14"/>
      <c r="W766" s="18"/>
      <c r="X766" s="14" t="s">
        <v>41</v>
      </c>
    </row>
    <row r="767" ht="14.25" customHeight="1">
      <c r="A767" s="10" t="s">
        <v>1928</v>
      </c>
      <c r="B767" s="10" t="s">
        <v>31</v>
      </c>
      <c r="C767" s="10">
        <v>770.0</v>
      </c>
      <c r="D767" s="11" t="s">
        <v>2118</v>
      </c>
      <c r="E767" s="11" t="s">
        <v>2119</v>
      </c>
      <c r="F767" s="11" t="s">
        <v>132</v>
      </c>
      <c r="G767" s="10">
        <v>770.0</v>
      </c>
      <c r="H767" s="10">
        <f>VLOOKUP(F767,'Generos y Familia'!$A$1:$C$623,2,FALSE)</f>
        <v>74</v>
      </c>
      <c r="I767" s="12" t="str">
        <f t="shared" si="1"/>
        <v>Myrsine guianensis</v>
      </c>
      <c r="J767" s="10" t="str">
        <f t="shared" si="2"/>
        <v>770 Myrsine guianensis</v>
      </c>
      <c r="K767" s="10" t="str">
        <f t="shared" si="3"/>
        <v>Espadero; Chagualo; Cucharo</v>
      </c>
      <c r="L767" s="10" t="str">
        <f t="shared" si="4"/>
        <v>770 Espadero; Chagualo; Cucharo</v>
      </c>
      <c r="M767" s="10" t="s">
        <v>35</v>
      </c>
      <c r="N767" s="10" t="s">
        <v>36</v>
      </c>
      <c r="O767" s="10" t="s">
        <v>37</v>
      </c>
      <c r="P767" s="10" t="s">
        <v>2117</v>
      </c>
      <c r="Q767" s="17" t="s">
        <v>612</v>
      </c>
      <c r="R767" s="14"/>
      <c r="S767" s="17" t="s">
        <v>54</v>
      </c>
      <c r="T767" s="14"/>
      <c r="U767" s="14" t="s">
        <v>40</v>
      </c>
      <c r="V767" s="14"/>
      <c r="W767" s="18"/>
      <c r="X767" s="14" t="s">
        <v>41</v>
      </c>
    </row>
    <row r="768" ht="14.25" customHeight="1">
      <c r="A768" s="10" t="s">
        <v>1928</v>
      </c>
      <c r="B768" s="10" t="s">
        <v>31</v>
      </c>
      <c r="C768" s="10">
        <v>771.0</v>
      </c>
      <c r="D768" s="11" t="s">
        <v>2120</v>
      </c>
      <c r="E768" s="11" t="s">
        <v>2121</v>
      </c>
      <c r="F768" s="11" t="s">
        <v>158</v>
      </c>
      <c r="G768" s="10">
        <v>771.0</v>
      </c>
      <c r="H768" s="10">
        <f>VLOOKUP(F768,'Generos y Familia'!$A$1:$C$623,2,FALSE)</f>
        <v>35</v>
      </c>
      <c r="I768" s="12" t="str">
        <f t="shared" si="1"/>
        <v>Nectandra acutifolia</v>
      </c>
      <c r="J768" s="10" t="str">
        <f t="shared" si="2"/>
        <v>771 Nectandra acutifolia</v>
      </c>
      <c r="K768" s="10" t="str">
        <f t="shared" si="3"/>
        <v>Amarillo; Laurel (Acutifolia); Laurel Jigua</v>
      </c>
      <c r="L768" s="10" t="str">
        <f t="shared" si="4"/>
        <v>771 Amarillo; Laurel (Acutifolia); Laurel Jigua</v>
      </c>
      <c r="M768" s="10" t="s">
        <v>35</v>
      </c>
      <c r="N768" s="10" t="s">
        <v>36</v>
      </c>
      <c r="O768" s="10" t="s">
        <v>37</v>
      </c>
      <c r="P768" s="10" t="s">
        <v>2122</v>
      </c>
      <c r="Q768" s="17" t="s">
        <v>145</v>
      </c>
      <c r="R768" s="14" t="s">
        <v>39</v>
      </c>
      <c r="S768" s="17" t="s">
        <v>290</v>
      </c>
      <c r="T768" s="14"/>
      <c r="U768" s="14" t="s">
        <v>73</v>
      </c>
      <c r="V768" s="14"/>
      <c r="W768" s="18"/>
      <c r="X768" s="14" t="s">
        <v>41</v>
      </c>
    </row>
    <row r="769" ht="14.25" customHeight="1">
      <c r="A769" s="10" t="s">
        <v>1928</v>
      </c>
      <c r="B769" s="10" t="s">
        <v>63</v>
      </c>
      <c r="C769" s="10">
        <v>772.0</v>
      </c>
      <c r="D769" s="11" t="s">
        <v>2123</v>
      </c>
      <c r="E769" s="11" t="s">
        <v>2124</v>
      </c>
      <c r="F769" s="11" t="s">
        <v>158</v>
      </c>
      <c r="G769" s="10">
        <v>772.0</v>
      </c>
      <c r="H769" s="10">
        <f>VLOOKUP(F769,'Generos y Familia'!$A$1:$C$623,2,FALSE)</f>
        <v>35</v>
      </c>
      <c r="I769" s="12" t="str">
        <f t="shared" si="1"/>
        <v>Nectandra lineata</v>
      </c>
      <c r="J769" s="10" t="str">
        <f t="shared" si="2"/>
        <v>772 Nectandra lineata</v>
      </c>
      <c r="K769" s="10" t="str">
        <f t="shared" si="3"/>
        <v>Laurel; Palialte</v>
      </c>
      <c r="L769" s="10" t="str">
        <f t="shared" si="4"/>
        <v>772 Laurel; Palialte</v>
      </c>
      <c r="M769" s="10" t="s">
        <v>35</v>
      </c>
      <c r="N769" s="10" t="s">
        <v>36</v>
      </c>
      <c r="O769" s="10" t="s">
        <v>37</v>
      </c>
      <c r="P769" s="10" t="s">
        <v>2122</v>
      </c>
      <c r="Q769" s="17" t="s">
        <v>338</v>
      </c>
      <c r="R769" s="14"/>
      <c r="S769" s="17" t="s">
        <v>442</v>
      </c>
      <c r="T769" s="14"/>
      <c r="U769" s="14" t="s">
        <v>40</v>
      </c>
      <c r="V769" s="14"/>
      <c r="W769" s="17"/>
      <c r="X769" s="14" t="s">
        <v>41</v>
      </c>
    </row>
    <row r="770" ht="14.25" customHeight="1">
      <c r="A770" s="10" t="s">
        <v>1928</v>
      </c>
      <c r="B770" s="10" t="s">
        <v>31</v>
      </c>
      <c r="C770" s="10">
        <v>773.0</v>
      </c>
      <c r="D770" s="11" t="s">
        <v>2125</v>
      </c>
      <c r="E770" s="11" t="s">
        <v>273</v>
      </c>
      <c r="F770" s="11" t="s">
        <v>158</v>
      </c>
      <c r="G770" s="10">
        <v>773.0</v>
      </c>
      <c r="H770" s="10">
        <f>VLOOKUP(F770,'Generos y Familia'!$A$1:$C$623,2,FALSE)</f>
        <v>35</v>
      </c>
      <c r="I770" s="12" t="str">
        <f t="shared" si="1"/>
        <v>Nectandra sp</v>
      </c>
      <c r="J770" s="10" t="str">
        <f t="shared" si="2"/>
        <v>773 Nectandra sp</v>
      </c>
      <c r="K770" s="10" t="str">
        <f t="shared" si="3"/>
        <v>Laurel</v>
      </c>
      <c r="L770" s="10" t="str">
        <f t="shared" si="4"/>
        <v>773 Laurel</v>
      </c>
      <c r="M770" s="10" t="s">
        <v>35</v>
      </c>
      <c r="N770" s="10" t="s">
        <v>36</v>
      </c>
      <c r="O770" s="10" t="s">
        <v>37</v>
      </c>
      <c r="P770" s="10" t="s">
        <v>2122</v>
      </c>
      <c r="Q770" s="17" t="s">
        <v>229</v>
      </c>
      <c r="R770" s="14"/>
      <c r="S770" s="17" t="s">
        <v>290</v>
      </c>
      <c r="T770" s="14"/>
      <c r="U770" s="14" t="s">
        <v>40</v>
      </c>
      <c r="V770" s="14"/>
      <c r="W770" s="18"/>
      <c r="X770" s="14" t="s">
        <v>41</v>
      </c>
    </row>
    <row r="771" ht="14.25" customHeight="1">
      <c r="A771" s="10" t="s">
        <v>1928</v>
      </c>
      <c r="B771" s="10" t="s">
        <v>31</v>
      </c>
      <c r="C771" s="10">
        <v>774.0</v>
      </c>
      <c r="D771" s="11" t="s">
        <v>2126</v>
      </c>
      <c r="E771" s="11" t="s">
        <v>2127</v>
      </c>
      <c r="F771" s="11" t="s">
        <v>214</v>
      </c>
      <c r="G771" s="10">
        <v>774.0</v>
      </c>
      <c r="H771" s="10">
        <f>VLOOKUP(F771,'Generos y Familia'!$A$1:$C$623,2,FALSE)</f>
        <v>84</v>
      </c>
      <c r="I771" s="12" t="str">
        <f t="shared" si="1"/>
        <v>Nephelium lappaceum</v>
      </c>
      <c r="J771" s="10" t="str">
        <f t="shared" si="2"/>
        <v>774 Nephelium lappaceum</v>
      </c>
      <c r="K771" s="10" t="str">
        <f t="shared" si="3"/>
        <v>Rambután</v>
      </c>
      <c r="L771" s="10" t="str">
        <f t="shared" si="4"/>
        <v>774 Rambután</v>
      </c>
      <c r="M771" s="10" t="s">
        <v>46</v>
      </c>
      <c r="N771" s="10" t="s">
        <v>36</v>
      </c>
      <c r="O771" s="10" t="s">
        <v>37</v>
      </c>
      <c r="P771" s="10" t="s">
        <v>2128</v>
      </c>
      <c r="Q771" s="17" t="s">
        <v>229</v>
      </c>
      <c r="R771" s="14"/>
      <c r="S771" s="17" t="s">
        <v>54</v>
      </c>
      <c r="T771" s="14"/>
      <c r="U771" s="14" t="s">
        <v>55</v>
      </c>
      <c r="V771" s="14"/>
      <c r="W771" s="17"/>
      <c r="X771" s="14" t="s">
        <v>41</v>
      </c>
    </row>
    <row r="772" ht="14.25" customHeight="1">
      <c r="A772" s="10" t="s">
        <v>1928</v>
      </c>
      <c r="B772" s="10" t="s">
        <v>31</v>
      </c>
      <c r="C772" s="10">
        <v>775.0</v>
      </c>
      <c r="D772" s="11" t="s">
        <v>2129</v>
      </c>
      <c r="E772" s="11" t="s">
        <v>2130</v>
      </c>
      <c r="F772" s="11" t="s">
        <v>206</v>
      </c>
      <c r="G772" s="10">
        <v>775.0</v>
      </c>
      <c r="H772" s="10">
        <f>VLOOKUP(F772,'Generos y Familia'!$A$1:$C$623,2,FALSE)</f>
        <v>9</v>
      </c>
      <c r="I772" s="12" t="str">
        <f t="shared" si="1"/>
        <v>Nerium oleander</v>
      </c>
      <c r="J772" s="10" t="str">
        <f t="shared" si="2"/>
        <v>775 Nerium oleander</v>
      </c>
      <c r="K772" s="10" t="str">
        <f t="shared" si="3"/>
        <v>Habano; Adelfa; Azuceno</v>
      </c>
      <c r="L772" s="10" t="str">
        <f t="shared" si="4"/>
        <v>775 Habano; Adelfa; Azuceno</v>
      </c>
      <c r="M772" s="10" t="s">
        <v>46</v>
      </c>
      <c r="N772" s="10" t="s">
        <v>36</v>
      </c>
      <c r="O772" s="10" t="s">
        <v>47</v>
      </c>
      <c r="P772" s="10" t="s">
        <v>2131</v>
      </c>
      <c r="Q772" s="17" t="s">
        <v>153</v>
      </c>
      <c r="R772" s="14" t="s">
        <v>39</v>
      </c>
      <c r="S772" s="17" t="s">
        <v>668</v>
      </c>
      <c r="T772" s="14" t="s">
        <v>39</v>
      </c>
      <c r="U772" s="14" t="s">
        <v>55</v>
      </c>
      <c r="V772" s="14">
        <v>0.6</v>
      </c>
      <c r="W772" s="17"/>
      <c r="X772" s="14"/>
    </row>
    <row r="773" ht="14.25" customHeight="1">
      <c r="A773" s="10" t="s">
        <v>1928</v>
      </c>
      <c r="B773" s="10" t="s">
        <v>31</v>
      </c>
      <c r="C773" s="10">
        <v>776.0</v>
      </c>
      <c r="D773" s="11" t="s">
        <v>2132</v>
      </c>
      <c r="E773" s="11" t="s">
        <v>2133</v>
      </c>
      <c r="F773" s="11" t="s">
        <v>362</v>
      </c>
      <c r="G773" s="10">
        <v>776.0</v>
      </c>
      <c r="H773" s="10">
        <f>VLOOKUP(F773,'Generos y Familia'!$A$1:$C$623,2,FALSE)</f>
        <v>17</v>
      </c>
      <c r="I773" s="12" t="str">
        <f t="shared" si="1"/>
        <v>Neurolaena lobata</v>
      </c>
      <c r="J773" s="10" t="str">
        <f t="shared" si="2"/>
        <v>776 Neurolaena lobata</v>
      </c>
      <c r="K773" s="10" t="str">
        <f t="shared" si="3"/>
        <v>Contragavilana; Gavilana</v>
      </c>
      <c r="L773" s="10" t="str">
        <f t="shared" si="4"/>
        <v>776 Contragavilana; Gavilana</v>
      </c>
      <c r="M773" s="10" t="s">
        <v>35</v>
      </c>
      <c r="N773" s="10" t="s">
        <v>36</v>
      </c>
      <c r="O773" s="10" t="s">
        <v>47</v>
      </c>
      <c r="P773" s="10" t="s">
        <v>2134</v>
      </c>
      <c r="Q773" s="13"/>
      <c r="R773" s="13"/>
      <c r="S773" s="13"/>
      <c r="T773" s="13"/>
      <c r="U773" s="13"/>
      <c r="V773" s="13"/>
      <c r="W773" s="13"/>
      <c r="X773" s="13"/>
    </row>
    <row r="774" ht="14.25" customHeight="1">
      <c r="A774" s="10" t="s">
        <v>1928</v>
      </c>
      <c r="B774" s="10" t="s">
        <v>31</v>
      </c>
      <c r="C774" s="10">
        <v>777.0</v>
      </c>
      <c r="D774" s="11" t="s">
        <v>2135</v>
      </c>
      <c r="E774" s="11" t="s">
        <v>2136</v>
      </c>
      <c r="F774" s="11" t="s">
        <v>116</v>
      </c>
      <c r="G774" s="10">
        <v>777.0</v>
      </c>
      <c r="H774" s="10">
        <f>VLOOKUP(F774,'Generos y Familia'!$A$1:$C$623,2,FALSE)</f>
        <v>14</v>
      </c>
      <c r="I774" s="12" t="str">
        <f t="shared" si="1"/>
        <v>Normanbya normanbyi</v>
      </c>
      <c r="J774" s="10" t="str">
        <f t="shared" si="2"/>
        <v>777 Normanbya normanbyi</v>
      </c>
      <c r="K774" s="10" t="str">
        <f t="shared" si="3"/>
        <v>Palmera Negra; Normambia</v>
      </c>
      <c r="L774" s="10" t="str">
        <f t="shared" si="4"/>
        <v>777 Palmera Negra; Normambia</v>
      </c>
      <c r="M774" s="10" t="s">
        <v>46</v>
      </c>
      <c r="N774" s="10" t="s">
        <v>36</v>
      </c>
      <c r="O774" s="10" t="s">
        <v>117</v>
      </c>
      <c r="P774" s="10" t="s">
        <v>2137</v>
      </c>
      <c r="Q774" s="13"/>
      <c r="R774" s="13"/>
      <c r="S774" s="13"/>
      <c r="T774" s="13"/>
      <c r="U774" s="13"/>
      <c r="V774" s="13"/>
      <c r="W774" s="13"/>
      <c r="X774" s="13"/>
    </row>
    <row r="775" ht="14.25" customHeight="1">
      <c r="A775" s="10" t="s">
        <v>1928</v>
      </c>
      <c r="B775" s="10" t="s">
        <v>31</v>
      </c>
      <c r="C775" s="10">
        <v>778.0</v>
      </c>
      <c r="D775" s="11" t="s">
        <v>2138</v>
      </c>
      <c r="E775" s="11" t="s">
        <v>2139</v>
      </c>
      <c r="F775" s="11" t="s">
        <v>870</v>
      </c>
      <c r="G775" s="10">
        <v>778.0</v>
      </c>
      <c r="H775" s="10">
        <f>VLOOKUP(F775,'Generos y Familia'!$A$1:$C$623,2,FALSE)</f>
        <v>51</v>
      </c>
      <c r="I775" s="12" t="str">
        <f t="shared" si="1"/>
        <v>Ochna serrulata</v>
      </c>
      <c r="J775" s="10" t="str">
        <f t="shared" si="2"/>
        <v>778 Ochna serrulata</v>
      </c>
      <c r="K775" s="10" t="str">
        <f t="shared" si="3"/>
        <v>Mickey Mouse</v>
      </c>
      <c r="L775" s="10" t="str">
        <f t="shared" si="4"/>
        <v>778 Mickey Mouse</v>
      </c>
      <c r="M775" s="10" t="s">
        <v>46</v>
      </c>
      <c r="N775" s="10" t="s">
        <v>36</v>
      </c>
      <c r="O775" s="10" t="s">
        <v>47</v>
      </c>
      <c r="P775" s="10" t="s">
        <v>2140</v>
      </c>
      <c r="Q775" s="13"/>
      <c r="R775" s="13"/>
      <c r="S775" s="13"/>
      <c r="T775" s="13"/>
      <c r="U775" s="13"/>
      <c r="V775" s="13"/>
      <c r="W775" s="16"/>
      <c r="X775" s="13"/>
    </row>
    <row r="776" ht="14.25" customHeight="1">
      <c r="A776" s="10" t="s">
        <v>1928</v>
      </c>
      <c r="B776" s="10" t="s">
        <v>31</v>
      </c>
      <c r="C776" s="10">
        <v>779.0</v>
      </c>
      <c r="D776" s="11" t="s">
        <v>2141</v>
      </c>
      <c r="E776" s="11" t="s">
        <v>2142</v>
      </c>
      <c r="F776" s="11" t="s">
        <v>870</v>
      </c>
      <c r="G776" s="10">
        <v>779.0</v>
      </c>
      <c r="H776" s="10">
        <f>VLOOKUP(F776,'Generos y Familia'!$A$1:$C$623,2,FALSE)</f>
        <v>51</v>
      </c>
      <c r="I776" s="12" t="str">
        <f t="shared" si="1"/>
        <v>Ochna thomasiana</v>
      </c>
      <c r="J776" s="10" t="str">
        <f t="shared" si="2"/>
        <v>779 Ochna thomasiana</v>
      </c>
      <c r="K776" s="10" t="str">
        <f t="shared" si="3"/>
        <v>Árbol Mickey Mouse</v>
      </c>
      <c r="L776" s="10" t="str">
        <f t="shared" si="4"/>
        <v>779 Árbol Mickey Mouse</v>
      </c>
      <c r="M776" s="10" t="s">
        <v>46</v>
      </c>
      <c r="N776" s="10" t="s">
        <v>36</v>
      </c>
      <c r="O776" s="10" t="s">
        <v>47</v>
      </c>
      <c r="P776" s="10" t="s">
        <v>2140</v>
      </c>
      <c r="Q776" s="13"/>
      <c r="R776" s="13"/>
      <c r="S776" s="13"/>
      <c r="T776" s="13"/>
      <c r="U776" s="13"/>
      <c r="V776" s="13"/>
      <c r="W776" s="16"/>
      <c r="X776" s="13"/>
    </row>
    <row r="777" ht="14.25" customHeight="1">
      <c r="A777" s="10" t="s">
        <v>1928</v>
      </c>
      <c r="B777" s="10" t="s">
        <v>31</v>
      </c>
      <c r="C777" s="10">
        <v>780.0</v>
      </c>
      <c r="D777" s="11" t="s">
        <v>2143</v>
      </c>
      <c r="E777" s="11" t="s">
        <v>2144</v>
      </c>
      <c r="F777" s="11" t="s">
        <v>45</v>
      </c>
      <c r="G777" s="10">
        <v>780.0</v>
      </c>
      <c r="H777" s="10">
        <f>VLOOKUP(F777,'Generos y Familia'!$A$1:$C$623,2,FALSE)</f>
        <v>40</v>
      </c>
      <c r="I777" s="12" t="str">
        <f t="shared" si="1"/>
        <v>Ochroma pyramidale</v>
      </c>
      <c r="J777" s="10" t="str">
        <f t="shared" si="2"/>
        <v>780 Ochroma pyramidale</v>
      </c>
      <c r="K777" s="10" t="str">
        <f t="shared" si="3"/>
        <v>Balso; Palo de Balsa</v>
      </c>
      <c r="L777" s="10" t="str">
        <f t="shared" si="4"/>
        <v>780 Balso; Palo de Balsa</v>
      </c>
      <c r="M777" s="10" t="s">
        <v>35</v>
      </c>
      <c r="N777" s="10" t="s">
        <v>36</v>
      </c>
      <c r="O777" s="10" t="s">
        <v>37</v>
      </c>
      <c r="P777" s="10" t="s">
        <v>2145</v>
      </c>
      <c r="Q777" s="13"/>
      <c r="R777" s="13"/>
      <c r="S777" s="13"/>
      <c r="T777" s="13"/>
      <c r="U777" s="13"/>
      <c r="V777" s="13"/>
      <c r="W777" s="13"/>
      <c r="X777" s="13"/>
    </row>
    <row r="778" ht="14.25" customHeight="1">
      <c r="A778" s="10" t="s">
        <v>1928</v>
      </c>
      <c r="B778" s="10" t="s">
        <v>31</v>
      </c>
      <c r="C778" s="10">
        <v>781.0</v>
      </c>
      <c r="D778" s="11" t="s">
        <v>2146</v>
      </c>
      <c r="E778" s="11" t="s">
        <v>2147</v>
      </c>
      <c r="F778" s="11" t="s">
        <v>158</v>
      </c>
      <c r="G778" s="10">
        <v>781.0</v>
      </c>
      <c r="H778" s="10">
        <f>VLOOKUP(F778,'Generos y Familia'!$A$1:$C$623,2,FALSE)</f>
        <v>35</v>
      </c>
      <c r="I778" s="12" t="str">
        <f t="shared" si="1"/>
        <v>Ocotea aurantiodora</v>
      </c>
      <c r="J778" s="10" t="str">
        <f t="shared" si="2"/>
        <v>781 Ocotea aurantiodora</v>
      </c>
      <c r="K778" s="10" t="str">
        <f t="shared" si="3"/>
        <v>Laurel Tunoso; Laurel Ojo de Mula; Jigua Laurel</v>
      </c>
      <c r="L778" s="10" t="str">
        <f t="shared" si="4"/>
        <v>781 Laurel Tunoso; Laurel Ojo de Mula; Jigua Laurel</v>
      </c>
      <c r="M778" s="10" t="s">
        <v>35</v>
      </c>
      <c r="N778" s="10" t="s">
        <v>36</v>
      </c>
      <c r="O778" s="10" t="s">
        <v>37</v>
      </c>
      <c r="P778" s="10" t="s">
        <v>2148</v>
      </c>
      <c r="Q778" s="13"/>
      <c r="R778" s="13"/>
      <c r="S778" s="13"/>
      <c r="T778" s="13"/>
      <c r="U778" s="13"/>
      <c r="V778" s="13"/>
      <c r="W778" s="13"/>
      <c r="X778" s="13"/>
    </row>
    <row r="779" ht="14.25" customHeight="1">
      <c r="A779" s="10" t="s">
        <v>1928</v>
      </c>
      <c r="B779" s="10" t="s">
        <v>31</v>
      </c>
      <c r="C779" s="10">
        <v>782.0</v>
      </c>
      <c r="D779" s="11" t="s">
        <v>2149</v>
      </c>
      <c r="E779" s="11" t="s">
        <v>2150</v>
      </c>
      <c r="F779" s="11" t="s">
        <v>158</v>
      </c>
      <c r="G779" s="10">
        <v>782.0</v>
      </c>
      <c r="H779" s="10">
        <f>VLOOKUP(F779,'Generos y Familia'!$A$1:$C$623,2,FALSE)</f>
        <v>35</v>
      </c>
      <c r="I779" s="12" t="str">
        <f t="shared" si="1"/>
        <v>Ocotea macrophylla</v>
      </c>
      <c r="J779" s="10" t="str">
        <f t="shared" si="2"/>
        <v>782 Ocotea macrophylla</v>
      </c>
      <c r="K779" s="10" t="str">
        <f t="shared" si="3"/>
        <v>Laurel; Jigua Amarillo</v>
      </c>
      <c r="L779" s="10" t="str">
        <f t="shared" si="4"/>
        <v>782 Laurel; Jigua Amarillo</v>
      </c>
      <c r="M779" s="10" t="s">
        <v>35</v>
      </c>
      <c r="N779" s="10" t="s">
        <v>36</v>
      </c>
      <c r="O779" s="10" t="s">
        <v>37</v>
      </c>
      <c r="P779" s="10" t="s">
        <v>2148</v>
      </c>
      <c r="Q779" s="13"/>
      <c r="R779" s="13"/>
      <c r="S779" s="13"/>
      <c r="T779" s="13"/>
      <c r="U779" s="13"/>
      <c r="V779" s="13"/>
      <c r="W779" s="13"/>
      <c r="X779" s="13"/>
    </row>
    <row r="780" ht="14.25" customHeight="1">
      <c r="A780" s="10" t="s">
        <v>1928</v>
      </c>
      <c r="B780" s="10" t="s">
        <v>31</v>
      </c>
      <c r="C780" s="10">
        <v>783.0</v>
      </c>
      <c r="D780" s="11" t="s">
        <v>2151</v>
      </c>
      <c r="E780" s="11" t="s">
        <v>2152</v>
      </c>
      <c r="F780" s="11" t="s">
        <v>158</v>
      </c>
      <c r="G780" s="10">
        <v>783.0</v>
      </c>
      <c r="H780" s="10">
        <f>VLOOKUP(F780,'Generos y Familia'!$A$1:$C$623,2,FALSE)</f>
        <v>35</v>
      </c>
      <c r="I780" s="12" t="str">
        <f t="shared" si="1"/>
        <v>Ocotea guianensis</v>
      </c>
      <c r="J780" s="10" t="str">
        <f t="shared" si="2"/>
        <v>783 Ocotea guianensis</v>
      </c>
      <c r="K780" s="10" t="str">
        <f t="shared" si="3"/>
        <v>Laurel Mono; Laurel Pajita; Laurel; Laurel Tabaidá</v>
      </c>
      <c r="L780" s="10" t="str">
        <f t="shared" si="4"/>
        <v>783 Laurel Mono; Laurel Pajita; Laurel; Laurel Tabaidá</v>
      </c>
      <c r="M780" s="10" t="s">
        <v>35</v>
      </c>
      <c r="N780" s="10" t="s">
        <v>36</v>
      </c>
      <c r="O780" s="10" t="s">
        <v>37</v>
      </c>
      <c r="P780" s="10" t="s">
        <v>2148</v>
      </c>
      <c r="Q780" s="13"/>
      <c r="R780" s="13"/>
      <c r="S780" s="13"/>
      <c r="T780" s="13"/>
      <c r="U780" s="13"/>
      <c r="V780" s="13"/>
      <c r="W780" s="13"/>
      <c r="X780" s="13"/>
    </row>
    <row r="781" ht="14.25" customHeight="1">
      <c r="A781" s="10" t="s">
        <v>1928</v>
      </c>
      <c r="B781" s="10" t="s">
        <v>31</v>
      </c>
      <c r="C781" s="10">
        <v>784.0</v>
      </c>
      <c r="D781" s="11" t="s">
        <v>2153</v>
      </c>
      <c r="E781" s="11" t="s">
        <v>2154</v>
      </c>
      <c r="F781" s="11" t="s">
        <v>158</v>
      </c>
      <c r="G781" s="10">
        <v>784.0</v>
      </c>
      <c r="H781" s="10">
        <f>VLOOKUP(F781,'Generos y Familia'!$A$1:$C$623,2,FALSE)</f>
        <v>35</v>
      </c>
      <c r="I781" s="12" t="str">
        <f t="shared" si="1"/>
        <v>Ocotea insularis</v>
      </c>
      <c r="J781" s="10" t="str">
        <f t="shared" si="2"/>
        <v>784 Ocotea insularis</v>
      </c>
      <c r="K781" s="10" t="str">
        <f t="shared" si="3"/>
        <v>Laurel Blanco</v>
      </c>
      <c r="L781" s="10" t="str">
        <f t="shared" si="4"/>
        <v>784 Laurel Blanco</v>
      </c>
      <c r="M781" s="10" t="s">
        <v>35</v>
      </c>
      <c r="N781" s="10" t="s">
        <v>36</v>
      </c>
      <c r="O781" s="10" t="s">
        <v>37</v>
      </c>
      <c r="P781" s="10" t="s">
        <v>2148</v>
      </c>
      <c r="Q781" s="13"/>
      <c r="R781" s="13"/>
      <c r="S781" s="13"/>
      <c r="T781" s="13"/>
      <c r="U781" s="13"/>
      <c r="V781" s="13"/>
      <c r="W781" s="13"/>
      <c r="X781" s="13"/>
    </row>
    <row r="782" ht="14.25" customHeight="1">
      <c r="A782" s="10" t="s">
        <v>1928</v>
      </c>
      <c r="B782" s="10" t="s">
        <v>31</v>
      </c>
      <c r="C782" s="10">
        <v>785.0</v>
      </c>
      <c r="D782" s="11" t="s">
        <v>2155</v>
      </c>
      <c r="E782" s="11" t="s">
        <v>2156</v>
      </c>
      <c r="F782" s="11" t="s">
        <v>158</v>
      </c>
      <c r="G782" s="10">
        <v>785.0</v>
      </c>
      <c r="H782" s="10">
        <f>VLOOKUP(F782,'Generos y Familia'!$A$1:$C$623,2,FALSE)</f>
        <v>35</v>
      </c>
      <c r="I782" s="12" t="str">
        <f t="shared" si="1"/>
        <v>Ocotea longifolia</v>
      </c>
      <c r="J782" s="10" t="str">
        <f t="shared" si="2"/>
        <v>785 Ocotea longifolia</v>
      </c>
      <c r="K782" s="10" t="str">
        <f t="shared" si="3"/>
        <v>Laurel; Matatigre; Tigrito; Laurel Guacharaco</v>
      </c>
      <c r="L782" s="10" t="str">
        <f t="shared" si="4"/>
        <v>785 Laurel; Matatigre; Tigrito; Laurel Guacharaco</v>
      </c>
      <c r="M782" s="10" t="s">
        <v>35</v>
      </c>
      <c r="N782" s="10" t="s">
        <v>36</v>
      </c>
      <c r="O782" s="10" t="s">
        <v>37</v>
      </c>
      <c r="P782" s="10" t="s">
        <v>2148</v>
      </c>
      <c r="Q782" s="13"/>
      <c r="R782" s="13"/>
      <c r="S782" s="13"/>
      <c r="T782" s="13"/>
      <c r="U782" s="13"/>
      <c r="V782" s="13"/>
      <c r="W782" s="13"/>
      <c r="X782" s="13"/>
    </row>
    <row r="783" ht="14.25" customHeight="1">
      <c r="A783" s="10" t="s">
        <v>1928</v>
      </c>
      <c r="B783" s="10" t="s">
        <v>31</v>
      </c>
      <c r="C783" s="10">
        <v>786.0</v>
      </c>
      <c r="D783" s="11" t="s">
        <v>2157</v>
      </c>
      <c r="E783" s="11" t="s">
        <v>2158</v>
      </c>
      <c r="F783" s="11" t="s">
        <v>158</v>
      </c>
      <c r="G783" s="10">
        <v>786.0</v>
      </c>
      <c r="H783" s="10">
        <f>VLOOKUP(F783,'Generos y Familia'!$A$1:$C$623,2,FALSE)</f>
        <v>35</v>
      </c>
      <c r="I783" s="12" t="str">
        <f t="shared" si="1"/>
        <v>Ocotea macropoda</v>
      </c>
      <c r="J783" s="10" t="str">
        <f t="shared" si="2"/>
        <v>786 Ocotea macropoda</v>
      </c>
      <c r="K783" s="10" t="str">
        <f t="shared" si="3"/>
        <v>Laurel Yema de Huevo</v>
      </c>
      <c r="L783" s="10" t="str">
        <f t="shared" si="4"/>
        <v>786 Laurel Yema de Huevo</v>
      </c>
      <c r="M783" s="10" t="s">
        <v>35</v>
      </c>
      <c r="N783" s="10" t="s">
        <v>36</v>
      </c>
      <c r="O783" s="10" t="s">
        <v>37</v>
      </c>
      <c r="P783" s="10" t="s">
        <v>2148</v>
      </c>
      <c r="Q783" s="13"/>
      <c r="R783" s="13"/>
      <c r="S783" s="13"/>
      <c r="T783" s="13"/>
      <c r="U783" s="13"/>
      <c r="V783" s="13"/>
      <c r="W783" s="13"/>
      <c r="X783" s="13"/>
    </row>
    <row r="784" ht="14.25" customHeight="1">
      <c r="A784" s="10" t="s">
        <v>1928</v>
      </c>
      <c r="B784" s="10" t="s">
        <v>31</v>
      </c>
      <c r="C784" s="10">
        <v>787.0</v>
      </c>
      <c r="D784" s="11" t="s">
        <v>2159</v>
      </c>
      <c r="E784" s="11" t="s">
        <v>2160</v>
      </c>
      <c r="F784" s="11" t="s">
        <v>158</v>
      </c>
      <c r="G784" s="10">
        <v>787.0</v>
      </c>
      <c r="H784" s="10">
        <f>VLOOKUP(F784,'Generos y Familia'!$A$1:$C$623,2,FALSE)</f>
        <v>35</v>
      </c>
      <c r="I784" s="12" t="str">
        <f t="shared" si="1"/>
        <v>Ocotea sp</v>
      </c>
      <c r="J784" s="10" t="str">
        <f t="shared" si="2"/>
        <v>787 Ocotea sp</v>
      </c>
      <c r="K784" s="10" t="str">
        <f t="shared" si="3"/>
        <v>Laurel de Bola</v>
      </c>
      <c r="L784" s="10" t="str">
        <f t="shared" si="4"/>
        <v>787 Laurel de Bola</v>
      </c>
      <c r="M784" s="10" t="s">
        <v>35</v>
      </c>
      <c r="N784" s="10" t="s">
        <v>36</v>
      </c>
      <c r="O784" s="10" t="s">
        <v>37</v>
      </c>
      <c r="P784" s="10" t="s">
        <v>2148</v>
      </c>
      <c r="Q784" s="13"/>
      <c r="R784" s="13"/>
      <c r="S784" s="13"/>
      <c r="T784" s="13"/>
      <c r="U784" s="13"/>
      <c r="V784" s="13"/>
      <c r="W784" s="13"/>
      <c r="X784" s="13"/>
    </row>
    <row r="785" ht="14.25" customHeight="1">
      <c r="A785" s="10" t="s">
        <v>1928</v>
      </c>
      <c r="B785" s="10" t="s">
        <v>31</v>
      </c>
      <c r="C785" s="10">
        <v>788.0</v>
      </c>
      <c r="D785" s="11" t="s">
        <v>2161</v>
      </c>
      <c r="E785" s="11" t="s">
        <v>2162</v>
      </c>
      <c r="F785" s="11" t="s">
        <v>116</v>
      </c>
      <c r="G785" s="10">
        <v>788.0</v>
      </c>
      <c r="H785" s="10">
        <f>VLOOKUP(F785,'Generos y Familia'!$A$1:$C$623,2,FALSE)</f>
        <v>14</v>
      </c>
      <c r="I785" s="12" t="str">
        <f t="shared" si="1"/>
        <v>Oenocarpus bataua</v>
      </c>
      <c r="J785" s="10" t="str">
        <f t="shared" si="2"/>
        <v>788 Oenocarpus bataua</v>
      </c>
      <c r="K785" s="10" t="str">
        <f t="shared" si="3"/>
        <v>Palma Mil Pesos; Milpesos; Chapil</v>
      </c>
      <c r="L785" s="10" t="str">
        <f t="shared" si="4"/>
        <v>788 Palma Mil Pesos; Milpesos; Chapil</v>
      </c>
      <c r="M785" s="10" t="s">
        <v>35</v>
      </c>
      <c r="N785" s="10" t="s">
        <v>36</v>
      </c>
      <c r="O785" s="10" t="s">
        <v>117</v>
      </c>
      <c r="P785" s="10" t="s">
        <v>2163</v>
      </c>
      <c r="Q785" s="13"/>
      <c r="R785" s="13"/>
      <c r="S785" s="13"/>
      <c r="T785" s="13"/>
      <c r="U785" s="13"/>
      <c r="V785" s="13"/>
      <c r="W785" s="16"/>
      <c r="X785" s="13"/>
    </row>
    <row r="786" ht="14.25" customHeight="1">
      <c r="A786" s="10" t="s">
        <v>1928</v>
      </c>
      <c r="B786" s="10" t="s">
        <v>63</v>
      </c>
      <c r="C786" s="10">
        <v>789.0</v>
      </c>
      <c r="D786" s="11" t="s">
        <v>2164</v>
      </c>
      <c r="E786" s="11" t="s">
        <v>2165</v>
      </c>
      <c r="F786" s="11" t="s">
        <v>523</v>
      </c>
      <c r="G786" s="10">
        <v>789.0</v>
      </c>
      <c r="H786" s="10">
        <f>VLOOKUP(F786,'Generos y Familia'!$A$1:$C$623,2,FALSE)</f>
        <v>26</v>
      </c>
      <c r="I786" s="12" t="str">
        <f t="shared" si="1"/>
        <v>Opuntia ficus-indica</v>
      </c>
      <c r="J786" s="10" t="str">
        <f t="shared" si="2"/>
        <v>789 Opuntia ficus-indica</v>
      </c>
      <c r="K786" s="10" t="str">
        <f t="shared" si="3"/>
        <v>Nopal; Chumbo; Tuna</v>
      </c>
      <c r="L786" s="10" t="str">
        <f t="shared" si="4"/>
        <v>789 Nopal; Chumbo; Tuna</v>
      </c>
      <c r="M786" s="10" t="s">
        <v>46</v>
      </c>
      <c r="N786" s="10" t="s">
        <v>36</v>
      </c>
      <c r="O786" s="10" t="s">
        <v>524</v>
      </c>
      <c r="P786" s="10" t="s">
        <v>2166</v>
      </c>
      <c r="Q786" s="13"/>
      <c r="R786" s="13"/>
      <c r="S786" s="13"/>
      <c r="T786" s="13"/>
      <c r="U786" s="13"/>
      <c r="V786" s="13"/>
      <c r="W786" s="13"/>
      <c r="X786" s="13"/>
    </row>
    <row r="787" ht="14.25" customHeight="1">
      <c r="A787" s="10" t="s">
        <v>1928</v>
      </c>
      <c r="B787" s="10" t="s">
        <v>31</v>
      </c>
      <c r="C787" s="10">
        <v>790.0</v>
      </c>
      <c r="D787" s="11" t="s">
        <v>2167</v>
      </c>
      <c r="E787" s="11" t="s">
        <v>2168</v>
      </c>
      <c r="F787" s="11" t="s">
        <v>116</v>
      </c>
      <c r="G787" s="10">
        <v>790.0</v>
      </c>
      <c r="H787" s="10">
        <f>VLOOKUP(F787,'Generos y Familia'!$A$1:$C$623,2,FALSE)</f>
        <v>14</v>
      </c>
      <c r="I787" s="12" t="str">
        <f t="shared" si="1"/>
        <v>Orania palindan</v>
      </c>
      <c r="J787" s="10" t="str">
        <f t="shared" si="2"/>
        <v>790 Orania palindan</v>
      </c>
      <c r="K787" s="10" t="str">
        <f t="shared" si="3"/>
        <v>Blanco</v>
      </c>
      <c r="L787" s="10" t="str">
        <f t="shared" si="4"/>
        <v>790 Blanco</v>
      </c>
      <c r="M787" s="10" t="s">
        <v>46</v>
      </c>
      <c r="N787" s="10" t="s">
        <v>28</v>
      </c>
      <c r="O787" s="10" t="s">
        <v>117</v>
      </c>
      <c r="P787" s="10" t="s">
        <v>2169</v>
      </c>
      <c r="Q787" s="13"/>
      <c r="R787" s="13"/>
      <c r="S787" s="13"/>
      <c r="T787" s="13"/>
      <c r="U787" s="13"/>
      <c r="V787" s="13"/>
      <c r="W787" s="16"/>
      <c r="X787" s="13"/>
    </row>
    <row r="788" ht="14.25" customHeight="1">
      <c r="A788" s="10" t="s">
        <v>1928</v>
      </c>
      <c r="B788" s="10" t="s">
        <v>31</v>
      </c>
      <c r="C788" s="10">
        <v>791.0</v>
      </c>
      <c r="D788" s="11" t="s">
        <v>2170</v>
      </c>
      <c r="E788" s="11" t="s">
        <v>2171</v>
      </c>
      <c r="F788" s="11" t="s">
        <v>324</v>
      </c>
      <c r="G788" s="10">
        <v>791.0</v>
      </c>
      <c r="H788" s="10">
        <f>VLOOKUP(F788,'Generos y Familia'!$A$1:$C$623,2,FALSE)</f>
        <v>12</v>
      </c>
      <c r="I788" s="12" t="str">
        <f t="shared" si="1"/>
        <v>Oreopanax sp</v>
      </c>
      <c r="J788" s="10" t="str">
        <f t="shared" si="2"/>
        <v>791 Oreopanax sp</v>
      </c>
      <c r="K788" s="10" t="str">
        <f t="shared" si="3"/>
        <v>Mano de Oso</v>
      </c>
      <c r="L788" s="10" t="str">
        <f t="shared" si="4"/>
        <v>791 Mano de Oso</v>
      </c>
      <c r="M788" s="10" t="s">
        <v>35</v>
      </c>
      <c r="N788" s="10" t="s">
        <v>36</v>
      </c>
      <c r="O788" s="10" t="s">
        <v>37</v>
      </c>
      <c r="P788" s="10" t="s">
        <v>2172</v>
      </c>
      <c r="Q788" s="17" t="s">
        <v>145</v>
      </c>
      <c r="R788" s="14" t="s">
        <v>39</v>
      </c>
      <c r="S788" s="17" t="s">
        <v>817</v>
      </c>
      <c r="T788" s="14" t="s">
        <v>39</v>
      </c>
      <c r="U788" s="14" t="s">
        <v>55</v>
      </c>
      <c r="V788" s="14"/>
      <c r="W788" s="17"/>
      <c r="X788" s="14"/>
    </row>
    <row r="789" ht="14.25" customHeight="1">
      <c r="A789" s="10" t="s">
        <v>1928</v>
      </c>
      <c r="B789" s="10" t="s">
        <v>31</v>
      </c>
      <c r="C789" s="10">
        <v>792.0</v>
      </c>
      <c r="D789" s="11" t="s">
        <v>2173</v>
      </c>
      <c r="E789" s="11" t="s">
        <v>2174</v>
      </c>
      <c r="F789" s="11" t="s">
        <v>34</v>
      </c>
      <c r="G789" s="10">
        <v>792.0</v>
      </c>
      <c r="H789" s="10">
        <f>VLOOKUP(F789,'Generos y Familia'!$A$1:$C$623,2,FALSE)</f>
        <v>27</v>
      </c>
      <c r="I789" s="12" t="str">
        <f t="shared" si="1"/>
        <v>Ormosia colombiana</v>
      </c>
      <c r="J789" s="10" t="str">
        <f t="shared" si="2"/>
        <v>792 Ormosia colombiana</v>
      </c>
      <c r="K789" s="10" t="str">
        <f t="shared" si="3"/>
        <v>Chocho; Alcornoque; Frijolillo de la Suerte</v>
      </c>
      <c r="L789" s="10" t="str">
        <f t="shared" si="4"/>
        <v>792 Chocho; Alcornoque; Frijolillo de la Suerte</v>
      </c>
      <c r="M789" s="10" t="s">
        <v>35</v>
      </c>
      <c r="N789" s="10" t="s">
        <v>36</v>
      </c>
      <c r="O789" s="10" t="s">
        <v>37</v>
      </c>
      <c r="P789" s="10" t="s">
        <v>2175</v>
      </c>
      <c r="Q789" s="13"/>
      <c r="R789" s="13"/>
      <c r="S789" s="13"/>
      <c r="T789" s="13"/>
      <c r="U789" s="13"/>
      <c r="V789" s="13"/>
      <c r="W789" s="13"/>
      <c r="X789" s="13"/>
    </row>
    <row r="790" ht="14.25" customHeight="1">
      <c r="A790" s="10" t="s">
        <v>1928</v>
      </c>
      <c r="B790" s="10" t="s">
        <v>31</v>
      </c>
      <c r="C790" s="10">
        <v>793.0</v>
      </c>
      <c r="D790" s="11" t="s">
        <v>2176</v>
      </c>
      <c r="E790" s="11" t="s">
        <v>2177</v>
      </c>
      <c r="F790" s="11" t="s">
        <v>34</v>
      </c>
      <c r="G790" s="10">
        <v>793.0</v>
      </c>
      <c r="H790" s="10">
        <f>VLOOKUP(F790,'Generos y Familia'!$A$1:$C$623,2,FALSE)</f>
        <v>27</v>
      </c>
      <c r="I790" s="12" t="str">
        <f t="shared" si="1"/>
        <v>Ormosia sp</v>
      </c>
      <c r="J790" s="10" t="str">
        <f t="shared" si="2"/>
        <v>793 Ormosia sp</v>
      </c>
      <c r="K790" s="10" t="str">
        <f t="shared" si="3"/>
        <v>Chocho</v>
      </c>
      <c r="L790" s="10" t="str">
        <f t="shared" si="4"/>
        <v>793 Chocho</v>
      </c>
      <c r="M790" s="10" t="s">
        <v>35</v>
      </c>
      <c r="N790" s="10" t="s">
        <v>36</v>
      </c>
      <c r="O790" s="10" t="s">
        <v>37</v>
      </c>
      <c r="P790" s="10" t="s">
        <v>2175</v>
      </c>
      <c r="Q790" s="13"/>
      <c r="R790" s="13"/>
      <c r="S790" s="13"/>
      <c r="T790" s="13"/>
      <c r="U790" s="13"/>
      <c r="V790" s="13"/>
      <c r="W790" s="13"/>
      <c r="X790" s="13"/>
    </row>
    <row r="791" ht="14.25" customHeight="1">
      <c r="A791" s="10" t="s">
        <v>1928</v>
      </c>
      <c r="B791" s="10" t="s">
        <v>31</v>
      </c>
      <c r="C791" s="10">
        <v>794.0</v>
      </c>
      <c r="D791" s="11" t="s">
        <v>2178</v>
      </c>
      <c r="E791" s="11" t="s">
        <v>2179</v>
      </c>
      <c r="F791" s="11" t="s">
        <v>1049</v>
      </c>
      <c r="G791" s="10">
        <v>794.0</v>
      </c>
      <c r="H791" s="10">
        <f>VLOOKUP(F791,'Generos y Familia'!$A$1:$C$623,2,FALSE)</f>
        <v>47</v>
      </c>
      <c r="I791" s="12" t="str">
        <f t="shared" si="1"/>
        <v>Otoba novogranatensis</v>
      </c>
      <c r="J791" s="10" t="str">
        <f t="shared" si="2"/>
        <v>794 Otoba novogranatensis</v>
      </c>
      <c r="K791" s="10" t="str">
        <f t="shared" si="3"/>
        <v>Otobo; Cuangare; Sangregallino; Soto Sangre</v>
      </c>
      <c r="L791" s="10" t="str">
        <f t="shared" si="4"/>
        <v>794 Otobo; Cuangare; Sangregallino; Soto Sangre</v>
      </c>
      <c r="M791" s="10" t="s">
        <v>35</v>
      </c>
      <c r="N791" s="10" t="s">
        <v>36</v>
      </c>
      <c r="O791" s="10" t="s">
        <v>37</v>
      </c>
      <c r="P791" s="10" t="s">
        <v>2180</v>
      </c>
      <c r="Q791" s="13"/>
      <c r="R791" s="13"/>
      <c r="S791" s="13"/>
      <c r="T791" s="13"/>
      <c r="U791" s="13"/>
      <c r="V791" s="13"/>
      <c r="W791" s="13"/>
      <c r="X791" s="13"/>
    </row>
    <row r="792" ht="14.25" customHeight="1">
      <c r="A792" s="10" t="s">
        <v>1928</v>
      </c>
      <c r="B792" s="10" t="s">
        <v>31</v>
      </c>
      <c r="C792" s="10">
        <v>795.0</v>
      </c>
      <c r="D792" s="11" t="s">
        <v>2181</v>
      </c>
      <c r="E792" s="11" t="s">
        <v>2181</v>
      </c>
      <c r="F792" s="11" t="s">
        <v>258</v>
      </c>
      <c r="G792" s="10">
        <v>795.0</v>
      </c>
      <c r="H792" s="10">
        <f>VLOOKUP(F792,'Generos y Familia'!$A$1:$C$623,2,FALSE)</f>
        <v>7</v>
      </c>
      <c r="I792" s="12" t="str">
        <f t="shared" si="1"/>
        <v>Ozoroa sphaerocarpa</v>
      </c>
      <c r="J792" s="10" t="str">
        <f t="shared" si="2"/>
        <v>795 Ozoroa sphaerocarpa</v>
      </c>
      <c r="K792" s="10" t="str">
        <f t="shared" si="3"/>
        <v>Ozoroa sphaerocarpa</v>
      </c>
      <c r="L792" s="10" t="str">
        <f t="shared" si="4"/>
        <v>795 Ozoroa sphaerocarpa</v>
      </c>
      <c r="M792" s="10" t="s">
        <v>46</v>
      </c>
      <c r="N792" s="10" t="s">
        <v>28</v>
      </c>
      <c r="O792" s="10" t="s">
        <v>37</v>
      </c>
      <c r="P792" s="10" t="s">
        <v>2182</v>
      </c>
      <c r="Q792" s="13"/>
      <c r="R792" s="13"/>
      <c r="S792" s="13"/>
      <c r="T792" s="13"/>
      <c r="U792" s="13"/>
      <c r="V792" s="13"/>
      <c r="W792" s="13"/>
      <c r="X792" s="13"/>
    </row>
    <row r="793" ht="14.25" customHeight="1">
      <c r="A793" s="10" t="s">
        <v>1928</v>
      </c>
      <c r="B793" s="10" t="s">
        <v>31</v>
      </c>
      <c r="C793" s="10">
        <v>796.0</v>
      </c>
      <c r="D793" s="11" t="s">
        <v>2183</v>
      </c>
      <c r="E793" s="11" t="s">
        <v>2184</v>
      </c>
      <c r="F793" s="11" t="s">
        <v>45</v>
      </c>
      <c r="G793" s="10">
        <v>796.0</v>
      </c>
      <c r="H793" s="10">
        <f>VLOOKUP(F793,'Generos y Familia'!$A$1:$C$623,2,FALSE)</f>
        <v>40</v>
      </c>
      <c r="I793" s="12" t="str">
        <f t="shared" si="1"/>
        <v>Pachira aquatica</v>
      </c>
      <c r="J793" s="10" t="str">
        <f t="shared" si="2"/>
        <v>796 Pachira aquatica</v>
      </c>
      <c r="K793" s="10" t="str">
        <f t="shared" si="3"/>
        <v>Ceibo de Agua; Castaño de Agua; Cacao de Monte</v>
      </c>
      <c r="L793" s="10" t="str">
        <f t="shared" si="4"/>
        <v>796 Ceibo de Agua; Castaño de Agua; Cacao de Monte</v>
      </c>
      <c r="M793" s="10" t="s">
        <v>35</v>
      </c>
      <c r="N793" s="10" t="s">
        <v>36</v>
      </c>
      <c r="O793" s="10" t="s">
        <v>37</v>
      </c>
      <c r="P793" s="10" t="s">
        <v>2185</v>
      </c>
      <c r="Q793" s="13"/>
      <c r="R793" s="13"/>
      <c r="S793" s="13"/>
      <c r="T793" s="13"/>
      <c r="U793" s="13"/>
      <c r="V793" s="13"/>
      <c r="W793" s="13"/>
      <c r="X793" s="13"/>
    </row>
    <row r="794" ht="14.25" customHeight="1">
      <c r="A794" s="10" t="s">
        <v>1928</v>
      </c>
      <c r="B794" s="10" t="s">
        <v>31</v>
      </c>
      <c r="C794" s="10">
        <v>797.0</v>
      </c>
      <c r="D794" s="11" t="s">
        <v>2186</v>
      </c>
      <c r="E794" s="11" t="s">
        <v>2187</v>
      </c>
      <c r="F794" s="11" t="s">
        <v>45</v>
      </c>
      <c r="G794" s="10">
        <v>797.0</v>
      </c>
      <c r="H794" s="10">
        <f>VLOOKUP(F794,'Generos y Familia'!$A$1:$C$623,2,FALSE)</f>
        <v>40</v>
      </c>
      <c r="I794" s="12" t="str">
        <f t="shared" si="1"/>
        <v>Pachira insignis</v>
      </c>
      <c r="J794" s="10" t="str">
        <f t="shared" si="2"/>
        <v>797 Pachira insignis</v>
      </c>
      <c r="K794" s="10" t="str">
        <f t="shared" si="3"/>
        <v>Castaño (Insignis); Castaño Silvestre; Cacao Ornamental; Zapotolongo</v>
      </c>
      <c r="L794" s="10" t="str">
        <f t="shared" si="4"/>
        <v>797 Castaño (Insignis); Castaño Silvestre; Cacao Ornamental; Zapotolongo</v>
      </c>
      <c r="M794" s="10" t="s">
        <v>35</v>
      </c>
      <c r="N794" s="10" t="s">
        <v>36</v>
      </c>
      <c r="O794" s="10" t="s">
        <v>37</v>
      </c>
      <c r="P794" s="10" t="s">
        <v>2185</v>
      </c>
      <c r="Q794" s="13"/>
      <c r="R794" s="13"/>
      <c r="S794" s="13"/>
      <c r="T794" s="13"/>
      <c r="U794" s="13"/>
      <c r="V794" s="13"/>
      <c r="W794" s="13"/>
      <c r="X794" s="13"/>
    </row>
    <row r="795" ht="14.25" customHeight="1">
      <c r="A795" s="10" t="s">
        <v>1928</v>
      </c>
      <c r="B795" s="10" t="s">
        <v>31</v>
      </c>
      <c r="C795" s="10">
        <v>798.0</v>
      </c>
      <c r="D795" s="11" t="s">
        <v>2188</v>
      </c>
      <c r="E795" s="11" t="s">
        <v>2189</v>
      </c>
      <c r="F795" s="11" t="s">
        <v>45</v>
      </c>
      <c r="G795" s="10">
        <v>798.0</v>
      </c>
      <c r="H795" s="10">
        <f>VLOOKUP(F795,'Generos y Familia'!$A$1:$C$623,2,FALSE)</f>
        <v>40</v>
      </c>
      <c r="I795" s="12" t="str">
        <f t="shared" si="1"/>
        <v>Pachira quinata</v>
      </c>
      <c r="J795" s="10" t="str">
        <f t="shared" si="2"/>
        <v>798 Pachira quinata</v>
      </c>
      <c r="K795" s="10" t="str">
        <f t="shared" si="3"/>
        <v>Tolúa; Ceiba Tolúa</v>
      </c>
      <c r="L795" s="10" t="str">
        <f t="shared" si="4"/>
        <v>798 Tolúa; Ceiba Tolúa</v>
      </c>
      <c r="M795" s="10" t="s">
        <v>35</v>
      </c>
      <c r="N795" s="10" t="s">
        <v>36</v>
      </c>
      <c r="O795" s="10" t="s">
        <v>37</v>
      </c>
      <c r="P795" s="10" t="s">
        <v>2185</v>
      </c>
      <c r="Q795" s="13"/>
      <c r="R795" s="13"/>
      <c r="S795" s="13"/>
      <c r="T795" s="13"/>
      <c r="U795" s="13"/>
      <c r="V795" s="13"/>
      <c r="W795" s="13"/>
      <c r="X795" s="13"/>
    </row>
    <row r="796" ht="14.25" customHeight="1">
      <c r="A796" s="10" t="s">
        <v>1928</v>
      </c>
      <c r="B796" s="10" t="s">
        <v>31</v>
      </c>
      <c r="C796" s="10">
        <v>799.0</v>
      </c>
      <c r="D796" s="11" t="s">
        <v>2190</v>
      </c>
      <c r="E796" s="11" t="s">
        <v>2191</v>
      </c>
      <c r="F796" s="11" t="s">
        <v>45</v>
      </c>
      <c r="G796" s="10">
        <v>799.0</v>
      </c>
      <c r="H796" s="10">
        <f>VLOOKUP(F796,'Generos y Familia'!$A$1:$C$623,2,FALSE)</f>
        <v>40</v>
      </c>
      <c r="I796" s="12" t="str">
        <f t="shared" si="1"/>
        <v>Pachira sp</v>
      </c>
      <c r="J796" s="10" t="str">
        <f t="shared" si="2"/>
        <v>799 Pachira sp</v>
      </c>
      <c r="K796" s="10" t="str">
        <f t="shared" si="3"/>
        <v>Nuez del Brasil</v>
      </c>
      <c r="L796" s="10" t="str">
        <f t="shared" si="4"/>
        <v>799 Nuez del Brasil</v>
      </c>
      <c r="M796" s="10" t="s">
        <v>35</v>
      </c>
      <c r="N796" s="10" t="s">
        <v>36</v>
      </c>
      <c r="O796" s="10" t="s">
        <v>37</v>
      </c>
      <c r="P796" s="10" t="s">
        <v>2185</v>
      </c>
      <c r="Q796" s="17" t="s">
        <v>145</v>
      </c>
      <c r="R796" s="14"/>
      <c r="S796" s="17" t="s">
        <v>70</v>
      </c>
      <c r="T796" s="14"/>
      <c r="U796" s="14" t="s">
        <v>40</v>
      </c>
      <c r="V796" s="14"/>
      <c r="W796" s="17"/>
      <c r="X796" s="14" t="s">
        <v>41</v>
      </c>
    </row>
    <row r="797" ht="14.25" customHeight="1">
      <c r="A797" s="10" t="s">
        <v>1928</v>
      </c>
      <c r="B797" s="10" t="s">
        <v>31</v>
      </c>
      <c r="C797" s="10">
        <v>800.0</v>
      </c>
      <c r="D797" s="11" t="s">
        <v>2192</v>
      </c>
      <c r="E797" s="11" t="s">
        <v>2193</v>
      </c>
      <c r="F797" s="11" t="s">
        <v>45</v>
      </c>
      <c r="G797" s="10">
        <v>800.0</v>
      </c>
      <c r="H797" s="10">
        <f>VLOOKUP(F797,'Generos y Familia'!$A$1:$C$623,2,FALSE)</f>
        <v>40</v>
      </c>
      <c r="I797" s="12" t="str">
        <f t="shared" si="1"/>
        <v>Pachira speciosa</v>
      </c>
      <c r="J797" s="10" t="str">
        <f t="shared" si="2"/>
        <v>800 Pachira speciosa</v>
      </c>
      <c r="K797" s="10" t="str">
        <f t="shared" si="3"/>
        <v>Castaño; Cacao de Monte</v>
      </c>
      <c r="L797" s="10" t="str">
        <f t="shared" si="4"/>
        <v>800 Castaño; Cacao de Monte</v>
      </c>
      <c r="M797" s="10" t="s">
        <v>35</v>
      </c>
      <c r="N797" s="10" t="s">
        <v>36</v>
      </c>
      <c r="O797" s="10" t="s">
        <v>37</v>
      </c>
      <c r="P797" s="10" t="s">
        <v>2185</v>
      </c>
      <c r="Q797" s="13"/>
      <c r="R797" s="13"/>
      <c r="S797" s="13"/>
      <c r="T797" s="13"/>
      <c r="U797" s="13"/>
      <c r="V797" s="13"/>
      <c r="W797" s="16"/>
      <c r="X797" s="13"/>
    </row>
    <row r="798" ht="14.25" customHeight="1">
      <c r="A798" s="10" t="s">
        <v>1928</v>
      </c>
      <c r="B798" s="10" t="s">
        <v>31</v>
      </c>
      <c r="C798" s="10">
        <v>801.0</v>
      </c>
      <c r="D798" s="11" t="s">
        <v>2194</v>
      </c>
      <c r="E798" s="11" t="s">
        <v>2195</v>
      </c>
      <c r="F798" s="11" t="s">
        <v>320</v>
      </c>
      <c r="G798" s="10">
        <v>801.0</v>
      </c>
      <c r="H798" s="10">
        <f>VLOOKUP(F798,'Generos y Familia'!$A$1:$C$623,2,FALSE)</f>
        <v>1</v>
      </c>
      <c r="I798" s="12" t="str">
        <f t="shared" si="1"/>
        <v>Pachystachys coccinea</v>
      </c>
      <c r="J798" s="10" t="str">
        <f t="shared" si="2"/>
        <v>801 Pachystachys coccinea</v>
      </c>
      <c r="K798" s="10" t="str">
        <f t="shared" si="3"/>
        <v>Guardia de Cardenal</v>
      </c>
      <c r="L798" s="10" t="str">
        <f t="shared" si="4"/>
        <v>801 Guardia de Cardenal</v>
      </c>
      <c r="M798" s="10" t="s">
        <v>46</v>
      </c>
      <c r="N798" s="10" t="s">
        <v>36</v>
      </c>
      <c r="O798" s="10" t="s">
        <v>47</v>
      </c>
      <c r="P798" s="10" t="s">
        <v>2196</v>
      </c>
      <c r="Q798" s="13"/>
      <c r="R798" s="13"/>
      <c r="S798" s="13"/>
      <c r="T798" s="13"/>
      <c r="U798" s="13"/>
      <c r="V798" s="13"/>
      <c r="W798" s="13"/>
      <c r="X798" s="13"/>
    </row>
    <row r="799" ht="14.25" customHeight="1">
      <c r="A799" s="10" t="s">
        <v>1928</v>
      </c>
      <c r="B799" s="10" t="s">
        <v>31</v>
      </c>
      <c r="C799" s="10">
        <v>802.0</v>
      </c>
      <c r="D799" s="11" t="s">
        <v>2197</v>
      </c>
      <c r="E799" s="11" t="s">
        <v>2198</v>
      </c>
      <c r="F799" s="11" t="s">
        <v>320</v>
      </c>
      <c r="G799" s="10">
        <v>802.0</v>
      </c>
      <c r="H799" s="10">
        <f>VLOOKUP(F799,'Generos y Familia'!$A$1:$C$623,2,FALSE)</f>
        <v>1</v>
      </c>
      <c r="I799" s="12" t="str">
        <f t="shared" si="1"/>
        <v>Pachystachys lutea</v>
      </c>
      <c r="J799" s="10" t="str">
        <f t="shared" si="2"/>
        <v>802 Pachystachys lutea</v>
      </c>
      <c r="K799" s="10" t="str">
        <f t="shared" si="3"/>
        <v>Camaron Amarillo</v>
      </c>
      <c r="L799" s="10" t="str">
        <f t="shared" si="4"/>
        <v>802 Camaron Amarillo</v>
      </c>
      <c r="M799" s="10" t="s">
        <v>46</v>
      </c>
      <c r="N799" s="10" t="s">
        <v>36</v>
      </c>
      <c r="O799" s="10" t="s">
        <v>47</v>
      </c>
      <c r="P799" s="10" t="s">
        <v>2196</v>
      </c>
      <c r="Q799" s="13"/>
      <c r="R799" s="13"/>
      <c r="S799" s="13"/>
      <c r="T799" s="13"/>
      <c r="U799" s="13"/>
      <c r="V799" s="13"/>
      <c r="W799" s="16"/>
      <c r="X799" s="13"/>
    </row>
    <row r="800" ht="14.25" customHeight="1">
      <c r="A800" s="10" t="s">
        <v>1928</v>
      </c>
      <c r="B800" s="10" t="s">
        <v>31</v>
      </c>
      <c r="C800" s="10">
        <v>803.0</v>
      </c>
      <c r="D800" s="11" t="s">
        <v>2199</v>
      </c>
      <c r="E800" s="11" t="s">
        <v>2200</v>
      </c>
      <c r="F800" s="11" t="s">
        <v>310</v>
      </c>
      <c r="G800" s="10">
        <v>803.0</v>
      </c>
      <c r="H800" s="10">
        <f>VLOOKUP(F800,'Generos y Familia'!$A$1:$C$623,2,FALSE)</f>
        <v>79</v>
      </c>
      <c r="I800" s="12" t="str">
        <f t="shared" si="1"/>
        <v>Palicourea angustifolia</v>
      </c>
      <c r="J800" s="10" t="str">
        <f t="shared" si="2"/>
        <v>803 Palicourea angustifolia</v>
      </c>
      <c r="K800" s="10" t="str">
        <f t="shared" si="3"/>
        <v>Aguadulce; Cafeto de Monte; Café de Montaña; Café de Monte</v>
      </c>
      <c r="L800" s="10" t="str">
        <f t="shared" si="4"/>
        <v>803 Aguadulce; Cafeto de Monte; Café de Montaña; Café de Monte</v>
      </c>
      <c r="M800" s="10" t="s">
        <v>35</v>
      </c>
      <c r="N800" s="10" t="s">
        <v>36</v>
      </c>
      <c r="O800" s="10" t="s">
        <v>47</v>
      </c>
      <c r="P800" s="10" t="s">
        <v>2201</v>
      </c>
      <c r="Q800" s="13"/>
      <c r="R800" s="13"/>
      <c r="S800" s="13"/>
      <c r="T800" s="13"/>
      <c r="U800" s="13"/>
      <c r="V800" s="13"/>
      <c r="W800" s="13"/>
      <c r="X800" s="13"/>
    </row>
    <row r="801" ht="14.25" customHeight="1">
      <c r="A801" s="10" t="s">
        <v>1928</v>
      </c>
      <c r="B801" s="10" t="s">
        <v>31</v>
      </c>
      <c r="C801" s="10">
        <v>804.0</v>
      </c>
      <c r="D801" s="11" t="s">
        <v>2202</v>
      </c>
      <c r="E801" s="11" t="s">
        <v>2203</v>
      </c>
      <c r="F801" s="11" t="s">
        <v>310</v>
      </c>
      <c r="G801" s="10">
        <v>804.0</v>
      </c>
      <c r="H801" s="10">
        <f>VLOOKUP(F801,'Generos y Familia'!$A$1:$C$623,2,FALSE)</f>
        <v>79</v>
      </c>
      <c r="I801" s="12" t="str">
        <f t="shared" si="1"/>
        <v>Palicourea guianensis</v>
      </c>
      <c r="J801" s="10" t="str">
        <f t="shared" si="2"/>
        <v>804 Palicourea guianensis</v>
      </c>
      <c r="K801" s="10" t="str">
        <f t="shared" si="3"/>
        <v>Cagalera; Flor de Mayo; Corpus</v>
      </c>
      <c r="L801" s="10" t="str">
        <f t="shared" si="4"/>
        <v>804 Cagalera; Flor de Mayo; Corpus</v>
      </c>
      <c r="M801" s="10" t="s">
        <v>35</v>
      </c>
      <c r="N801" s="10" t="s">
        <v>36</v>
      </c>
      <c r="O801" s="10" t="s">
        <v>47</v>
      </c>
      <c r="P801" s="10" t="s">
        <v>2201</v>
      </c>
      <c r="Q801" s="13"/>
      <c r="R801" s="13"/>
      <c r="S801" s="13"/>
      <c r="T801" s="13"/>
      <c r="U801" s="13"/>
      <c r="V801" s="13"/>
      <c r="W801" s="13"/>
      <c r="X801" s="13"/>
    </row>
    <row r="802" ht="14.25" customHeight="1">
      <c r="A802" s="10" t="s">
        <v>1928</v>
      </c>
      <c r="B802" s="10" t="s">
        <v>31</v>
      </c>
      <c r="C802" s="10">
        <v>805.0</v>
      </c>
      <c r="D802" s="11" t="s">
        <v>2204</v>
      </c>
      <c r="E802" s="11" t="s">
        <v>2205</v>
      </c>
      <c r="F802" s="11" t="s">
        <v>310</v>
      </c>
      <c r="G802" s="10">
        <v>805.0</v>
      </c>
      <c r="H802" s="10">
        <f>VLOOKUP(F802,'Generos y Familia'!$A$1:$C$623,2,FALSE)</f>
        <v>79</v>
      </c>
      <c r="I802" s="12" t="str">
        <f t="shared" si="1"/>
        <v>Palicourea quadrilateralis</v>
      </c>
      <c r="J802" s="10" t="str">
        <f t="shared" si="2"/>
        <v>805 Palicourea quadrilateralis</v>
      </c>
      <c r="K802" s="10" t="str">
        <f t="shared" si="3"/>
        <v>Flor de Mayo</v>
      </c>
      <c r="L802" s="10" t="str">
        <f t="shared" si="4"/>
        <v>805 Flor de Mayo</v>
      </c>
      <c r="M802" s="10" t="s">
        <v>35</v>
      </c>
      <c r="N802" s="10" t="s">
        <v>36</v>
      </c>
      <c r="O802" s="10" t="s">
        <v>47</v>
      </c>
      <c r="P802" s="10" t="s">
        <v>2201</v>
      </c>
      <c r="Q802" s="13"/>
      <c r="R802" s="13"/>
      <c r="S802" s="13"/>
      <c r="T802" s="13"/>
      <c r="U802" s="13"/>
      <c r="V802" s="13"/>
      <c r="W802" s="13"/>
      <c r="X802" s="13"/>
    </row>
    <row r="803" ht="14.25" customHeight="1">
      <c r="A803" s="10" t="s">
        <v>1928</v>
      </c>
      <c r="B803" s="10" t="s">
        <v>31</v>
      </c>
      <c r="C803" s="10">
        <v>806.0</v>
      </c>
      <c r="D803" s="11" t="s">
        <v>2206</v>
      </c>
      <c r="E803" s="11" t="s">
        <v>2207</v>
      </c>
      <c r="F803" s="11" t="s">
        <v>310</v>
      </c>
      <c r="G803" s="10">
        <v>806.0</v>
      </c>
      <c r="H803" s="10">
        <f>VLOOKUP(F803,'Generos y Familia'!$A$1:$C$623,2,FALSE)</f>
        <v>79</v>
      </c>
      <c r="I803" s="12" t="str">
        <f t="shared" si="1"/>
        <v>Palicourea sp</v>
      </c>
      <c r="J803" s="10" t="str">
        <f t="shared" si="2"/>
        <v>806 Palicourea sp</v>
      </c>
      <c r="K803" s="10" t="str">
        <f t="shared" si="3"/>
        <v>Lato</v>
      </c>
      <c r="L803" s="10" t="str">
        <f t="shared" si="4"/>
        <v>806 Lato</v>
      </c>
      <c r="M803" s="10" t="s">
        <v>35</v>
      </c>
      <c r="N803" s="10" t="s">
        <v>36</v>
      </c>
      <c r="O803" s="10" t="s">
        <v>47</v>
      </c>
      <c r="P803" s="10" t="s">
        <v>2201</v>
      </c>
      <c r="Q803" s="17" t="s">
        <v>2208</v>
      </c>
      <c r="R803" s="14"/>
      <c r="S803" s="17" t="s">
        <v>482</v>
      </c>
      <c r="T803" s="14"/>
      <c r="U803" s="14" t="s">
        <v>40</v>
      </c>
      <c r="V803" s="14"/>
      <c r="W803" s="18"/>
      <c r="X803" s="14" t="s">
        <v>41</v>
      </c>
    </row>
    <row r="804" ht="14.25" customHeight="1">
      <c r="A804" s="10" t="s">
        <v>1928</v>
      </c>
      <c r="B804" s="10" t="s">
        <v>31</v>
      </c>
      <c r="C804" s="10">
        <v>807.0</v>
      </c>
      <c r="D804" s="11" t="s">
        <v>2209</v>
      </c>
      <c r="E804" s="11" t="s">
        <v>2210</v>
      </c>
      <c r="F804" s="11" t="s">
        <v>2211</v>
      </c>
      <c r="G804" s="10">
        <v>807.0</v>
      </c>
      <c r="H804" s="10">
        <f>VLOOKUP(F804,'Generos y Familia'!$A$1:$C$623,2,FALSE)</f>
        <v>57</v>
      </c>
      <c r="I804" s="12" t="str">
        <f t="shared" si="1"/>
        <v>Pandanus tectorius</v>
      </c>
      <c r="J804" s="10" t="str">
        <f t="shared" si="2"/>
        <v>807 Pandanus tectorius</v>
      </c>
      <c r="K804" s="10" t="str">
        <f t="shared" si="3"/>
        <v>Pandanus</v>
      </c>
      <c r="L804" s="10" t="str">
        <f t="shared" si="4"/>
        <v>807 Pandanus</v>
      </c>
      <c r="M804" s="10" t="s">
        <v>46</v>
      </c>
      <c r="N804" s="10" t="s">
        <v>36</v>
      </c>
      <c r="O804" s="10" t="s">
        <v>37</v>
      </c>
      <c r="P804" s="10" t="s">
        <v>2210</v>
      </c>
      <c r="Q804" s="13"/>
      <c r="R804" s="13"/>
      <c r="S804" s="13"/>
      <c r="T804" s="13"/>
      <c r="U804" s="13"/>
      <c r="V804" s="13"/>
      <c r="W804" s="16"/>
      <c r="X804" s="13"/>
    </row>
    <row r="805" ht="14.25" customHeight="1">
      <c r="A805" s="10" t="s">
        <v>1928</v>
      </c>
      <c r="B805" s="10" t="s">
        <v>31</v>
      </c>
      <c r="C805" s="10">
        <v>808.0</v>
      </c>
      <c r="D805" s="11" t="s">
        <v>2212</v>
      </c>
      <c r="E805" s="11" t="s">
        <v>2213</v>
      </c>
      <c r="F805" s="11" t="s">
        <v>2211</v>
      </c>
      <c r="G805" s="10">
        <v>808.0</v>
      </c>
      <c r="H805" s="10">
        <f>VLOOKUP(F805,'Generos y Familia'!$A$1:$C$623,2,FALSE)</f>
        <v>57</v>
      </c>
      <c r="I805" s="12" t="str">
        <f t="shared" si="1"/>
        <v>Pandanus utilis</v>
      </c>
      <c r="J805" s="10" t="str">
        <f t="shared" si="2"/>
        <v>808 Pandanus utilis</v>
      </c>
      <c r="K805" s="10" t="str">
        <f t="shared" si="3"/>
        <v>Palma de Tornillo; Pandano</v>
      </c>
      <c r="L805" s="10" t="str">
        <f t="shared" si="4"/>
        <v>808 Palma de Tornillo; Pandano</v>
      </c>
      <c r="M805" s="10" t="s">
        <v>46</v>
      </c>
      <c r="N805" s="10" t="s">
        <v>36</v>
      </c>
      <c r="O805" s="10" t="s">
        <v>37</v>
      </c>
      <c r="P805" s="10" t="s">
        <v>2210</v>
      </c>
      <c r="Q805" s="13"/>
      <c r="R805" s="13"/>
      <c r="S805" s="13"/>
      <c r="T805" s="13"/>
      <c r="U805" s="13"/>
      <c r="V805" s="13"/>
      <c r="W805" s="13"/>
      <c r="X805" s="13"/>
    </row>
    <row r="806" ht="14.25" customHeight="1">
      <c r="A806" s="10" t="s">
        <v>1928</v>
      </c>
      <c r="B806" s="10" t="s">
        <v>31</v>
      </c>
      <c r="C806" s="10">
        <v>809.0</v>
      </c>
      <c r="D806" s="11" t="s">
        <v>2214</v>
      </c>
      <c r="E806" s="11" t="s">
        <v>2215</v>
      </c>
      <c r="F806" s="11" t="s">
        <v>34</v>
      </c>
      <c r="G806" s="10">
        <v>809.0</v>
      </c>
      <c r="H806" s="10">
        <f>VLOOKUP(F806,'Generos y Familia'!$A$1:$C$623,2,FALSE)</f>
        <v>27</v>
      </c>
      <c r="I806" s="12" t="str">
        <f t="shared" si="1"/>
        <v>Paraserianthes lophantha</v>
      </c>
      <c r="J806" s="10" t="str">
        <f t="shared" si="2"/>
        <v>809 Paraserianthes lophantha</v>
      </c>
      <c r="K806" s="10" t="str">
        <f t="shared" si="3"/>
        <v>Acacia; Acacia Bracatinga; Acacia Negra; Acacia Baracatinga</v>
      </c>
      <c r="L806" s="10" t="str">
        <f t="shared" si="4"/>
        <v>809 Acacia; Acacia Bracatinga; Acacia Negra; Acacia Baracatinga</v>
      </c>
      <c r="M806" s="10" t="s">
        <v>46</v>
      </c>
      <c r="N806" s="10" t="s">
        <v>36</v>
      </c>
      <c r="O806" s="10" t="s">
        <v>37</v>
      </c>
      <c r="P806" s="10" t="s">
        <v>2216</v>
      </c>
      <c r="Q806" s="13"/>
      <c r="R806" s="13"/>
      <c r="S806" s="13"/>
      <c r="T806" s="13"/>
      <c r="U806" s="13"/>
      <c r="V806" s="13"/>
      <c r="W806" s="13"/>
      <c r="X806" s="13"/>
    </row>
    <row r="807" ht="14.25" customHeight="1">
      <c r="A807" s="10" t="s">
        <v>1928</v>
      </c>
      <c r="B807" s="10" t="s">
        <v>31</v>
      </c>
      <c r="C807" s="10">
        <v>810.0</v>
      </c>
      <c r="D807" s="11" t="s">
        <v>2217</v>
      </c>
      <c r="E807" s="11" t="s">
        <v>2218</v>
      </c>
      <c r="F807" s="11" t="s">
        <v>34</v>
      </c>
      <c r="G807" s="10">
        <v>810.0</v>
      </c>
      <c r="H807" s="10">
        <f>VLOOKUP(F807,'Generos y Familia'!$A$1:$C$623,2,FALSE)</f>
        <v>27</v>
      </c>
      <c r="I807" s="12" t="str">
        <f t="shared" si="1"/>
        <v>Parkia pendula</v>
      </c>
      <c r="J807" s="10" t="str">
        <f t="shared" si="2"/>
        <v>810 Parkia pendula</v>
      </c>
      <c r="K807" s="10" t="str">
        <f t="shared" si="3"/>
        <v>Cachiporro; Navidad</v>
      </c>
      <c r="L807" s="10" t="str">
        <f t="shared" si="4"/>
        <v>810 Cachiporro; Navidad</v>
      </c>
      <c r="M807" s="10" t="s">
        <v>35</v>
      </c>
      <c r="N807" s="10" t="s">
        <v>36</v>
      </c>
      <c r="O807" s="10" t="s">
        <v>37</v>
      </c>
      <c r="P807" s="10" t="s">
        <v>2219</v>
      </c>
      <c r="Q807" s="13"/>
      <c r="R807" s="13"/>
      <c r="S807" s="13"/>
      <c r="T807" s="13"/>
      <c r="U807" s="13"/>
      <c r="V807" s="13"/>
      <c r="W807" s="13"/>
      <c r="X807" s="13"/>
    </row>
    <row r="808" ht="14.25" customHeight="1">
      <c r="A808" s="10" t="s">
        <v>1928</v>
      </c>
      <c r="B808" s="10" t="s">
        <v>31</v>
      </c>
      <c r="C808" s="10">
        <v>811.0</v>
      </c>
      <c r="D808" s="11" t="s">
        <v>2220</v>
      </c>
      <c r="E808" s="11" t="s">
        <v>2219</v>
      </c>
      <c r="F808" s="11" t="s">
        <v>34</v>
      </c>
      <c r="G808" s="10">
        <v>811.0</v>
      </c>
      <c r="H808" s="10">
        <f>VLOOKUP(F808,'Generos y Familia'!$A$1:$C$623,2,FALSE)</f>
        <v>27</v>
      </c>
      <c r="I808" s="12" t="str">
        <f t="shared" si="1"/>
        <v>Parkia sp</v>
      </c>
      <c r="J808" s="10" t="str">
        <f t="shared" si="2"/>
        <v>811 Parkia sp</v>
      </c>
      <c r="K808" s="10" t="str">
        <f t="shared" si="3"/>
        <v>Parkia</v>
      </c>
      <c r="L808" s="10" t="str">
        <f t="shared" si="4"/>
        <v>811 Parkia</v>
      </c>
      <c r="M808" s="10" t="s">
        <v>35</v>
      </c>
      <c r="N808" s="10" t="s">
        <v>36</v>
      </c>
      <c r="O808" s="10" t="s">
        <v>37</v>
      </c>
      <c r="P808" s="10" t="s">
        <v>2219</v>
      </c>
      <c r="Q808" s="13"/>
      <c r="R808" s="13"/>
      <c r="S808" s="13"/>
      <c r="T808" s="13"/>
      <c r="U808" s="13"/>
      <c r="V808" s="13"/>
      <c r="W808" s="13"/>
      <c r="X808" s="13"/>
    </row>
    <row r="809" ht="14.25" customHeight="1">
      <c r="A809" s="10" t="s">
        <v>1928</v>
      </c>
      <c r="B809" s="10" t="s">
        <v>31</v>
      </c>
      <c r="C809" s="10">
        <v>812.0</v>
      </c>
      <c r="D809" s="11" t="s">
        <v>2221</v>
      </c>
      <c r="E809" s="11" t="s">
        <v>2222</v>
      </c>
      <c r="F809" s="11" t="s">
        <v>34</v>
      </c>
      <c r="G809" s="10">
        <v>812.0</v>
      </c>
      <c r="H809" s="10">
        <f>VLOOKUP(F809,'Generos y Familia'!$A$1:$C$623,2,FALSE)</f>
        <v>27</v>
      </c>
      <c r="I809" s="12" t="str">
        <f t="shared" si="1"/>
        <v>Parkinsonia aculeata</v>
      </c>
      <c r="J809" s="10" t="str">
        <f t="shared" si="2"/>
        <v>812 Parkinsonia aculeata</v>
      </c>
      <c r="K809" s="10" t="str">
        <f t="shared" si="3"/>
        <v>Espino de Jerusalén; Palo Verde; Retama; Sauce Guajiro</v>
      </c>
      <c r="L809" s="10" t="str">
        <f t="shared" si="4"/>
        <v>812 Espino de Jerusalén; Palo Verde; Retama; Sauce Guajiro</v>
      </c>
      <c r="M809" s="10" t="s">
        <v>35</v>
      </c>
      <c r="N809" s="10" t="s">
        <v>36</v>
      </c>
      <c r="O809" s="10" t="s">
        <v>37</v>
      </c>
      <c r="P809" s="10" t="s">
        <v>2223</v>
      </c>
      <c r="Q809" s="13"/>
      <c r="R809" s="13"/>
      <c r="S809" s="13"/>
      <c r="T809" s="13"/>
      <c r="U809" s="13"/>
      <c r="V809" s="13"/>
      <c r="W809" s="13"/>
      <c r="X809" s="13"/>
    </row>
    <row r="810" ht="14.25" customHeight="1">
      <c r="A810" s="10" t="s">
        <v>1928</v>
      </c>
      <c r="B810" s="10" t="s">
        <v>31</v>
      </c>
      <c r="C810" s="10">
        <v>813.0</v>
      </c>
      <c r="D810" s="11" t="s">
        <v>2224</v>
      </c>
      <c r="E810" s="11" t="s">
        <v>2225</v>
      </c>
      <c r="F810" s="11" t="s">
        <v>2226</v>
      </c>
      <c r="G810" s="10">
        <v>813.0</v>
      </c>
      <c r="H810" s="10">
        <f>VLOOKUP(F810,'Generos y Familia'!$A$1:$C$623,2,FALSE)</f>
        <v>59</v>
      </c>
      <c r="I810" s="12" t="str">
        <f t="shared" si="1"/>
        <v>Passiflora arborea</v>
      </c>
      <c r="J810" s="10" t="str">
        <f t="shared" si="2"/>
        <v>813 Passiflora arborea</v>
      </c>
      <c r="K810" s="10" t="str">
        <f t="shared" si="3"/>
        <v>Curubo de Árbol; Granadilla de Árbol</v>
      </c>
      <c r="L810" s="10" t="str">
        <f t="shared" si="4"/>
        <v>813 Curubo de Árbol; Granadilla de Árbol</v>
      </c>
      <c r="M810" s="10" t="s">
        <v>35</v>
      </c>
      <c r="N810" s="10" t="s">
        <v>36</v>
      </c>
      <c r="O810" s="10" t="s">
        <v>37</v>
      </c>
      <c r="P810" s="10" t="s">
        <v>2227</v>
      </c>
      <c r="Q810" s="13"/>
      <c r="R810" s="13"/>
      <c r="S810" s="13" t="s">
        <v>2228</v>
      </c>
      <c r="T810" s="13"/>
      <c r="U810" s="13"/>
      <c r="V810" s="13"/>
      <c r="W810" s="13"/>
      <c r="X810" s="13"/>
    </row>
    <row r="811" ht="14.25" customHeight="1">
      <c r="A811" s="10" t="s">
        <v>1928</v>
      </c>
      <c r="B811" s="10" t="s">
        <v>31</v>
      </c>
      <c r="C811" s="10">
        <v>814.0</v>
      </c>
      <c r="D811" s="11" t="s">
        <v>2229</v>
      </c>
      <c r="E811" s="11" t="s">
        <v>2230</v>
      </c>
      <c r="F811" s="11" t="s">
        <v>2231</v>
      </c>
      <c r="G811" s="10">
        <v>814.0</v>
      </c>
      <c r="H811" s="10">
        <f>VLOOKUP(F811,'Generos y Familia'!$A$1:$C$623,2,FALSE)</f>
        <v>60</v>
      </c>
      <c r="I811" s="12" t="str">
        <f t="shared" si="1"/>
        <v>Paulownia tomentosa</v>
      </c>
      <c r="J811" s="10" t="str">
        <f t="shared" si="2"/>
        <v>814 Paulownia tomentosa</v>
      </c>
      <c r="K811" s="10" t="str">
        <f t="shared" si="3"/>
        <v>Paulownia</v>
      </c>
      <c r="L811" s="10" t="str">
        <f t="shared" si="4"/>
        <v>814 Paulownia</v>
      </c>
      <c r="M811" s="10" t="s">
        <v>46</v>
      </c>
      <c r="N811" s="10" t="s">
        <v>36</v>
      </c>
      <c r="O811" s="10" t="s">
        <v>37</v>
      </c>
      <c r="P811" s="10" t="s">
        <v>2230</v>
      </c>
      <c r="Q811" s="17" t="s">
        <v>2232</v>
      </c>
      <c r="R811" s="14" t="s">
        <v>39</v>
      </c>
      <c r="S811" s="17" t="s">
        <v>290</v>
      </c>
      <c r="T811" s="14"/>
      <c r="U811" s="14" t="s">
        <v>55</v>
      </c>
      <c r="V811" s="14"/>
      <c r="W811" s="17"/>
      <c r="X811" s="14" t="s">
        <v>41</v>
      </c>
    </row>
    <row r="812" ht="14.25" customHeight="1">
      <c r="A812" s="10" t="s">
        <v>1928</v>
      </c>
      <c r="B812" s="10" t="s">
        <v>31</v>
      </c>
      <c r="C812" s="10">
        <v>815.0</v>
      </c>
      <c r="D812" s="11" t="s">
        <v>2233</v>
      </c>
      <c r="E812" s="11" t="s">
        <v>2234</v>
      </c>
      <c r="F812" s="11" t="s">
        <v>82</v>
      </c>
      <c r="G812" s="10">
        <v>815.0</v>
      </c>
      <c r="H812" s="10">
        <f>VLOOKUP(F812,'Generos y Familia'!$A$1:$C$623,2,FALSE)</f>
        <v>26</v>
      </c>
      <c r="I812" s="12" t="str">
        <f t="shared" si="1"/>
        <v>Pausandra sp</v>
      </c>
      <c r="J812" s="10" t="str">
        <f t="shared" si="2"/>
        <v>815 Pausandra sp</v>
      </c>
      <c r="K812" s="10" t="str">
        <f t="shared" si="3"/>
        <v>Caguingo</v>
      </c>
      <c r="L812" s="10" t="str">
        <f t="shared" si="4"/>
        <v>815 Caguingo</v>
      </c>
      <c r="M812" s="10" t="s">
        <v>35</v>
      </c>
      <c r="N812" s="10" t="s">
        <v>36</v>
      </c>
      <c r="O812" s="10" t="s">
        <v>37</v>
      </c>
      <c r="P812" s="10" t="s">
        <v>2235</v>
      </c>
      <c r="Q812" s="13"/>
      <c r="R812" s="13"/>
      <c r="S812" s="13"/>
      <c r="T812" s="13"/>
      <c r="U812" s="13"/>
      <c r="V812" s="13"/>
      <c r="W812" s="13"/>
      <c r="X812" s="13"/>
    </row>
    <row r="813" ht="14.25" customHeight="1">
      <c r="A813" s="10" t="s">
        <v>1928</v>
      </c>
      <c r="B813" s="10" t="s">
        <v>31</v>
      </c>
      <c r="C813" s="10">
        <v>816.0</v>
      </c>
      <c r="D813" s="11" t="s">
        <v>2236</v>
      </c>
      <c r="E813" s="11" t="s">
        <v>2237</v>
      </c>
      <c r="F813" s="11" t="s">
        <v>45</v>
      </c>
      <c r="G813" s="10">
        <v>816.0</v>
      </c>
      <c r="H813" s="10">
        <f>VLOOKUP(F813,'Generos y Familia'!$A$1:$C$623,2,FALSE)</f>
        <v>40</v>
      </c>
      <c r="I813" s="12" t="str">
        <f t="shared" si="1"/>
        <v>Pavonia sepium</v>
      </c>
      <c r="J813" s="10" t="str">
        <f t="shared" si="2"/>
        <v>816 Pavonia sepium</v>
      </c>
      <c r="K813" s="10" t="str">
        <f t="shared" si="3"/>
        <v>Escobilla; Cadillo</v>
      </c>
      <c r="L813" s="10" t="str">
        <f t="shared" si="4"/>
        <v>816 Escobilla; Cadillo</v>
      </c>
      <c r="M813" s="10" t="s">
        <v>35</v>
      </c>
      <c r="N813" s="10" t="s">
        <v>36</v>
      </c>
      <c r="O813" s="10" t="s">
        <v>47</v>
      </c>
      <c r="P813" s="10" t="s">
        <v>2238</v>
      </c>
      <c r="Q813" s="13"/>
      <c r="R813" s="13"/>
      <c r="S813" s="13"/>
      <c r="T813" s="13"/>
      <c r="U813" s="13"/>
      <c r="V813" s="13"/>
      <c r="W813" s="13"/>
      <c r="X813" s="13"/>
    </row>
    <row r="814" ht="14.25" customHeight="1">
      <c r="A814" s="10" t="s">
        <v>1928</v>
      </c>
      <c r="B814" s="10" t="s">
        <v>31</v>
      </c>
      <c r="C814" s="10">
        <v>817.0</v>
      </c>
      <c r="D814" s="11" t="s">
        <v>2239</v>
      </c>
      <c r="E814" s="11" t="s">
        <v>2240</v>
      </c>
      <c r="F814" s="11" t="s">
        <v>34</v>
      </c>
      <c r="G814" s="10">
        <v>817.0</v>
      </c>
      <c r="H814" s="10">
        <f>VLOOKUP(F814,'Generos y Familia'!$A$1:$C$623,2,FALSE)</f>
        <v>27</v>
      </c>
      <c r="I814" s="12" t="str">
        <f t="shared" si="1"/>
        <v>Peltogyne paniculata</v>
      </c>
      <c r="J814" s="10" t="str">
        <f t="shared" si="2"/>
        <v>817 Peltogyne paniculata</v>
      </c>
      <c r="K814" s="10" t="str">
        <f t="shared" si="3"/>
        <v>Nazareno; Tananeo; Mochilero; Algarrobito</v>
      </c>
      <c r="L814" s="10" t="str">
        <f t="shared" si="4"/>
        <v>817 Nazareno; Tananeo; Mochilero; Algarrobito</v>
      </c>
      <c r="M814" s="10" t="s">
        <v>35</v>
      </c>
      <c r="N814" s="10" t="s">
        <v>36</v>
      </c>
      <c r="O814" s="10" t="s">
        <v>37</v>
      </c>
      <c r="P814" s="10" t="s">
        <v>2241</v>
      </c>
      <c r="Q814" s="13"/>
      <c r="R814" s="13"/>
      <c r="S814" s="13"/>
      <c r="T814" s="13"/>
      <c r="U814" s="13"/>
      <c r="V814" s="13"/>
      <c r="W814" s="13"/>
      <c r="X814" s="13"/>
    </row>
    <row r="815" ht="14.25" customHeight="1">
      <c r="A815" s="10" t="s">
        <v>1928</v>
      </c>
      <c r="B815" s="10" t="s">
        <v>31</v>
      </c>
      <c r="C815" s="10">
        <v>818.0</v>
      </c>
      <c r="D815" s="11" t="s">
        <v>2242</v>
      </c>
      <c r="E815" s="11" t="s">
        <v>2243</v>
      </c>
      <c r="F815" s="11" t="s">
        <v>34</v>
      </c>
      <c r="G815" s="10">
        <v>818.0</v>
      </c>
      <c r="H815" s="10">
        <f>VLOOKUP(F815,'Generos y Familia'!$A$1:$C$623,2,FALSE)</f>
        <v>27</v>
      </c>
      <c r="I815" s="12" t="str">
        <f t="shared" si="1"/>
        <v>Peltophorum pterocarpum</v>
      </c>
      <c r="J815" s="10" t="str">
        <f t="shared" si="2"/>
        <v>818 Peltophorum pterocarpum</v>
      </c>
      <c r="K815" s="10" t="str">
        <f t="shared" si="3"/>
        <v>Acacia Ferruginea; Acacia</v>
      </c>
      <c r="L815" s="10" t="str">
        <f t="shared" si="4"/>
        <v>818 Acacia Ferruginea; Acacia</v>
      </c>
      <c r="M815" s="10" t="s">
        <v>46</v>
      </c>
      <c r="N815" s="10" t="s">
        <v>36</v>
      </c>
      <c r="O815" s="10" t="s">
        <v>37</v>
      </c>
      <c r="P815" s="10" t="s">
        <v>2244</v>
      </c>
      <c r="Q815" s="13"/>
      <c r="R815" s="13"/>
      <c r="S815" s="13"/>
      <c r="T815" s="13"/>
      <c r="U815" s="13"/>
      <c r="V815" s="13"/>
      <c r="W815" s="13"/>
      <c r="X815" s="13"/>
    </row>
    <row r="816" ht="14.25" customHeight="1">
      <c r="A816" s="10" t="s">
        <v>1928</v>
      </c>
      <c r="B816" s="10" t="s">
        <v>31</v>
      </c>
      <c r="C816" s="10">
        <v>819.0</v>
      </c>
      <c r="D816" s="11" t="s">
        <v>2245</v>
      </c>
      <c r="E816" s="11" t="s">
        <v>2246</v>
      </c>
      <c r="F816" s="11" t="s">
        <v>34</v>
      </c>
      <c r="G816" s="10">
        <v>819.0</v>
      </c>
      <c r="H816" s="10">
        <f>VLOOKUP(F816,'Generos y Familia'!$A$1:$C$623,2,FALSE)</f>
        <v>27</v>
      </c>
      <c r="I816" s="12" t="str">
        <f t="shared" si="1"/>
        <v>Pentaclethra macroloba</v>
      </c>
      <c r="J816" s="10" t="str">
        <f t="shared" si="2"/>
        <v>819 Pentaclethra macroloba</v>
      </c>
      <c r="K816" s="10" t="str">
        <f t="shared" si="3"/>
        <v>Dormilón; Capitancillo</v>
      </c>
      <c r="L816" s="10" t="str">
        <f t="shared" si="4"/>
        <v>819 Dormilón; Capitancillo</v>
      </c>
      <c r="M816" s="10" t="s">
        <v>35</v>
      </c>
      <c r="N816" s="10" t="s">
        <v>36</v>
      </c>
      <c r="O816" s="10" t="s">
        <v>37</v>
      </c>
      <c r="P816" s="10" t="s">
        <v>2247</v>
      </c>
      <c r="Q816" s="13"/>
      <c r="R816" s="13"/>
      <c r="S816" s="13"/>
      <c r="T816" s="13"/>
      <c r="U816" s="13"/>
      <c r="V816" s="13"/>
      <c r="W816" s="13"/>
      <c r="X816" s="13"/>
    </row>
    <row r="817" ht="14.25" customHeight="1">
      <c r="A817" s="10" t="s">
        <v>1928</v>
      </c>
      <c r="B817" s="10" t="s">
        <v>31</v>
      </c>
      <c r="C817" s="10">
        <v>820.0</v>
      </c>
      <c r="D817" s="11" t="s">
        <v>2248</v>
      </c>
      <c r="E817" s="11" t="s">
        <v>2249</v>
      </c>
      <c r="F817" s="11" t="s">
        <v>310</v>
      </c>
      <c r="G817" s="10">
        <v>820.0</v>
      </c>
      <c r="H817" s="10">
        <f>VLOOKUP(F817,'Generos y Familia'!$A$1:$C$623,2,FALSE)</f>
        <v>79</v>
      </c>
      <c r="I817" s="12" t="str">
        <f t="shared" si="1"/>
        <v>Pentagonia pinnatifida</v>
      </c>
      <c r="J817" s="10" t="str">
        <f t="shared" si="2"/>
        <v>820 Pentagonia pinnatifida</v>
      </c>
      <c r="K817" s="10" t="str">
        <f t="shared" si="3"/>
        <v>Árbol Murciélago; Tapaculo</v>
      </c>
      <c r="L817" s="10" t="str">
        <f t="shared" si="4"/>
        <v>820 Árbol Murciélago; Tapaculo</v>
      </c>
      <c r="M817" s="10" t="s">
        <v>35</v>
      </c>
      <c r="N817" s="10" t="s">
        <v>36</v>
      </c>
      <c r="O817" s="10" t="s">
        <v>47</v>
      </c>
      <c r="P817" s="10" t="s">
        <v>2250</v>
      </c>
      <c r="Q817" s="13"/>
      <c r="R817" s="13"/>
      <c r="S817" s="13"/>
      <c r="T817" s="13"/>
      <c r="U817" s="13"/>
      <c r="V817" s="13"/>
      <c r="W817" s="13"/>
      <c r="X817" s="13"/>
    </row>
    <row r="818" ht="14.25" customHeight="1">
      <c r="A818" s="10" t="s">
        <v>1928</v>
      </c>
      <c r="B818" s="10" t="s">
        <v>31</v>
      </c>
      <c r="C818" s="10">
        <v>821.0</v>
      </c>
      <c r="D818" s="11" t="s">
        <v>2251</v>
      </c>
      <c r="E818" s="11" t="s">
        <v>2252</v>
      </c>
      <c r="F818" s="11" t="s">
        <v>2253</v>
      </c>
      <c r="G818" s="10">
        <v>821.0</v>
      </c>
      <c r="H818" s="10">
        <f>VLOOKUP(F818,'Generos y Familia'!$A$1:$C$623,2,FALSE)</f>
        <v>62</v>
      </c>
      <c r="I818" s="12" t="str">
        <f t="shared" si="1"/>
        <v>Pera arborea</v>
      </c>
      <c r="J818" s="10" t="str">
        <f t="shared" si="2"/>
        <v>821 Pera arborea</v>
      </c>
      <c r="K818" s="10" t="str">
        <f t="shared" si="3"/>
        <v>Quiebra Hacha; Carnegallina; Negrito; Cucharo</v>
      </c>
      <c r="L818" s="10" t="str">
        <f t="shared" si="4"/>
        <v>821 Quiebra Hacha; Carnegallina; Negrito; Cucharo</v>
      </c>
      <c r="M818" s="10" t="s">
        <v>35</v>
      </c>
      <c r="N818" s="10" t="s">
        <v>36</v>
      </c>
      <c r="O818" s="10" t="s">
        <v>37</v>
      </c>
      <c r="P818" s="10" t="s">
        <v>2254</v>
      </c>
      <c r="Q818" s="13"/>
      <c r="R818" s="13"/>
      <c r="S818" s="13"/>
      <c r="T818" s="13"/>
      <c r="U818" s="13"/>
      <c r="V818" s="13"/>
      <c r="W818" s="16"/>
      <c r="X818" s="13"/>
    </row>
    <row r="819" ht="14.25" customHeight="1">
      <c r="A819" s="10" t="s">
        <v>1928</v>
      </c>
      <c r="B819" s="10" t="s">
        <v>31</v>
      </c>
      <c r="C819" s="10">
        <v>822.0</v>
      </c>
      <c r="D819" s="11" t="s">
        <v>2255</v>
      </c>
      <c r="E819" s="11" t="s">
        <v>2256</v>
      </c>
      <c r="F819" s="11" t="s">
        <v>365</v>
      </c>
      <c r="G819" s="10">
        <v>822.0</v>
      </c>
      <c r="H819" s="10">
        <f>VLOOKUP(F819,'Generos y Familia'!$A$1:$C$623,2,FALSE)</f>
        <v>43</v>
      </c>
      <c r="I819" s="12" t="str">
        <f t="shared" si="1"/>
        <v>Perebea guianensis</v>
      </c>
      <c r="J819" s="10" t="str">
        <f t="shared" si="2"/>
        <v>822 Perebea guianensis</v>
      </c>
      <c r="K819" s="10" t="str">
        <f t="shared" si="3"/>
        <v>Varasanta; Palodiablo; Paparua</v>
      </c>
      <c r="L819" s="10" t="str">
        <f t="shared" si="4"/>
        <v>822 Varasanta; Palodiablo; Paparua</v>
      </c>
      <c r="M819" s="10" t="s">
        <v>35</v>
      </c>
      <c r="N819" s="10" t="s">
        <v>36</v>
      </c>
      <c r="O819" s="10" t="s">
        <v>37</v>
      </c>
      <c r="P819" s="10" t="s">
        <v>2257</v>
      </c>
      <c r="Q819" s="13"/>
      <c r="R819" s="13"/>
      <c r="S819" s="13"/>
      <c r="T819" s="13"/>
      <c r="U819" s="13"/>
      <c r="V819" s="13"/>
      <c r="W819" s="16"/>
      <c r="X819" s="13"/>
    </row>
    <row r="820" ht="14.25" customHeight="1">
      <c r="A820" s="10" t="s">
        <v>1928</v>
      </c>
      <c r="B820" s="10" t="s">
        <v>31</v>
      </c>
      <c r="C820" s="10">
        <v>823.0</v>
      </c>
      <c r="D820" s="11" t="s">
        <v>2258</v>
      </c>
      <c r="E820" s="11" t="s">
        <v>2259</v>
      </c>
      <c r="F820" s="11" t="s">
        <v>523</v>
      </c>
      <c r="G820" s="10">
        <v>823.0</v>
      </c>
      <c r="H820" s="10">
        <f>VLOOKUP(F820,'Generos y Familia'!$A$1:$C$623,2,FALSE)</f>
        <v>26</v>
      </c>
      <c r="I820" s="12" t="str">
        <f t="shared" si="1"/>
        <v>Pereskia bleo</v>
      </c>
      <c r="J820" s="10" t="str">
        <f t="shared" si="2"/>
        <v>823 Pereskia bleo</v>
      </c>
      <c r="K820" s="10" t="str">
        <f t="shared" si="3"/>
        <v>Bleo; Chupamelón; Bledochupa; Bleo de Chupa</v>
      </c>
      <c r="L820" s="10" t="str">
        <f t="shared" si="4"/>
        <v>823 Bleo; Chupamelón; Bledochupa; Bleo de Chupa</v>
      </c>
      <c r="M820" s="10" t="s">
        <v>35</v>
      </c>
      <c r="N820" s="10" t="s">
        <v>36</v>
      </c>
      <c r="O820" s="10" t="s">
        <v>37</v>
      </c>
      <c r="P820" s="10" t="s">
        <v>2260</v>
      </c>
      <c r="Q820" s="13"/>
      <c r="R820" s="13"/>
      <c r="S820" s="13"/>
      <c r="T820" s="13"/>
      <c r="U820" s="13"/>
      <c r="V820" s="13"/>
      <c r="W820" s="13"/>
      <c r="X820" s="13"/>
    </row>
    <row r="821" ht="14.25" customHeight="1">
      <c r="A821" s="10" t="s">
        <v>1928</v>
      </c>
      <c r="B821" s="10" t="s">
        <v>31</v>
      </c>
      <c r="C821" s="10">
        <v>824.0</v>
      </c>
      <c r="D821" s="11" t="s">
        <v>2261</v>
      </c>
      <c r="E821" s="11" t="s">
        <v>2262</v>
      </c>
      <c r="F821" s="11" t="s">
        <v>158</v>
      </c>
      <c r="G821" s="10">
        <v>824.0</v>
      </c>
      <c r="H821" s="10">
        <f>VLOOKUP(F821,'Generos y Familia'!$A$1:$C$623,2,FALSE)</f>
        <v>35</v>
      </c>
      <c r="I821" s="12" t="str">
        <f t="shared" si="1"/>
        <v>Persea americana</v>
      </c>
      <c r="J821" s="10" t="str">
        <f t="shared" si="2"/>
        <v>824 Persea americana</v>
      </c>
      <c r="K821" s="10" t="str">
        <f t="shared" si="3"/>
        <v>Aguacate</v>
      </c>
      <c r="L821" s="10" t="str">
        <f t="shared" si="4"/>
        <v>824 Aguacate</v>
      </c>
      <c r="M821" s="10" t="s">
        <v>35</v>
      </c>
      <c r="N821" s="10" t="s">
        <v>36</v>
      </c>
      <c r="O821" s="10" t="s">
        <v>37</v>
      </c>
      <c r="P821" s="10" t="s">
        <v>2263</v>
      </c>
      <c r="Q821" s="17" t="s">
        <v>229</v>
      </c>
      <c r="R821" s="14" t="s">
        <v>39</v>
      </c>
      <c r="S821" s="17" t="s">
        <v>290</v>
      </c>
      <c r="T821" s="14" t="s">
        <v>39</v>
      </c>
      <c r="U821" s="14" t="s">
        <v>55</v>
      </c>
      <c r="V821" s="14">
        <v>0.55</v>
      </c>
      <c r="W821" s="18"/>
      <c r="X821" s="14"/>
    </row>
    <row r="822" ht="14.25" customHeight="1">
      <c r="A822" s="10" t="s">
        <v>1928</v>
      </c>
      <c r="B822" s="10" t="s">
        <v>31</v>
      </c>
      <c r="C822" s="10">
        <v>825.0</v>
      </c>
      <c r="D822" s="11" t="s">
        <v>2264</v>
      </c>
      <c r="E822" s="11" t="s">
        <v>2265</v>
      </c>
      <c r="F822" s="11" t="s">
        <v>158</v>
      </c>
      <c r="G822" s="10">
        <v>825.0</v>
      </c>
      <c r="H822" s="10">
        <f>VLOOKUP(F822,'Generos y Familia'!$A$1:$C$623,2,FALSE)</f>
        <v>35</v>
      </c>
      <c r="I822" s="12" t="str">
        <f t="shared" si="1"/>
        <v>Persea caerulea</v>
      </c>
      <c r="J822" s="10" t="str">
        <f t="shared" si="2"/>
        <v>825 Persea caerulea</v>
      </c>
      <c r="K822" s="10" t="str">
        <f t="shared" si="3"/>
        <v>Aguacatillo</v>
      </c>
      <c r="L822" s="10" t="str">
        <f t="shared" si="4"/>
        <v>825 Aguacatillo</v>
      </c>
      <c r="M822" s="10" t="s">
        <v>35</v>
      </c>
      <c r="N822" s="10" t="s">
        <v>36</v>
      </c>
      <c r="O822" s="10" t="s">
        <v>37</v>
      </c>
      <c r="P822" s="10" t="s">
        <v>2263</v>
      </c>
      <c r="Q822" s="17" t="s">
        <v>229</v>
      </c>
      <c r="R822" s="14" t="s">
        <v>39</v>
      </c>
      <c r="S822" s="17" t="s">
        <v>290</v>
      </c>
      <c r="T822" s="14" t="s">
        <v>39</v>
      </c>
      <c r="U822" s="14" t="s">
        <v>55</v>
      </c>
      <c r="V822" s="14">
        <v>0.43</v>
      </c>
      <c r="W822" s="17"/>
      <c r="X822" s="14"/>
    </row>
    <row r="823" ht="14.25" customHeight="1">
      <c r="A823" s="10" t="s">
        <v>1928</v>
      </c>
      <c r="B823" s="10" t="s">
        <v>31</v>
      </c>
      <c r="C823" s="10">
        <v>826.0</v>
      </c>
      <c r="D823" s="11" t="s">
        <v>2266</v>
      </c>
      <c r="E823" s="11" t="s">
        <v>2267</v>
      </c>
      <c r="F823" s="11" t="s">
        <v>158</v>
      </c>
      <c r="G823" s="10">
        <v>826.0</v>
      </c>
      <c r="H823" s="10">
        <f>VLOOKUP(F823,'Generos y Familia'!$A$1:$C$623,2,FALSE)</f>
        <v>35</v>
      </c>
      <c r="I823" s="12" t="str">
        <f t="shared" si="1"/>
        <v>Persea sp</v>
      </c>
      <c r="J823" s="10" t="str">
        <f t="shared" si="2"/>
        <v>826 Persea sp</v>
      </c>
      <c r="K823" s="10" t="str">
        <f t="shared" si="3"/>
        <v>Laurel Orquideas</v>
      </c>
      <c r="L823" s="10" t="str">
        <f t="shared" si="4"/>
        <v>826 Laurel Orquideas</v>
      </c>
      <c r="M823" s="10" t="s">
        <v>35</v>
      </c>
      <c r="N823" s="10" t="s">
        <v>36</v>
      </c>
      <c r="O823" s="10" t="s">
        <v>37</v>
      </c>
      <c r="P823" s="10" t="s">
        <v>2263</v>
      </c>
      <c r="Q823" s="17" t="s">
        <v>482</v>
      </c>
      <c r="R823" s="14"/>
      <c r="S823" s="17" t="s">
        <v>2078</v>
      </c>
      <c r="T823" s="14"/>
      <c r="U823" s="14" t="s">
        <v>55</v>
      </c>
      <c r="V823" s="14"/>
      <c r="W823" s="18"/>
      <c r="X823" s="14" t="s">
        <v>41</v>
      </c>
    </row>
    <row r="824" ht="14.25" customHeight="1">
      <c r="A824" s="10" t="s">
        <v>1928</v>
      </c>
      <c r="B824" s="10" t="s">
        <v>31</v>
      </c>
      <c r="C824" s="10">
        <v>827.0</v>
      </c>
      <c r="D824" s="11" t="s">
        <v>2268</v>
      </c>
      <c r="E824" s="11" t="s">
        <v>2269</v>
      </c>
      <c r="F824" s="11" t="s">
        <v>362</v>
      </c>
      <c r="G824" s="10">
        <v>827.0</v>
      </c>
      <c r="H824" s="10">
        <f>VLOOKUP(F824,'Generos y Familia'!$A$1:$C$623,2,FALSE)</f>
        <v>17</v>
      </c>
      <c r="I824" s="12" t="str">
        <f t="shared" si="1"/>
        <v>Perymenium grande</v>
      </c>
      <c r="J824" s="10" t="str">
        <f t="shared" si="2"/>
        <v>827 Perymenium grande</v>
      </c>
      <c r="K824" s="10" t="str">
        <f t="shared" si="3"/>
        <v>Tastacame</v>
      </c>
      <c r="L824" s="10" t="str">
        <f t="shared" si="4"/>
        <v>827 Tastacame</v>
      </c>
      <c r="M824" s="10" t="s">
        <v>46</v>
      </c>
      <c r="N824" s="10" t="s">
        <v>28</v>
      </c>
      <c r="O824" s="10" t="s">
        <v>37</v>
      </c>
      <c r="P824" s="10" t="s">
        <v>2270</v>
      </c>
      <c r="Q824" s="13"/>
      <c r="R824" s="13"/>
      <c r="S824" s="13"/>
      <c r="T824" s="13"/>
      <c r="U824" s="13"/>
      <c r="V824" s="13"/>
      <c r="W824" s="16"/>
      <c r="X824" s="13"/>
    </row>
    <row r="825" ht="14.25" customHeight="1">
      <c r="A825" s="10" t="s">
        <v>1928</v>
      </c>
      <c r="B825" s="10" t="s">
        <v>31</v>
      </c>
      <c r="C825" s="10">
        <v>828.0</v>
      </c>
      <c r="D825" s="11" t="s">
        <v>2271</v>
      </c>
      <c r="E825" s="11" t="s">
        <v>2272</v>
      </c>
      <c r="F825" s="11" t="s">
        <v>136</v>
      </c>
      <c r="G825" s="10">
        <v>828.0</v>
      </c>
      <c r="H825" s="10">
        <f>VLOOKUP(F825,'Generos y Familia'!$A$1:$C$623,2,FALSE)</f>
        <v>34</v>
      </c>
      <c r="I825" s="12" t="str">
        <f t="shared" si="1"/>
        <v>Petitia domingensis</v>
      </c>
      <c r="J825" s="10" t="str">
        <f t="shared" si="2"/>
        <v>828 Petitia domingensis</v>
      </c>
      <c r="K825" s="10" t="str">
        <f t="shared" si="3"/>
        <v>Copa Blanca; Capá</v>
      </c>
      <c r="L825" s="10" t="str">
        <f t="shared" si="4"/>
        <v>828 Copa Blanca; Capá</v>
      </c>
      <c r="M825" s="10" t="s">
        <v>46</v>
      </c>
      <c r="N825" s="10" t="s">
        <v>36</v>
      </c>
      <c r="O825" s="10" t="s">
        <v>37</v>
      </c>
      <c r="P825" s="10" t="s">
        <v>2273</v>
      </c>
      <c r="Q825" s="13"/>
      <c r="R825" s="13"/>
      <c r="S825" s="13"/>
      <c r="T825" s="13"/>
      <c r="U825" s="13"/>
      <c r="V825" s="13"/>
      <c r="W825" s="13"/>
      <c r="X825" s="13"/>
    </row>
    <row r="826" ht="14.25" customHeight="1">
      <c r="A826" s="10" t="s">
        <v>1928</v>
      </c>
      <c r="B826" s="10" t="s">
        <v>31</v>
      </c>
      <c r="C826" s="10">
        <v>829.0</v>
      </c>
      <c r="D826" s="11" t="s">
        <v>2274</v>
      </c>
      <c r="E826" s="11" t="s">
        <v>2275</v>
      </c>
      <c r="F826" s="11" t="s">
        <v>2276</v>
      </c>
      <c r="G826" s="10">
        <v>829.0</v>
      </c>
      <c r="H826" s="10">
        <f>VLOOKUP(F826,'Generos y Familia'!$A$1:$C$623,2,FALSE)</f>
        <v>63</v>
      </c>
      <c r="I826" s="12" t="str">
        <f t="shared" si="1"/>
        <v>Petiveria alliacea</v>
      </c>
      <c r="J826" s="10" t="str">
        <f t="shared" si="2"/>
        <v>829 Petiveria alliacea</v>
      </c>
      <c r="K826" s="10" t="str">
        <f t="shared" si="3"/>
        <v>Anamú; Chimú</v>
      </c>
      <c r="L826" s="10" t="str">
        <f t="shared" si="4"/>
        <v>829 Anamú; Chimú</v>
      </c>
      <c r="M826" s="10" t="s">
        <v>35</v>
      </c>
      <c r="N826" s="10" t="s">
        <v>36</v>
      </c>
      <c r="O826" s="10" t="s">
        <v>47</v>
      </c>
      <c r="P826" s="10" t="s">
        <v>2277</v>
      </c>
      <c r="Q826" s="13"/>
      <c r="R826" s="13"/>
      <c r="S826" s="13"/>
      <c r="T826" s="13"/>
      <c r="U826" s="13"/>
      <c r="V826" s="13"/>
      <c r="W826" s="13"/>
      <c r="X826" s="13"/>
    </row>
    <row r="827" ht="14.25" customHeight="1">
      <c r="A827" s="10" t="s">
        <v>1928</v>
      </c>
      <c r="B827" s="10" t="s">
        <v>31</v>
      </c>
      <c r="C827" s="10">
        <v>830.0</v>
      </c>
      <c r="D827" s="11" t="s">
        <v>2278</v>
      </c>
      <c r="E827" s="11" t="s">
        <v>2279</v>
      </c>
      <c r="F827" s="11" t="s">
        <v>227</v>
      </c>
      <c r="G827" s="10">
        <v>830.0</v>
      </c>
      <c r="H827" s="10">
        <f>VLOOKUP(F827,'Generos y Familia'!$A$1:$C$623,2,FALSE)</f>
        <v>96</v>
      </c>
      <c r="I827" s="12" t="str">
        <f t="shared" si="1"/>
        <v>Petrea rugosa</v>
      </c>
      <c r="J827" s="10" t="str">
        <f t="shared" si="2"/>
        <v>830 Petrea rugosa</v>
      </c>
      <c r="K827" s="10" t="str">
        <f t="shared" si="3"/>
        <v>Estrella de Oriente; Chaparrito; Chaparrillo; Chaparro</v>
      </c>
      <c r="L827" s="10" t="str">
        <f t="shared" si="4"/>
        <v>830 Estrella de Oriente; Chaparrito; Chaparrillo; Chaparro</v>
      </c>
      <c r="M827" s="10" t="s">
        <v>35</v>
      </c>
      <c r="N827" s="10" t="s">
        <v>36</v>
      </c>
      <c r="O827" s="10" t="s">
        <v>47</v>
      </c>
      <c r="P827" s="10" t="s">
        <v>2280</v>
      </c>
      <c r="Q827" s="13"/>
      <c r="R827" s="13"/>
      <c r="S827" s="13"/>
      <c r="T827" s="13"/>
      <c r="U827" s="13"/>
      <c r="V827" s="13"/>
      <c r="W827" s="13"/>
      <c r="X827" s="13"/>
    </row>
    <row r="828" ht="14.25" customHeight="1">
      <c r="A828" s="10" t="s">
        <v>1928</v>
      </c>
      <c r="B828" s="10" t="s">
        <v>31</v>
      </c>
      <c r="C828" s="10">
        <v>831.0</v>
      </c>
      <c r="D828" s="11" t="s">
        <v>2281</v>
      </c>
      <c r="E828" s="11" t="s">
        <v>2282</v>
      </c>
      <c r="F828" s="11" t="s">
        <v>227</v>
      </c>
      <c r="G828" s="10">
        <v>831.0</v>
      </c>
      <c r="H828" s="10">
        <f>VLOOKUP(F828,'Generos y Familia'!$A$1:$C$623,2,FALSE)</f>
        <v>96</v>
      </c>
      <c r="I828" s="12" t="str">
        <f t="shared" si="1"/>
        <v>Petrea pubescens</v>
      </c>
      <c r="J828" s="10" t="str">
        <f t="shared" si="2"/>
        <v>831 Petrea pubescens</v>
      </c>
      <c r="K828" s="10" t="str">
        <f t="shared" si="3"/>
        <v>Flor Azúl; Azulito; Carrasposo; Chaparrillo</v>
      </c>
      <c r="L828" s="10" t="str">
        <f t="shared" si="4"/>
        <v>831 Flor Azúl; Azulito; Carrasposo; Chaparrillo</v>
      </c>
      <c r="M828" s="10" t="s">
        <v>35</v>
      </c>
      <c r="N828" s="10" t="s">
        <v>36</v>
      </c>
      <c r="O828" s="10" t="s">
        <v>47</v>
      </c>
      <c r="P828" s="10" t="s">
        <v>2280</v>
      </c>
      <c r="Q828" s="13"/>
      <c r="R828" s="13"/>
      <c r="S828" s="13"/>
      <c r="T828" s="13"/>
      <c r="U828" s="13"/>
      <c r="V828" s="13"/>
      <c r="W828" s="16"/>
      <c r="X828" s="13"/>
    </row>
    <row r="829" ht="14.25" customHeight="1">
      <c r="A829" s="10" t="s">
        <v>1928</v>
      </c>
      <c r="B829" s="10" t="s">
        <v>31</v>
      </c>
      <c r="C829" s="10">
        <v>832.0</v>
      </c>
      <c r="D829" s="11" t="s">
        <v>2283</v>
      </c>
      <c r="E829" s="11" t="s">
        <v>2284</v>
      </c>
      <c r="F829" s="11" t="s">
        <v>227</v>
      </c>
      <c r="G829" s="10">
        <v>832.0</v>
      </c>
      <c r="H829" s="10">
        <f>VLOOKUP(F829,'Generos y Familia'!$A$1:$C$623,2,FALSE)</f>
        <v>96</v>
      </c>
      <c r="I829" s="12" t="str">
        <f t="shared" si="1"/>
        <v>Petrea volubilis</v>
      </c>
      <c r="J829" s="10" t="str">
        <f t="shared" si="2"/>
        <v>832 Petrea volubilis</v>
      </c>
      <c r="K829" s="10" t="str">
        <f t="shared" si="3"/>
        <v>Plumon; Jazmín Azul; Chaparrito</v>
      </c>
      <c r="L829" s="10" t="str">
        <f t="shared" si="4"/>
        <v>832 Plumon; Jazmín Azul; Chaparrito</v>
      </c>
      <c r="M829" s="10" t="s">
        <v>35</v>
      </c>
      <c r="N829" s="10" t="s">
        <v>36</v>
      </c>
      <c r="O829" s="10" t="s">
        <v>47</v>
      </c>
      <c r="P829" s="10" t="s">
        <v>2280</v>
      </c>
      <c r="Q829" s="13"/>
      <c r="R829" s="13"/>
      <c r="S829" s="13"/>
      <c r="T829" s="13"/>
      <c r="U829" s="13"/>
      <c r="V829" s="13"/>
      <c r="W829" s="16"/>
      <c r="X829" s="13"/>
    </row>
    <row r="830" ht="14.25" customHeight="1">
      <c r="A830" s="10" t="s">
        <v>1928</v>
      </c>
      <c r="B830" s="10" t="s">
        <v>31</v>
      </c>
      <c r="C830" s="10">
        <v>833.0</v>
      </c>
      <c r="D830" s="11" t="s">
        <v>2285</v>
      </c>
      <c r="E830" s="11" t="s">
        <v>2286</v>
      </c>
      <c r="F830" s="11" t="s">
        <v>2287</v>
      </c>
      <c r="G830" s="10">
        <v>833.0</v>
      </c>
      <c r="H830" s="10">
        <f>VLOOKUP(F830,'Generos y Familia'!$A$1:$C$623,2,FALSE)</f>
        <v>11</v>
      </c>
      <c r="I830" s="12" t="str">
        <f t="shared" si="1"/>
        <v>Philodendron bipinnatifidum</v>
      </c>
      <c r="J830" s="10" t="str">
        <f t="shared" si="2"/>
        <v>833 Philodendron bipinnatifidum</v>
      </c>
      <c r="K830" s="10" t="str">
        <f t="shared" si="3"/>
        <v>Mano de Tigre; Güembé</v>
      </c>
      <c r="L830" s="10" t="str">
        <f t="shared" si="4"/>
        <v>833 Mano de Tigre; Güembé</v>
      </c>
      <c r="M830" s="10" t="s">
        <v>46</v>
      </c>
      <c r="N830" s="10" t="s">
        <v>36</v>
      </c>
      <c r="O830" s="10" t="s">
        <v>392</v>
      </c>
      <c r="P830" s="10" t="s">
        <v>2288</v>
      </c>
      <c r="Q830" s="17" t="s">
        <v>347</v>
      </c>
      <c r="R830" s="14"/>
      <c r="S830" s="17" t="s">
        <v>821</v>
      </c>
      <c r="T830" s="14"/>
      <c r="U830" s="14" t="s">
        <v>55</v>
      </c>
      <c r="V830" s="14"/>
      <c r="W830" s="17"/>
      <c r="X830" s="14" t="s">
        <v>41</v>
      </c>
    </row>
    <row r="831" ht="14.25" customHeight="1">
      <c r="A831" s="10" t="s">
        <v>1928</v>
      </c>
      <c r="B831" s="10" t="s">
        <v>31</v>
      </c>
      <c r="C831" s="10">
        <v>834.0</v>
      </c>
      <c r="D831" s="11" t="s">
        <v>2289</v>
      </c>
      <c r="E831" s="11" t="s">
        <v>2290</v>
      </c>
      <c r="F831" s="11" t="s">
        <v>116</v>
      </c>
      <c r="G831" s="10">
        <v>834.0</v>
      </c>
      <c r="H831" s="10">
        <f>VLOOKUP(F831,'Generos y Familia'!$A$1:$C$623,2,FALSE)</f>
        <v>14</v>
      </c>
      <c r="I831" s="12" t="str">
        <f t="shared" si="1"/>
        <v>Phoenix canariensis</v>
      </c>
      <c r="J831" s="10" t="str">
        <f t="shared" si="2"/>
        <v>834 Phoenix canariensis</v>
      </c>
      <c r="K831" s="10" t="str">
        <f t="shared" si="3"/>
        <v>Palma Datil de las Canarias; Palma Fénix; Datilera de las Canarias; Palma de Canarias</v>
      </c>
      <c r="L831" s="10" t="str">
        <f t="shared" si="4"/>
        <v>834 Palma Datil de las Canarias; Palma Fénix; Datilera de las Canarias; Palma de Canarias</v>
      </c>
      <c r="M831" s="10" t="s">
        <v>46</v>
      </c>
      <c r="N831" s="10" t="s">
        <v>36</v>
      </c>
      <c r="O831" s="10" t="s">
        <v>117</v>
      </c>
      <c r="P831" s="10" t="s">
        <v>2291</v>
      </c>
      <c r="Q831" s="17" t="s">
        <v>229</v>
      </c>
      <c r="R831" s="14" t="s">
        <v>39</v>
      </c>
      <c r="S831" s="17" t="s">
        <v>62</v>
      </c>
      <c r="T831" s="14" t="s">
        <v>39</v>
      </c>
      <c r="U831" s="14" t="s">
        <v>73</v>
      </c>
      <c r="V831" s="14"/>
      <c r="W831" s="18"/>
      <c r="X831" s="14"/>
    </row>
    <row r="832" ht="14.25" customHeight="1">
      <c r="A832" s="10" t="s">
        <v>1928</v>
      </c>
      <c r="B832" s="10" t="s">
        <v>63</v>
      </c>
      <c r="C832" s="10">
        <v>835.0</v>
      </c>
      <c r="D832" s="11" t="s">
        <v>2292</v>
      </c>
      <c r="E832" s="11" t="s">
        <v>2293</v>
      </c>
      <c r="F832" s="11" t="s">
        <v>116</v>
      </c>
      <c r="G832" s="10">
        <v>835.0</v>
      </c>
      <c r="H832" s="10">
        <f>VLOOKUP(F832,'Generos y Familia'!$A$1:$C$623,2,FALSE)</f>
        <v>14</v>
      </c>
      <c r="I832" s="12" t="str">
        <f t="shared" si="1"/>
        <v>Phoenix dactylifera</v>
      </c>
      <c r="J832" s="10" t="str">
        <f t="shared" si="2"/>
        <v>835 Phoenix dactylifera</v>
      </c>
      <c r="K832" s="10" t="str">
        <f t="shared" si="3"/>
        <v>Dátil; Palma de Dátil; Palma Datilera; Datilera</v>
      </c>
      <c r="L832" s="10" t="str">
        <f t="shared" si="4"/>
        <v>835 Dátil; Palma de Dátil; Palma Datilera; Datilera</v>
      </c>
      <c r="M832" s="10" t="s">
        <v>46</v>
      </c>
      <c r="N832" s="10" t="s">
        <v>36</v>
      </c>
      <c r="O832" s="10" t="s">
        <v>117</v>
      </c>
      <c r="P832" s="10" t="s">
        <v>2291</v>
      </c>
      <c r="Q832" s="13"/>
      <c r="R832" s="13"/>
      <c r="S832" s="13"/>
      <c r="T832" s="13"/>
      <c r="U832" s="13"/>
      <c r="V832" s="13"/>
      <c r="W832" s="16"/>
      <c r="X832" s="13"/>
    </row>
    <row r="833" ht="14.25" customHeight="1">
      <c r="A833" s="10" t="s">
        <v>1928</v>
      </c>
      <c r="B833" s="10" t="s">
        <v>31</v>
      </c>
      <c r="C833" s="10">
        <v>836.0</v>
      </c>
      <c r="D833" s="11" t="s">
        <v>2294</v>
      </c>
      <c r="E833" s="11" t="s">
        <v>2295</v>
      </c>
      <c r="F833" s="11" t="s">
        <v>116</v>
      </c>
      <c r="G833" s="10">
        <v>836.0</v>
      </c>
      <c r="H833" s="10">
        <f>VLOOKUP(F833,'Generos y Familia'!$A$1:$C$623,2,FALSE)</f>
        <v>14</v>
      </c>
      <c r="I833" s="12" t="str">
        <f t="shared" si="1"/>
        <v>Phoenix reclinata</v>
      </c>
      <c r="J833" s="10" t="str">
        <f t="shared" si="2"/>
        <v>836 Phoenix reclinata</v>
      </c>
      <c r="K833" s="10" t="str">
        <f t="shared" si="3"/>
        <v>Palma Datilera del Senegal; Palma Fénix</v>
      </c>
      <c r="L833" s="10" t="str">
        <f t="shared" si="4"/>
        <v>836 Palma Datilera del Senegal; Palma Fénix</v>
      </c>
      <c r="M833" s="10" t="s">
        <v>46</v>
      </c>
      <c r="N833" s="10" t="s">
        <v>36</v>
      </c>
      <c r="O833" s="10" t="s">
        <v>117</v>
      </c>
      <c r="P833" s="10" t="s">
        <v>2291</v>
      </c>
      <c r="Q833" s="17" t="s">
        <v>379</v>
      </c>
      <c r="R833" s="14" t="s">
        <v>39</v>
      </c>
      <c r="S833" s="17" t="s">
        <v>54</v>
      </c>
      <c r="T833" s="14" t="s">
        <v>39</v>
      </c>
      <c r="U833" s="14" t="s">
        <v>40</v>
      </c>
      <c r="V833" s="14"/>
      <c r="W833" s="17"/>
      <c r="X833" s="14"/>
    </row>
    <row r="834" ht="14.25" customHeight="1">
      <c r="A834" s="10" t="s">
        <v>1928</v>
      </c>
      <c r="B834" s="10" t="s">
        <v>31</v>
      </c>
      <c r="C834" s="10">
        <v>837.0</v>
      </c>
      <c r="D834" s="11" t="s">
        <v>2296</v>
      </c>
      <c r="E834" s="11" t="s">
        <v>2297</v>
      </c>
      <c r="F834" s="11" t="s">
        <v>116</v>
      </c>
      <c r="G834" s="10">
        <v>837.0</v>
      </c>
      <c r="H834" s="10">
        <f>VLOOKUP(F834,'Generos y Familia'!$A$1:$C$623,2,FALSE)</f>
        <v>14</v>
      </c>
      <c r="I834" s="12" t="str">
        <f t="shared" si="1"/>
        <v>Phoenix roebelenii</v>
      </c>
      <c r="J834" s="10" t="str">
        <f t="shared" si="2"/>
        <v>837 Phoenix roebelenii</v>
      </c>
      <c r="K834" s="10" t="str">
        <f t="shared" si="3"/>
        <v>Palma Robeleni</v>
      </c>
      <c r="L834" s="10" t="str">
        <f t="shared" si="4"/>
        <v>837 Palma Robeleni</v>
      </c>
      <c r="M834" s="10" t="s">
        <v>46</v>
      </c>
      <c r="N834" s="10" t="s">
        <v>36</v>
      </c>
      <c r="O834" s="10" t="s">
        <v>117</v>
      </c>
      <c r="P834" s="10" t="s">
        <v>2291</v>
      </c>
      <c r="Q834" s="17" t="s">
        <v>632</v>
      </c>
      <c r="R834" s="14" t="s">
        <v>39</v>
      </c>
      <c r="S834" s="17" t="s">
        <v>145</v>
      </c>
      <c r="T834" s="14" t="s">
        <v>39</v>
      </c>
      <c r="U834" s="14" t="s">
        <v>73</v>
      </c>
      <c r="V834" s="14"/>
      <c r="W834" s="18"/>
      <c r="X834" s="14"/>
    </row>
    <row r="835" ht="14.25" customHeight="1">
      <c r="A835" s="10" t="s">
        <v>1928</v>
      </c>
      <c r="B835" s="10" t="s">
        <v>31</v>
      </c>
      <c r="C835" s="10">
        <v>838.0</v>
      </c>
      <c r="D835" s="11" t="s">
        <v>2298</v>
      </c>
      <c r="E835" s="11" t="s">
        <v>2299</v>
      </c>
      <c r="F835" s="11" t="s">
        <v>116</v>
      </c>
      <c r="G835" s="10">
        <v>838.0</v>
      </c>
      <c r="H835" s="10">
        <f>VLOOKUP(F835,'Generos y Familia'!$A$1:$C$623,2,FALSE)</f>
        <v>14</v>
      </c>
      <c r="I835" s="12" t="str">
        <f t="shared" si="1"/>
        <v>Phoenix sylvestris</v>
      </c>
      <c r="J835" s="10" t="str">
        <f t="shared" si="2"/>
        <v>838 Phoenix sylvestris</v>
      </c>
      <c r="K835" s="10" t="str">
        <f t="shared" si="3"/>
        <v>Ditalera Plateada</v>
      </c>
      <c r="L835" s="10" t="str">
        <f t="shared" si="4"/>
        <v>838 Ditalera Plateada</v>
      </c>
      <c r="M835" s="10" t="s">
        <v>46</v>
      </c>
      <c r="N835" s="10" t="s">
        <v>28</v>
      </c>
      <c r="O835" s="10" t="s">
        <v>117</v>
      </c>
      <c r="P835" s="10" t="s">
        <v>2291</v>
      </c>
      <c r="Q835" s="13"/>
      <c r="R835" s="13"/>
      <c r="S835" s="13"/>
      <c r="T835" s="13"/>
      <c r="U835" s="13"/>
      <c r="V835" s="13"/>
      <c r="W835" s="13"/>
      <c r="X835" s="13"/>
    </row>
    <row r="836" ht="14.25" customHeight="1">
      <c r="A836" s="10" t="s">
        <v>1928</v>
      </c>
      <c r="B836" s="10" t="s">
        <v>31</v>
      </c>
      <c r="C836" s="10">
        <v>839.0</v>
      </c>
      <c r="D836" s="11" t="s">
        <v>2300</v>
      </c>
      <c r="E836" s="11" t="s">
        <v>2301</v>
      </c>
      <c r="F836" s="11" t="s">
        <v>1105</v>
      </c>
      <c r="G836" s="10">
        <v>839.0</v>
      </c>
      <c r="H836" s="10">
        <f>VLOOKUP(F836,'Generos y Familia'!$A$1:$C$623,2,FALSE)</f>
        <v>78</v>
      </c>
      <c r="I836" s="12" t="str">
        <f t="shared" si="1"/>
        <v>Photinia sp</v>
      </c>
      <c r="J836" s="10" t="str">
        <f t="shared" si="2"/>
        <v>839 Photinia sp</v>
      </c>
      <c r="K836" s="10" t="str">
        <f t="shared" si="3"/>
        <v>Photinia; Fotinia</v>
      </c>
      <c r="L836" s="10" t="str">
        <f t="shared" si="4"/>
        <v>839 Photinia; Fotinia</v>
      </c>
      <c r="M836" s="10" t="s">
        <v>46</v>
      </c>
      <c r="N836" s="10" t="s">
        <v>36</v>
      </c>
      <c r="O836" s="10" t="s">
        <v>47</v>
      </c>
      <c r="P836" s="10" t="s">
        <v>2302</v>
      </c>
      <c r="Q836" s="13"/>
      <c r="R836" s="13"/>
      <c r="S836" s="13"/>
      <c r="T836" s="13"/>
      <c r="U836" s="13"/>
      <c r="V836" s="13"/>
      <c r="W836" s="13"/>
      <c r="X836" s="13"/>
    </row>
    <row r="837" ht="14.25" customHeight="1">
      <c r="A837" s="10" t="s">
        <v>1928</v>
      </c>
      <c r="B837" s="10" t="s">
        <v>31</v>
      </c>
      <c r="C837" s="10">
        <v>840.0</v>
      </c>
      <c r="D837" s="11" t="s">
        <v>2303</v>
      </c>
      <c r="E837" s="11" t="s">
        <v>2304</v>
      </c>
      <c r="F837" s="11" t="s">
        <v>480</v>
      </c>
      <c r="G837" s="10">
        <v>840.0</v>
      </c>
      <c r="H837" s="10">
        <f>VLOOKUP(F837,'Generos y Familia'!$A$1:$C$623,2,FALSE)</f>
        <v>64</v>
      </c>
      <c r="I837" s="12" t="str">
        <f t="shared" si="1"/>
        <v>Phyllanthus acidus</v>
      </c>
      <c r="J837" s="10" t="str">
        <f t="shared" si="2"/>
        <v>840 Phyllanthus acidus</v>
      </c>
      <c r="K837" s="10" t="str">
        <f t="shared" si="3"/>
        <v>Grosello; Phyllantus</v>
      </c>
      <c r="L837" s="10" t="str">
        <f t="shared" si="4"/>
        <v>840 Grosello; Phyllantus</v>
      </c>
      <c r="M837" s="10" t="s">
        <v>46</v>
      </c>
      <c r="N837" s="10" t="s">
        <v>36</v>
      </c>
      <c r="O837" s="10" t="s">
        <v>37</v>
      </c>
      <c r="P837" s="10" t="s">
        <v>2305</v>
      </c>
      <c r="Q837" s="13"/>
      <c r="R837" s="13"/>
      <c r="S837" s="13"/>
      <c r="T837" s="13"/>
      <c r="U837" s="13"/>
      <c r="V837" s="13"/>
      <c r="W837" s="16"/>
      <c r="X837" s="13"/>
    </row>
    <row r="838" ht="14.25" customHeight="1">
      <c r="A838" s="10" t="s">
        <v>1928</v>
      </c>
      <c r="B838" s="10" t="s">
        <v>31</v>
      </c>
      <c r="C838" s="10">
        <v>841.0</v>
      </c>
      <c r="D838" s="11" t="s">
        <v>2306</v>
      </c>
      <c r="E838" s="11" t="s">
        <v>2307</v>
      </c>
      <c r="F838" s="11" t="s">
        <v>480</v>
      </c>
      <c r="G838" s="10">
        <v>841.0</v>
      </c>
      <c r="H838" s="10">
        <f>VLOOKUP(F838,'Generos y Familia'!$A$1:$C$623,2,FALSE)</f>
        <v>64</v>
      </c>
      <c r="I838" s="12" t="str">
        <f t="shared" si="1"/>
        <v>Phyllanthus acuminatus</v>
      </c>
      <c r="J838" s="10" t="str">
        <f t="shared" si="2"/>
        <v>841 Phyllanthus acuminatus</v>
      </c>
      <c r="K838" s="10" t="str">
        <f t="shared" si="3"/>
        <v>Grosello (Acuminatus); Barbasco; Barbasquillo; Chirrinche</v>
      </c>
      <c r="L838" s="10" t="str">
        <f t="shared" si="4"/>
        <v>841 Grosello (Acuminatus); Barbasco; Barbasquillo; Chirrinche</v>
      </c>
      <c r="M838" s="10" t="s">
        <v>35</v>
      </c>
      <c r="N838" s="10" t="s">
        <v>36</v>
      </c>
      <c r="O838" s="10" t="s">
        <v>37</v>
      </c>
      <c r="P838" s="10" t="s">
        <v>2305</v>
      </c>
      <c r="Q838" s="13"/>
      <c r="R838" s="13"/>
      <c r="S838" s="13"/>
      <c r="T838" s="13"/>
      <c r="U838" s="13"/>
      <c r="V838" s="13"/>
      <c r="W838" s="16"/>
      <c r="X838" s="13"/>
    </row>
    <row r="839" ht="14.25" customHeight="1">
      <c r="A839" s="10" t="s">
        <v>1928</v>
      </c>
      <c r="B839" s="10" t="s">
        <v>31</v>
      </c>
      <c r="C839" s="10">
        <v>842.0</v>
      </c>
      <c r="D839" s="11" t="s">
        <v>2308</v>
      </c>
      <c r="E839" s="11" t="s">
        <v>2309</v>
      </c>
      <c r="F839" s="11" t="s">
        <v>1105</v>
      </c>
      <c r="G839" s="10">
        <v>842.0</v>
      </c>
      <c r="H839" s="10">
        <f>VLOOKUP(F839,'Generos y Familia'!$A$1:$C$623,2,FALSE)</f>
        <v>78</v>
      </c>
      <c r="I839" s="12" t="str">
        <f t="shared" si="1"/>
        <v>Physocarpus opulifolius</v>
      </c>
      <c r="J839" s="10" t="str">
        <f t="shared" si="2"/>
        <v>842 Physocarpus opulifolius</v>
      </c>
      <c r="K839" s="10" t="str">
        <f t="shared" si="3"/>
        <v>Physocarpus Opulifolius</v>
      </c>
      <c r="L839" s="10" t="str">
        <f t="shared" si="4"/>
        <v>842 Physocarpus Opulifolius</v>
      </c>
      <c r="M839" s="10" t="s">
        <v>46</v>
      </c>
      <c r="N839" s="10" t="s">
        <v>28</v>
      </c>
      <c r="O839" s="10" t="s">
        <v>47</v>
      </c>
      <c r="P839" s="10" t="s">
        <v>2310</v>
      </c>
      <c r="Q839" s="13"/>
      <c r="R839" s="13"/>
      <c r="S839" s="13"/>
      <c r="T839" s="13"/>
      <c r="U839" s="13"/>
      <c r="V839" s="13"/>
      <c r="W839" s="13"/>
      <c r="X839" s="13"/>
    </row>
    <row r="840" ht="14.25" customHeight="1">
      <c r="A840" s="10" t="s">
        <v>1928</v>
      </c>
      <c r="B840" s="10" t="s">
        <v>31</v>
      </c>
      <c r="C840" s="10">
        <v>843.0</v>
      </c>
      <c r="D840" s="11" t="s">
        <v>2311</v>
      </c>
      <c r="E840" s="11" t="s">
        <v>2312</v>
      </c>
      <c r="F840" s="11" t="s">
        <v>116</v>
      </c>
      <c r="G840" s="10">
        <v>843.0</v>
      </c>
      <c r="H840" s="10">
        <f>VLOOKUP(F840,'Generos y Familia'!$A$1:$C$623,2,FALSE)</f>
        <v>14</v>
      </c>
      <c r="I840" s="12" t="str">
        <f t="shared" si="1"/>
        <v>Phytelephas macrocarpa</v>
      </c>
      <c r="J840" s="10" t="str">
        <f t="shared" si="2"/>
        <v>843 Phytelephas macrocarpa</v>
      </c>
      <c r="K840" s="10" t="str">
        <f t="shared" si="3"/>
        <v>Tagua; Palmera de Marfil; Marfil Vegetal</v>
      </c>
      <c r="L840" s="10" t="str">
        <f t="shared" si="4"/>
        <v>843 Tagua; Palmera de Marfil; Marfil Vegetal</v>
      </c>
      <c r="M840" s="10" t="s">
        <v>35</v>
      </c>
      <c r="N840" s="10" t="s">
        <v>36</v>
      </c>
      <c r="O840" s="10" t="s">
        <v>117</v>
      </c>
      <c r="P840" s="10" t="s">
        <v>2313</v>
      </c>
      <c r="Q840" s="13"/>
      <c r="R840" s="13"/>
      <c r="S840" s="13"/>
      <c r="T840" s="13"/>
      <c r="U840" s="13"/>
      <c r="V840" s="13"/>
      <c r="W840" s="13"/>
      <c r="X840" s="13"/>
    </row>
    <row r="841" ht="14.25" customHeight="1">
      <c r="A841" s="10" t="s">
        <v>1928</v>
      </c>
      <c r="B841" s="10" t="s">
        <v>31</v>
      </c>
      <c r="C841" s="10">
        <v>844.0</v>
      </c>
      <c r="D841" s="11" t="s">
        <v>2314</v>
      </c>
      <c r="E841" s="11" t="s">
        <v>2315</v>
      </c>
      <c r="F841" s="11" t="s">
        <v>116</v>
      </c>
      <c r="G841" s="10">
        <v>844.0</v>
      </c>
      <c r="H841" s="10">
        <f>VLOOKUP(F841,'Generos y Familia'!$A$1:$C$623,2,FALSE)</f>
        <v>14</v>
      </c>
      <c r="I841" s="12" t="str">
        <f t="shared" si="1"/>
        <v>Phytelephas sp</v>
      </c>
      <c r="J841" s="10" t="str">
        <f t="shared" si="2"/>
        <v>844 Phytelephas sp</v>
      </c>
      <c r="K841" s="10" t="str">
        <f t="shared" si="3"/>
        <v>Tagua</v>
      </c>
      <c r="L841" s="10" t="str">
        <f t="shared" si="4"/>
        <v>844 Tagua</v>
      </c>
      <c r="M841" s="10" t="s">
        <v>35</v>
      </c>
      <c r="N841" s="10" t="s">
        <v>36</v>
      </c>
      <c r="O841" s="10" t="s">
        <v>117</v>
      </c>
      <c r="P841" s="10" t="s">
        <v>2313</v>
      </c>
      <c r="Q841" s="13"/>
      <c r="R841" s="13"/>
      <c r="S841" s="13"/>
      <c r="T841" s="13"/>
      <c r="U841" s="13"/>
      <c r="V841" s="13"/>
      <c r="W841" s="13"/>
      <c r="X841" s="13"/>
    </row>
    <row r="842" ht="14.25" customHeight="1">
      <c r="A842" s="10" t="s">
        <v>1928</v>
      </c>
      <c r="B842" s="10" t="s">
        <v>31</v>
      </c>
      <c r="C842" s="10">
        <v>845.0</v>
      </c>
      <c r="D842" s="11" t="s">
        <v>2316</v>
      </c>
      <c r="E842" s="11" t="s">
        <v>2317</v>
      </c>
      <c r="F842" s="11" t="s">
        <v>2318</v>
      </c>
      <c r="G842" s="10">
        <v>845.0</v>
      </c>
      <c r="H842" s="10">
        <f>VLOOKUP(F842,'Generos y Familia'!$A$1:$C$623,2,FALSE)</f>
        <v>65</v>
      </c>
      <c r="I842" s="12" t="str">
        <f t="shared" si="1"/>
        <v>Phytolacca dioica</v>
      </c>
      <c r="J842" s="10" t="str">
        <f t="shared" si="2"/>
        <v>845 Phytolacca dioica</v>
      </c>
      <c r="K842" s="10" t="str">
        <f t="shared" si="3"/>
        <v>Ombú; Yerba de Culebra; Guaba; Árbol de la Bella Sombra</v>
      </c>
      <c r="L842" s="10" t="str">
        <f t="shared" si="4"/>
        <v>845 Ombú; Yerba de Culebra; Guaba; Árbol de la Bella Sombra</v>
      </c>
      <c r="M842" s="10" t="s">
        <v>35</v>
      </c>
      <c r="N842" s="10" t="s">
        <v>36</v>
      </c>
      <c r="O842" s="10" t="s">
        <v>37</v>
      </c>
      <c r="P842" s="10" t="s">
        <v>2319</v>
      </c>
      <c r="Q842" s="13"/>
      <c r="R842" s="13"/>
      <c r="S842" s="13"/>
      <c r="T842" s="13"/>
      <c r="U842" s="13"/>
      <c r="V842" s="13"/>
      <c r="W842" s="16"/>
      <c r="X842" s="13"/>
    </row>
    <row r="843" ht="14.25" customHeight="1">
      <c r="A843" s="10" t="s">
        <v>1928</v>
      </c>
      <c r="B843" s="10" t="s">
        <v>31</v>
      </c>
      <c r="C843" s="10">
        <v>846.0</v>
      </c>
      <c r="D843" s="11" t="s">
        <v>2320</v>
      </c>
      <c r="E843" s="11" t="s">
        <v>2321</v>
      </c>
      <c r="F843" s="11" t="s">
        <v>95</v>
      </c>
      <c r="G843" s="10">
        <v>846.0</v>
      </c>
      <c r="H843" s="10">
        <f>VLOOKUP(F843,'Generos y Familia'!$A$1:$C$623,2,FALSE)</f>
        <v>49</v>
      </c>
      <c r="I843" s="12" t="str">
        <f t="shared" si="1"/>
        <v>Pimenta dioica</v>
      </c>
      <c r="J843" s="10" t="str">
        <f t="shared" si="2"/>
        <v>846 Pimenta dioica</v>
      </c>
      <c r="K843" s="10" t="str">
        <f t="shared" si="3"/>
        <v>Pimienta de Olor; Pimienta Dulce; Pimiento</v>
      </c>
      <c r="L843" s="10" t="str">
        <f t="shared" si="4"/>
        <v>846 Pimienta de Olor; Pimienta Dulce; Pimiento</v>
      </c>
      <c r="M843" s="10" t="s">
        <v>46</v>
      </c>
      <c r="N843" s="10" t="s">
        <v>36</v>
      </c>
      <c r="O843" s="10" t="s">
        <v>37</v>
      </c>
      <c r="P843" s="10" t="s">
        <v>2322</v>
      </c>
      <c r="Q843" s="13"/>
      <c r="R843" s="13"/>
      <c r="S843" s="13"/>
      <c r="T843" s="13"/>
      <c r="U843" s="13"/>
      <c r="V843" s="13"/>
      <c r="W843" s="16"/>
      <c r="X843" s="13"/>
    </row>
    <row r="844" ht="14.25" customHeight="1">
      <c r="A844" s="10" t="s">
        <v>1928</v>
      </c>
      <c r="B844" s="10" t="s">
        <v>31</v>
      </c>
      <c r="C844" s="10">
        <v>847.0</v>
      </c>
      <c r="D844" s="11" t="s">
        <v>2323</v>
      </c>
      <c r="E844" s="11" t="s">
        <v>2324</v>
      </c>
      <c r="F844" s="11" t="s">
        <v>95</v>
      </c>
      <c r="G844" s="10">
        <v>847.0</v>
      </c>
      <c r="H844" s="10">
        <f>VLOOKUP(F844,'Generos y Familia'!$A$1:$C$623,2,FALSE)</f>
        <v>49</v>
      </c>
      <c r="I844" s="12" t="str">
        <f t="shared" si="1"/>
        <v>Pimenta racemosa</v>
      </c>
      <c r="J844" s="10" t="str">
        <f t="shared" si="2"/>
        <v>847 Pimenta racemosa</v>
      </c>
      <c r="K844" s="10" t="str">
        <f t="shared" si="3"/>
        <v>Aceituno; Malagueto</v>
      </c>
      <c r="L844" s="10" t="str">
        <f t="shared" si="4"/>
        <v>847 Aceituno; Malagueto</v>
      </c>
      <c r="M844" s="10" t="s">
        <v>46</v>
      </c>
      <c r="N844" s="10" t="s">
        <v>36</v>
      </c>
      <c r="O844" s="10" t="s">
        <v>37</v>
      </c>
      <c r="P844" s="10" t="s">
        <v>2322</v>
      </c>
      <c r="Q844" s="13"/>
      <c r="R844" s="13"/>
      <c r="S844" s="13"/>
      <c r="T844" s="13"/>
      <c r="U844" s="13"/>
      <c r="V844" s="13"/>
      <c r="W844" s="16"/>
      <c r="X844" s="13"/>
    </row>
    <row r="845" ht="14.25" customHeight="1">
      <c r="A845" s="10" t="s">
        <v>1928</v>
      </c>
      <c r="B845" s="10" t="s">
        <v>31</v>
      </c>
      <c r="C845" s="10">
        <v>848.0</v>
      </c>
      <c r="D845" s="11" t="s">
        <v>2325</v>
      </c>
      <c r="E845" s="11" t="s">
        <v>2326</v>
      </c>
      <c r="F845" s="11" t="s">
        <v>2327</v>
      </c>
      <c r="G845" s="10">
        <v>848.0</v>
      </c>
      <c r="H845" s="10">
        <f>VLOOKUP(F845,'Generos y Familia'!$A$1:$C$623,2,FALSE)</f>
        <v>66</v>
      </c>
      <c r="I845" s="12" t="str">
        <f t="shared" si="1"/>
        <v>Pinus caribaea</v>
      </c>
      <c r="J845" s="10" t="str">
        <f t="shared" si="2"/>
        <v>848 Pinus caribaea</v>
      </c>
      <c r="K845" s="10" t="str">
        <f t="shared" si="3"/>
        <v>Pino Caribe; Pino Caribeño; Pino; Pino Caribea</v>
      </c>
      <c r="L845" s="10" t="str">
        <f t="shared" si="4"/>
        <v>848 Pino Caribe; Pino Caribeño; Pino; Pino Caribea</v>
      </c>
      <c r="M845" s="10" t="s">
        <v>46</v>
      </c>
      <c r="N845" s="10" t="s">
        <v>36</v>
      </c>
      <c r="O845" s="10" t="s">
        <v>37</v>
      </c>
      <c r="P845" s="10" t="s">
        <v>2328</v>
      </c>
      <c r="Q845" s="13"/>
      <c r="R845" s="13"/>
      <c r="S845" s="13"/>
      <c r="T845" s="13"/>
      <c r="U845" s="13"/>
      <c r="V845" s="13"/>
      <c r="W845" s="13"/>
      <c r="X845" s="13"/>
    </row>
    <row r="846" ht="14.25" customHeight="1">
      <c r="A846" s="10" t="s">
        <v>1928</v>
      </c>
      <c r="B846" s="10" t="s">
        <v>31</v>
      </c>
      <c r="C846" s="10">
        <v>849.0</v>
      </c>
      <c r="D846" s="11" t="s">
        <v>2329</v>
      </c>
      <c r="E846" s="11" t="s">
        <v>2330</v>
      </c>
      <c r="F846" s="11" t="s">
        <v>2327</v>
      </c>
      <c r="G846" s="10">
        <v>849.0</v>
      </c>
      <c r="H846" s="10">
        <f>VLOOKUP(F846,'Generos y Familia'!$A$1:$C$623,2,FALSE)</f>
        <v>66</v>
      </c>
      <c r="I846" s="12" t="str">
        <f t="shared" si="1"/>
        <v>Pinus oocarpa</v>
      </c>
      <c r="J846" s="10" t="str">
        <f t="shared" si="2"/>
        <v>849 Pinus oocarpa</v>
      </c>
      <c r="K846" s="10" t="str">
        <f t="shared" si="3"/>
        <v>Ocote Chino; Pino; Pino Ocarpa</v>
      </c>
      <c r="L846" s="10" t="str">
        <f t="shared" si="4"/>
        <v>849 Ocote Chino; Pino; Pino Ocarpa</v>
      </c>
      <c r="M846" s="10" t="s">
        <v>46</v>
      </c>
      <c r="N846" s="10" t="s">
        <v>36</v>
      </c>
      <c r="O846" s="10" t="s">
        <v>37</v>
      </c>
      <c r="P846" s="10" t="s">
        <v>2328</v>
      </c>
      <c r="Q846" s="17" t="s">
        <v>448</v>
      </c>
      <c r="R846" s="14" t="s">
        <v>2331</v>
      </c>
      <c r="S846" s="17" t="s">
        <v>2332</v>
      </c>
      <c r="T846" s="14" t="s">
        <v>2331</v>
      </c>
      <c r="U846" s="14" t="s">
        <v>40</v>
      </c>
      <c r="V846" s="14"/>
      <c r="W846" s="17"/>
      <c r="X846" s="14"/>
    </row>
    <row r="847" ht="14.25" customHeight="1">
      <c r="A847" s="10" t="s">
        <v>1928</v>
      </c>
      <c r="B847" s="10" t="s">
        <v>31</v>
      </c>
      <c r="C847" s="10">
        <v>850.0</v>
      </c>
      <c r="D847" s="11" t="s">
        <v>2333</v>
      </c>
      <c r="E847" s="11" t="s">
        <v>2334</v>
      </c>
      <c r="F847" s="11" t="s">
        <v>2327</v>
      </c>
      <c r="G847" s="10">
        <v>850.0</v>
      </c>
      <c r="H847" s="10">
        <f>VLOOKUP(F847,'Generos y Familia'!$A$1:$C$623,2,FALSE)</f>
        <v>66</v>
      </c>
      <c r="I847" s="12" t="str">
        <f t="shared" si="1"/>
        <v>Pinus patula</v>
      </c>
      <c r="J847" s="10" t="str">
        <f t="shared" si="2"/>
        <v>850 Pinus patula</v>
      </c>
      <c r="K847" s="10" t="str">
        <f t="shared" si="3"/>
        <v>Pino Pátula; Pino; Pino Espátula</v>
      </c>
      <c r="L847" s="10" t="str">
        <f t="shared" si="4"/>
        <v>850 Pino Pátula; Pino; Pino Espátula</v>
      </c>
      <c r="M847" s="10" t="s">
        <v>46</v>
      </c>
      <c r="N847" s="10" t="s">
        <v>36</v>
      </c>
      <c r="O847" s="10" t="s">
        <v>37</v>
      </c>
      <c r="P847" s="10" t="s">
        <v>2328</v>
      </c>
      <c r="Q847" s="17" t="s">
        <v>817</v>
      </c>
      <c r="R847" s="14" t="s">
        <v>2331</v>
      </c>
      <c r="S847" s="17" t="s">
        <v>1066</v>
      </c>
      <c r="T847" s="14" t="s">
        <v>2331</v>
      </c>
      <c r="U847" s="14" t="s">
        <v>55</v>
      </c>
      <c r="V847" s="14">
        <v>0.5</v>
      </c>
      <c r="W847" s="17"/>
      <c r="X847" s="14"/>
    </row>
    <row r="848" ht="14.25" customHeight="1">
      <c r="A848" s="10" t="s">
        <v>1928</v>
      </c>
      <c r="B848" s="10" t="s">
        <v>31</v>
      </c>
      <c r="C848" s="10">
        <v>851.0</v>
      </c>
      <c r="D848" s="11" t="s">
        <v>2335</v>
      </c>
      <c r="E848" s="11" t="s">
        <v>2336</v>
      </c>
      <c r="F848" s="11" t="s">
        <v>2337</v>
      </c>
      <c r="G848" s="10">
        <v>851.0</v>
      </c>
      <c r="H848" s="10">
        <f>VLOOKUP(F848,'Generos y Familia'!$A$1:$C$623,2,FALSE)</f>
        <v>67</v>
      </c>
      <c r="I848" s="12" t="str">
        <f t="shared" si="1"/>
        <v>Piper aduncum</v>
      </c>
      <c r="J848" s="10" t="str">
        <f t="shared" si="2"/>
        <v>851 Piper aduncum</v>
      </c>
      <c r="K848" s="10" t="str">
        <f t="shared" si="3"/>
        <v>Cordoncillo; Matico; Hierba del Soldado</v>
      </c>
      <c r="L848" s="10" t="str">
        <f t="shared" si="4"/>
        <v>851 Cordoncillo; Matico; Hierba del Soldado</v>
      </c>
      <c r="M848" s="10" t="s">
        <v>35</v>
      </c>
      <c r="N848" s="10" t="s">
        <v>36</v>
      </c>
      <c r="O848" s="10" t="s">
        <v>37</v>
      </c>
      <c r="P848" s="10" t="s">
        <v>2338</v>
      </c>
      <c r="Q848" s="17" t="s">
        <v>612</v>
      </c>
      <c r="R848" s="14" t="s">
        <v>39</v>
      </c>
      <c r="S848" s="17" t="s">
        <v>379</v>
      </c>
      <c r="T848" s="14"/>
      <c r="U848" s="14" t="s">
        <v>55</v>
      </c>
      <c r="V848" s="14"/>
      <c r="W848" s="17"/>
      <c r="X848" s="14"/>
    </row>
    <row r="849" ht="14.25" customHeight="1">
      <c r="A849" s="10" t="s">
        <v>1928</v>
      </c>
      <c r="B849" s="10" t="s">
        <v>31</v>
      </c>
      <c r="C849" s="10">
        <v>852.0</v>
      </c>
      <c r="D849" s="11" t="s">
        <v>2339</v>
      </c>
      <c r="E849" s="11" t="s">
        <v>2340</v>
      </c>
      <c r="F849" s="11" t="s">
        <v>2337</v>
      </c>
      <c r="G849" s="10">
        <v>852.0</v>
      </c>
      <c r="H849" s="10">
        <f>VLOOKUP(F849,'Generos y Familia'!$A$1:$C$623,2,FALSE)</f>
        <v>67</v>
      </c>
      <c r="I849" s="12" t="str">
        <f t="shared" si="1"/>
        <v>Piper auritum</v>
      </c>
      <c r="J849" s="10" t="str">
        <f t="shared" si="2"/>
        <v>852 Piper auritum</v>
      </c>
      <c r="K849" s="10" t="str">
        <f t="shared" si="3"/>
        <v>Cordoncillo; Santamaría de Anís; Anisillo; Santamaría</v>
      </c>
      <c r="L849" s="10" t="str">
        <f t="shared" si="4"/>
        <v>852 Cordoncillo; Santamaría de Anís; Anisillo; Santamaría</v>
      </c>
      <c r="M849" s="10" t="s">
        <v>35</v>
      </c>
      <c r="N849" s="10" t="s">
        <v>36</v>
      </c>
      <c r="O849" s="10" t="s">
        <v>37</v>
      </c>
      <c r="P849" s="10" t="s">
        <v>2338</v>
      </c>
      <c r="Q849" s="13"/>
      <c r="R849" s="13"/>
      <c r="S849" s="13"/>
      <c r="T849" s="13"/>
      <c r="U849" s="13"/>
      <c r="V849" s="13"/>
      <c r="W849" s="13"/>
      <c r="X849" s="13"/>
    </row>
    <row r="850" ht="14.25" customHeight="1">
      <c r="A850" s="10" t="s">
        <v>1928</v>
      </c>
      <c r="B850" s="10" t="s">
        <v>31</v>
      </c>
      <c r="C850" s="10">
        <v>853.0</v>
      </c>
      <c r="D850" s="11" t="s">
        <v>2341</v>
      </c>
      <c r="E850" s="11" t="s">
        <v>2342</v>
      </c>
      <c r="F850" s="11" t="s">
        <v>2337</v>
      </c>
      <c r="G850" s="10">
        <v>853.0</v>
      </c>
      <c r="H850" s="10">
        <f>VLOOKUP(F850,'Generos y Familia'!$A$1:$C$623,2,FALSE)</f>
        <v>67</v>
      </c>
      <c r="I850" s="12" t="str">
        <f t="shared" si="1"/>
        <v>Piper hispidum</v>
      </c>
      <c r="J850" s="10" t="str">
        <f t="shared" si="2"/>
        <v>853 Piper hispidum</v>
      </c>
      <c r="K850" s="10" t="str">
        <f t="shared" si="3"/>
        <v>Cordoncillo</v>
      </c>
      <c r="L850" s="10" t="str">
        <f t="shared" si="4"/>
        <v>853 Cordoncillo</v>
      </c>
      <c r="M850" s="10" t="s">
        <v>35</v>
      </c>
      <c r="N850" s="10" t="s">
        <v>36</v>
      </c>
      <c r="O850" s="10" t="s">
        <v>37</v>
      </c>
      <c r="P850" s="10" t="s">
        <v>2338</v>
      </c>
      <c r="Q850" s="17" t="s">
        <v>421</v>
      </c>
      <c r="R850" s="14"/>
      <c r="S850" s="17" t="s">
        <v>632</v>
      </c>
      <c r="T850" s="14"/>
      <c r="U850" s="14" t="s">
        <v>55</v>
      </c>
      <c r="V850" s="14"/>
      <c r="W850" s="17"/>
      <c r="X850" s="14" t="s">
        <v>41</v>
      </c>
    </row>
    <row r="851" ht="14.25" customHeight="1">
      <c r="A851" s="10" t="s">
        <v>1928</v>
      </c>
      <c r="B851" s="10" t="s">
        <v>31</v>
      </c>
      <c r="C851" s="10">
        <v>854.0</v>
      </c>
      <c r="D851" s="11" t="s">
        <v>2343</v>
      </c>
      <c r="E851" s="11" t="s">
        <v>2342</v>
      </c>
      <c r="F851" s="11" t="s">
        <v>2337</v>
      </c>
      <c r="G851" s="10">
        <v>854.0</v>
      </c>
      <c r="H851" s="10">
        <f>VLOOKUP(F851,'Generos y Familia'!$A$1:$C$623,2,FALSE)</f>
        <v>67</v>
      </c>
      <c r="I851" s="12" t="str">
        <f t="shared" si="1"/>
        <v>Piper holtonii</v>
      </c>
      <c r="J851" s="10" t="str">
        <f t="shared" si="2"/>
        <v>854 Piper holtonii</v>
      </c>
      <c r="K851" s="10" t="str">
        <f t="shared" si="3"/>
        <v>Cordoncillo</v>
      </c>
      <c r="L851" s="10" t="str">
        <f t="shared" si="4"/>
        <v>854 Cordoncillo</v>
      </c>
      <c r="M851" s="10" t="s">
        <v>35</v>
      </c>
      <c r="N851" s="10" t="s">
        <v>36</v>
      </c>
      <c r="O851" s="10" t="s">
        <v>47</v>
      </c>
      <c r="P851" s="10" t="s">
        <v>2338</v>
      </c>
      <c r="Q851" s="13"/>
      <c r="R851" s="13"/>
      <c r="S851" s="13"/>
      <c r="T851" s="13"/>
      <c r="U851" s="13"/>
      <c r="V851" s="13"/>
      <c r="W851" s="13"/>
      <c r="X851" s="13"/>
    </row>
    <row r="852" ht="14.25" customHeight="1">
      <c r="A852" s="10" t="s">
        <v>1928</v>
      </c>
      <c r="B852" s="10" t="s">
        <v>31</v>
      </c>
      <c r="C852" s="10">
        <v>855.0</v>
      </c>
      <c r="D852" s="11" t="s">
        <v>2344</v>
      </c>
      <c r="E852" s="11" t="s">
        <v>2342</v>
      </c>
      <c r="F852" s="11" t="s">
        <v>2337</v>
      </c>
      <c r="G852" s="10">
        <v>855.0</v>
      </c>
      <c r="H852" s="10">
        <f>VLOOKUP(F852,'Generos y Familia'!$A$1:$C$623,2,FALSE)</f>
        <v>67</v>
      </c>
      <c r="I852" s="12" t="str">
        <f t="shared" si="1"/>
        <v>Piper sp</v>
      </c>
      <c r="J852" s="10" t="str">
        <f t="shared" si="2"/>
        <v>855 Piper sp</v>
      </c>
      <c r="K852" s="10" t="str">
        <f t="shared" si="3"/>
        <v>Cordoncillo</v>
      </c>
      <c r="L852" s="10" t="str">
        <f t="shared" si="4"/>
        <v>855 Cordoncillo</v>
      </c>
      <c r="M852" s="10" t="s">
        <v>35</v>
      </c>
      <c r="N852" s="10" t="s">
        <v>36</v>
      </c>
      <c r="O852" s="10" t="s">
        <v>47</v>
      </c>
      <c r="P852" s="10" t="s">
        <v>2338</v>
      </c>
      <c r="Q852" s="17" t="s">
        <v>2345</v>
      </c>
      <c r="R852" s="14"/>
      <c r="S852" s="17" t="s">
        <v>2346</v>
      </c>
      <c r="T852" s="14"/>
      <c r="U852" s="14" t="s">
        <v>55</v>
      </c>
      <c r="V852" s="14"/>
      <c r="W852" s="18"/>
      <c r="X852" s="14" t="s">
        <v>41</v>
      </c>
    </row>
    <row r="853" ht="14.25" customHeight="1">
      <c r="A853" s="10" t="s">
        <v>1928</v>
      </c>
      <c r="B853" s="10" t="s">
        <v>31</v>
      </c>
      <c r="C853" s="10">
        <v>856.0</v>
      </c>
      <c r="D853" s="11" t="s">
        <v>2347</v>
      </c>
      <c r="E853" s="11" t="s">
        <v>2348</v>
      </c>
      <c r="F853" s="11" t="s">
        <v>516</v>
      </c>
      <c r="G853" s="10">
        <v>856.0</v>
      </c>
      <c r="H853" s="10">
        <f>VLOOKUP(F853,'Generos y Familia'!$A$1:$C$623,2,FALSE)</f>
        <v>50</v>
      </c>
      <c r="I853" s="12" t="str">
        <f t="shared" si="1"/>
        <v>Pisonia aculeata</v>
      </c>
      <c r="J853" s="10" t="str">
        <f t="shared" si="2"/>
        <v>856 Pisonia aculeata</v>
      </c>
      <c r="K853" s="10" t="str">
        <f t="shared" si="3"/>
        <v>Uña de Perro; Uña de Gato; Aruñagato</v>
      </c>
      <c r="L853" s="10" t="str">
        <f t="shared" si="4"/>
        <v>856 Uña de Perro; Uña de Gato; Aruñagato</v>
      </c>
      <c r="M853" s="10" t="s">
        <v>35</v>
      </c>
      <c r="N853" s="10" t="s">
        <v>36</v>
      </c>
      <c r="O853" s="10" t="s">
        <v>392</v>
      </c>
      <c r="P853" s="10" t="s">
        <v>2349</v>
      </c>
      <c r="Q853" s="13"/>
      <c r="R853" s="13"/>
      <c r="S853" s="13"/>
      <c r="T853" s="13"/>
      <c r="U853" s="13"/>
      <c r="V853" s="13"/>
      <c r="W853" s="13"/>
      <c r="X853" s="13"/>
    </row>
    <row r="854" ht="14.25" customHeight="1">
      <c r="A854" s="10" t="s">
        <v>1928</v>
      </c>
      <c r="B854" s="10" t="s">
        <v>31</v>
      </c>
      <c r="C854" s="10">
        <v>857.0</v>
      </c>
      <c r="D854" s="11" t="s">
        <v>2350</v>
      </c>
      <c r="E854" s="11" t="s">
        <v>2351</v>
      </c>
      <c r="F854" s="11" t="s">
        <v>34</v>
      </c>
      <c r="G854" s="10">
        <v>857.0</v>
      </c>
      <c r="H854" s="10">
        <f>VLOOKUP(F854,'Generos y Familia'!$A$1:$C$623,2,FALSE)</f>
        <v>27</v>
      </c>
      <c r="I854" s="12" t="str">
        <f t="shared" si="1"/>
        <v>Pithecellobium dulce</v>
      </c>
      <c r="J854" s="10" t="str">
        <f t="shared" si="2"/>
        <v>857 Pithecellobium dulce</v>
      </c>
      <c r="K854" s="10" t="str">
        <f t="shared" si="3"/>
        <v>Chiminango; Payandé</v>
      </c>
      <c r="L854" s="10" t="str">
        <f t="shared" si="4"/>
        <v>857 Chiminango; Payandé</v>
      </c>
      <c r="M854" s="10" t="s">
        <v>35</v>
      </c>
      <c r="N854" s="10" t="s">
        <v>36</v>
      </c>
      <c r="O854" s="10" t="s">
        <v>37</v>
      </c>
      <c r="P854" s="10" t="s">
        <v>2352</v>
      </c>
      <c r="Q854" s="13"/>
      <c r="R854" s="13"/>
      <c r="S854" s="13"/>
      <c r="T854" s="13"/>
      <c r="U854" s="13"/>
      <c r="V854" s="13"/>
      <c r="W854" s="16"/>
      <c r="X854" s="13"/>
    </row>
    <row r="855" ht="14.25" customHeight="1">
      <c r="A855" s="10" t="s">
        <v>1928</v>
      </c>
      <c r="B855" s="10" t="s">
        <v>31</v>
      </c>
      <c r="C855" s="10">
        <v>858.0</v>
      </c>
      <c r="D855" s="11" t="s">
        <v>2353</v>
      </c>
      <c r="E855" s="11" t="s">
        <v>2354</v>
      </c>
      <c r="F855" s="11" t="s">
        <v>34</v>
      </c>
      <c r="G855" s="10">
        <v>858.0</v>
      </c>
      <c r="H855" s="10">
        <f>VLOOKUP(F855,'Generos y Familia'!$A$1:$C$623,2,FALSE)</f>
        <v>27</v>
      </c>
      <c r="I855" s="12" t="str">
        <f t="shared" si="1"/>
        <v>Pithecellobium lanceolatum</v>
      </c>
      <c r="J855" s="10" t="str">
        <f t="shared" si="2"/>
        <v>858 Pithecellobium lanceolatum</v>
      </c>
      <c r="K855" s="10" t="str">
        <f t="shared" si="3"/>
        <v>Espino de Mono; Chiminango Rojo; Punta de Mono; Payandé</v>
      </c>
      <c r="L855" s="10" t="str">
        <f t="shared" si="4"/>
        <v>858 Espino de Mono; Chiminango Rojo; Punta de Mono; Payandé</v>
      </c>
      <c r="M855" s="10" t="s">
        <v>35</v>
      </c>
      <c r="N855" s="10" t="s">
        <v>36</v>
      </c>
      <c r="O855" s="10" t="s">
        <v>37</v>
      </c>
      <c r="P855" s="10" t="s">
        <v>2352</v>
      </c>
      <c r="Q855" s="13"/>
      <c r="R855" s="13"/>
      <c r="S855" s="13"/>
      <c r="T855" s="13"/>
      <c r="U855" s="13"/>
      <c r="V855" s="13"/>
      <c r="W855" s="13"/>
      <c r="X855" s="13"/>
    </row>
    <row r="856" ht="14.25" customHeight="1">
      <c r="A856" s="10" t="s">
        <v>1928</v>
      </c>
      <c r="B856" s="10" t="s">
        <v>31</v>
      </c>
      <c r="C856" s="10">
        <v>859.0</v>
      </c>
      <c r="D856" s="11" t="s">
        <v>2355</v>
      </c>
      <c r="E856" s="11" t="s">
        <v>2355</v>
      </c>
      <c r="F856" s="11" t="s">
        <v>2356</v>
      </c>
      <c r="G856" s="10">
        <v>859.0</v>
      </c>
      <c r="H856" s="10">
        <f>VLOOKUP(F856,'Generos y Familia'!$A$1:$C$623,2,FALSE)</f>
        <v>68</v>
      </c>
      <c r="I856" s="12" t="str">
        <f t="shared" si="1"/>
        <v>Pittosporum sp</v>
      </c>
      <c r="J856" s="10" t="str">
        <f t="shared" si="2"/>
        <v>859 Pittosporum sp</v>
      </c>
      <c r="K856" s="10" t="str">
        <f t="shared" si="3"/>
        <v>Pittosporum sp</v>
      </c>
      <c r="L856" s="10" t="str">
        <f t="shared" si="4"/>
        <v>859 Pittosporum sp</v>
      </c>
      <c r="M856" s="10" t="s">
        <v>46</v>
      </c>
      <c r="N856" s="10" t="s">
        <v>36</v>
      </c>
      <c r="O856" s="10" t="s">
        <v>37</v>
      </c>
      <c r="P856" s="10" t="s">
        <v>2357</v>
      </c>
      <c r="Q856" s="17" t="s">
        <v>2358</v>
      </c>
      <c r="R856" s="14"/>
      <c r="S856" s="17" t="s">
        <v>2359</v>
      </c>
      <c r="T856" s="14"/>
      <c r="U856" s="14" t="s">
        <v>40</v>
      </c>
      <c r="V856" s="14"/>
      <c r="W856" s="17"/>
      <c r="X856" s="14" t="s">
        <v>41</v>
      </c>
    </row>
    <row r="857" ht="14.25" customHeight="1">
      <c r="A857" s="10" t="s">
        <v>1928</v>
      </c>
      <c r="B857" s="10" t="s">
        <v>31</v>
      </c>
      <c r="C857" s="10">
        <v>860.0</v>
      </c>
      <c r="D857" s="11" t="s">
        <v>2360</v>
      </c>
      <c r="E857" s="11" t="s">
        <v>2361</v>
      </c>
      <c r="F857" s="11" t="s">
        <v>2356</v>
      </c>
      <c r="G857" s="10">
        <v>860.0</v>
      </c>
      <c r="H857" s="10">
        <f>VLOOKUP(F857,'Generos y Familia'!$A$1:$C$623,2,FALSE)</f>
        <v>68</v>
      </c>
      <c r="I857" s="12" t="str">
        <f t="shared" si="1"/>
        <v>Pittosporum tenuifolium</v>
      </c>
      <c r="J857" s="10" t="str">
        <f t="shared" si="2"/>
        <v>860 Pittosporum tenuifolium</v>
      </c>
      <c r="K857" s="10" t="str">
        <f t="shared" si="3"/>
        <v>Pítosporo de Hoja Fina</v>
      </c>
      <c r="L857" s="10" t="str">
        <f t="shared" si="4"/>
        <v>860 Pítosporo de Hoja Fina</v>
      </c>
      <c r="M857" s="10" t="s">
        <v>46</v>
      </c>
      <c r="N857" s="10" t="s">
        <v>28</v>
      </c>
      <c r="O857" s="10" t="s">
        <v>37</v>
      </c>
      <c r="P857" s="10" t="s">
        <v>2357</v>
      </c>
      <c r="Q857" s="17" t="s">
        <v>612</v>
      </c>
      <c r="R857" s="14"/>
      <c r="S857" s="17" t="s">
        <v>229</v>
      </c>
      <c r="T857" s="14"/>
      <c r="U857" s="14" t="s">
        <v>40</v>
      </c>
      <c r="V857" s="14"/>
      <c r="W857" s="17"/>
      <c r="X857" s="14" t="s">
        <v>41</v>
      </c>
    </row>
    <row r="858" ht="14.25" customHeight="1">
      <c r="A858" s="10" t="s">
        <v>1928</v>
      </c>
      <c r="B858" s="10" t="s">
        <v>31</v>
      </c>
      <c r="C858" s="10">
        <v>861.0</v>
      </c>
      <c r="D858" s="11" t="s">
        <v>2362</v>
      </c>
      <c r="E858" s="11" t="s">
        <v>2363</v>
      </c>
      <c r="F858" s="11" t="s">
        <v>2356</v>
      </c>
      <c r="G858" s="10">
        <v>861.0</v>
      </c>
      <c r="H858" s="10">
        <f>VLOOKUP(F858,'Generos y Familia'!$A$1:$C$623,2,FALSE)</f>
        <v>68</v>
      </c>
      <c r="I858" s="12" t="str">
        <f t="shared" si="1"/>
        <v>Pittosporum undulatum</v>
      </c>
      <c r="J858" s="10" t="str">
        <f t="shared" si="2"/>
        <v>861 Pittosporum undulatum</v>
      </c>
      <c r="K858" s="10" t="str">
        <f t="shared" si="3"/>
        <v>Galán de Noche; Huesito; Jazmín del Cabo</v>
      </c>
      <c r="L858" s="10" t="str">
        <f t="shared" si="4"/>
        <v>861 Galán de Noche; Huesito; Jazmín del Cabo</v>
      </c>
      <c r="M858" s="10" t="s">
        <v>46</v>
      </c>
      <c r="N858" s="10" t="s">
        <v>36</v>
      </c>
      <c r="O858" s="10" t="s">
        <v>37</v>
      </c>
      <c r="P858" s="10" t="s">
        <v>2357</v>
      </c>
      <c r="Q858" s="17" t="s">
        <v>668</v>
      </c>
      <c r="R858" s="14" t="s">
        <v>39</v>
      </c>
      <c r="S858" s="17" t="s">
        <v>54</v>
      </c>
      <c r="T858" s="14" t="s">
        <v>39</v>
      </c>
      <c r="U858" s="14" t="s">
        <v>40</v>
      </c>
      <c r="V858" s="14"/>
      <c r="W858" s="17"/>
      <c r="X858" s="14"/>
    </row>
    <row r="859" ht="14.25" customHeight="1">
      <c r="A859" s="10" t="s">
        <v>1928</v>
      </c>
      <c r="B859" s="10" t="s">
        <v>31</v>
      </c>
      <c r="C859" s="10">
        <v>862.0</v>
      </c>
      <c r="D859" s="11" t="s">
        <v>2364</v>
      </c>
      <c r="E859" s="11" t="s">
        <v>2365</v>
      </c>
      <c r="F859" s="11" t="s">
        <v>673</v>
      </c>
      <c r="G859" s="10">
        <v>862.0</v>
      </c>
      <c r="H859" s="10">
        <f>VLOOKUP(F859,'Generos y Familia'!$A$1:$C$623,2,FALSE)</f>
        <v>45</v>
      </c>
      <c r="I859" s="12" t="str">
        <f t="shared" si="1"/>
        <v>Platycladus orientalis</v>
      </c>
      <c r="J859" s="10" t="str">
        <f t="shared" si="2"/>
        <v>862 Platycladus orientalis</v>
      </c>
      <c r="K859" s="10" t="str">
        <f t="shared" si="3"/>
        <v>Tuya; Pino Libro; Pino Tuya</v>
      </c>
      <c r="L859" s="10" t="str">
        <f t="shared" si="4"/>
        <v>862 Tuya; Pino Libro; Pino Tuya</v>
      </c>
      <c r="M859" s="10" t="s">
        <v>46</v>
      </c>
      <c r="N859" s="10" t="s">
        <v>36</v>
      </c>
      <c r="O859" s="10" t="s">
        <v>37</v>
      </c>
      <c r="P859" s="10" t="s">
        <v>2366</v>
      </c>
      <c r="Q859" s="17" t="s">
        <v>54</v>
      </c>
      <c r="R859" s="14" t="s">
        <v>39</v>
      </c>
      <c r="S859" s="17" t="s">
        <v>290</v>
      </c>
      <c r="T859" s="14"/>
      <c r="U859" s="14" t="s">
        <v>73</v>
      </c>
      <c r="V859" s="14"/>
      <c r="W859" s="17"/>
      <c r="X859" s="14" t="s">
        <v>41</v>
      </c>
    </row>
    <row r="860" ht="14.25" customHeight="1">
      <c r="A860" s="10" t="s">
        <v>1928</v>
      </c>
      <c r="B860" s="10" t="s">
        <v>31</v>
      </c>
      <c r="C860" s="10">
        <v>863.0</v>
      </c>
      <c r="D860" s="11" t="s">
        <v>2367</v>
      </c>
      <c r="E860" s="11" t="s">
        <v>2368</v>
      </c>
      <c r="F860" s="11" t="s">
        <v>34</v>
      </c>
      <c r="G860" s="10">
        <v>863.0</v>
      </c>
      <c r="H860" s="10">
        <f>VLOOKUP(F860,'Generos y Familia'!$A$1:$C$623,2,FALSE)</f>
        <v>27</v>
      </c>
      <c r="I860" s="12" t="str">
        <f t="shared" si="1"/>
        <v>Platymiscium darienense</v>
      </c>
      <c r="J860" s="10" t="str">
        <f t="shared" si="2"/>
        <v>863 Platymiscium darienense</v>
      </c>
      <c r="K860" s="10" t="str">
        <f t="shared" si="3"/>
        <v>Trebol; Salero</v>
      </c>
      <c r="L860" s="10" t="str">
        <f t="shared" si="4"/>
        <v>863 Trebol; Salero</v>
      </c>
      <c r="M860" s="10" t="s">
        <v>35</v>
      </c>
      <c r="N860" s="10" t="s">
        <v>36</v>
      </c>
      <c r="O860" s="10" t="s">
        <v>37</v>
      </c>
      <c r="P860" s="10" t="s">
        <v>2369</v>
      </c>
      <c r="Q860" s="13"/>
      <c r="R860" s="13"/>
      <c r="S860" s="13"/>
      <c r="T860" s="13"/>
      <c r="U860" s="13"/>
      <c r="V860" s="13"/>
      <c r="W860" s="13"/>
      <c r="X860" s="13"/>
    </row>
    <row r="861" ht="14.25" customHeight="1">
      <c r="A861" s="10" t="s">
        <v>1928</v>
      </c>
      <c r="B861" s="10" t="s">
        <v>31</v>
      </c>
      <c r="C861" s="10">
        <v>864.0</v>
      </c>
      <c r="D861" s="11" t="s">
        <v>2370</v>
      </c>
      <c r="E861" s="11" t="s">
        <v>2371</v>
      </c>
      <c r="F861" s="11" t="s">
        <v>34</v>
      </c>
      <c r="G861" s="10">
        <v>864.0</v>
      </c>
      <c r="H861" s="10">
        <f>VLOOKUP(F861,'Generos y Familia'!$A$1:$C$623,2,FALSE)</f>
        <v>27</v>
      </c>
      <c r="I861" s="12" t="str">
        <f t="shared" si="1"/>
        <v>Platymiscium pinnatum</v>
      </c>
      <c r="J861" s="10" t="str">
        <f t="shared" si="2"/>
        <v>864 Platymiscium pinnatum</v>
      </c>
      <c r="K861" s="10" t="str">
        <f t="shared" si="3"/>
        <v>Guayacán Trébol</v>
      </c>
      <c r="L861" s="10" t="str">
        <f t="shared" si="4"/>
        <v>864 Guayacán Trébol</v>
      </c>
      <c r="M861" s="10" t="s">
        <v>35</v>
      </c>
      <c r="N861" s="10" t="s">
        <v>36</v>
      </c>
      <c r="O861" s="10" t="s">
        <v>37</v>
      </c>
      <c r="P861" s="10" t="s">
        <v>2369</v>
      </c>
      <c r="Q861" s="13"/>
      <c r="R861" s="13"/>
      <c r="S861" s="13"/>
      <c r="T861" s="13"/>
      <c r="U861" s="13"/>
      <c r="V861" s="13"/>
      <c r="W861" s="13"/>
      <c r="X861" s="13"/>
    </row>
    <row r="862" ht="14.25" customHeight="1">
      <c r="A862" s="10" t="s">
        <v>1928</v>
      </c>
      <c r="B862" s="10" t="s">
        <v>31</v>
      </c>
      <c r="C862" s="10">
        <v>865.0</v>
      </c>
      <c r="D862" s="11" t="s">
        <v>2372</v>
      </c>
      <c r="E862" s="11" t="s">
        <v>2373</v>
      </c>
      <c r="F862" s="11" t="s">
        <v>34</v>
      </c>
      <c r="G862" s="10">
        <v>865.0</v>
      </c>
      <c r="H862" s="10">
        <f>VLOOKUP(F862,'Generos y Familia'!$A$1:$C$623,2,FALSE)</f>
        <v>27</v>
      </c>
      <c r="I862" s="12" t="str">
        <f t="shared" si="1"/>
        <v>Platypodium elegans</v>
      </c>
      <c r="J862" s="10" t="str">
        <f t="shared" si="2"/>
        <v>865 Platypodium elegans</v>
      </c>
      <c r="K862" s="10" t="str">
        <f t="shared" si="3"/>
        <v>Lomo de Caimán; Matarratón Extranjero; Cajón</v>
      </c>
      <c r="L862" s="10" t="str">
        <f t="shared" si="4"/>
        <v>865 Lomo de Caimán; Matarratón Extranjero; Cajón</v>
      </c>
      <c r="M862" s="10" t="s">
        <v>35</v>
      </c>
      <c r="N862" s="10" t="s">
        <v>36</v>
      </c>
      <c r="O862" s="10" t="s">
        <v>37</v>
      </c>
      <c r="P862" s="10" t="s">
        <v>2374</v>
      </c>
      <c r="Q862" s="13"/>
      <c r="R862" s="13"/>
      <c r="S862" s="13"/>
      <c r="T862" s="13"/>
      <c r="U862" s="13"/>
      <c r="V862" s="13"/>
      <c r="W862" s="16"/>
      <c r="X862" s="13"/>
    </row>
    <row r="863" ht="14.25" customHeight="1">
      <c r="A863" s="10" t="s">
        <v>1928</v>
      </c>
      <c r="B863" s="10" t="s">
        <v>31</v>
      </c>
      <c r="C863" s="10">
        <v>866.0</v>
      </c>
      <c r="D863" s="11" t="s">
        <v>2375</v>
      </c>
      <c r="E863" s="11" t="s">
        <v>2376</v>
      </c>
      <c r="F863" s="11" t="s">
        <v>324</v>
      </c>
      <c r="G863" s="10">
        <v>866.0</v>
      </c>
      <c r="H863" s="10">
        <f>VLOOKUP(F863,'Generos y Familia'!$A$1:$C$623,2,FALSE)</f>
        <v>12</v>
      </c>
      <c r="I863" s="12" t="str">
        <f t="shared" si="1"/>
        <v>Plerandra elegantissima</v>
      </c>
      <c r="J863" s="10" t="str">
        <f t="shared" si="2"/>
        <v>866 Plerandra elegantissima</v>
      </c>
      <c r="K863" s="10" t="str">
        <f t="shared" si="3"/>
        <v>Falsa Aralia; Aralia Araña</v>
      </c>
      <c r="L863" s="10" t="str">
        <f t="shared" si="4"/>
        <v>866 Falsa Aralia; Aralia Araña</v>
      </c>
      <c r="M863" s="10" t="s">
        <v>46</v>
      </c>
      <c r="N863" s="10" t="s">
        <v>36</v>
      </c>
      <c r="O863" s="10" t="s">
        <v>37</v>
      </c>
      <c r="P863" s="10" t="s">
        <v>2377</v>
      </c>
      <c r="Q863" s="13"/>
      <c r="R863" s="13"/>
      <c r="S863" s="13"/>
      <c r="T863" s="13"/>
      <c r="U863" s="13"/>
      <c r="V863" s="13"/>
      <c r="W863" s="13"/>
      <c r="X863" s="13"/>
    </row>
    <row r="864" ht="14.25" customHeight="1">
      <c r="A864" s="10" t="s">
        <v>1928</v>
      </c>
      <c r="B864" s="10" t="s">
        <v>31</v>
      </c>
      <c r="C864" s="10">
        <v>867.0</v>
      </c>
      <c r="D864" s="11" t="s">
        <v>2378</v>
      </c>
      <c r="E864" s="11" t="s">
        <v>2378</v>
      </c>
      <c r="F864" s="11" t="s">
        <v>239</v>
      </c>
      <c r="G864" s="10">
        <v>867.0</v>
      </c>
      <c r="H864" s="10">
        <f>VLOOKUP(F864,'Generos y Familia'!$A$1:$C$623,2,FALSE)</f>
        <v>6</v>
      </c>
      <c r="I864" s="12" t="str">
        <f t="shared" si="1"/>
        <v>Pleuropetalum sp</v>
      </c>
      <c r="J864" s="10" t="str">
        <f t="shared" si="2"/>
        <v>867 Pleuropetalum sp</v>
      </c>
      <c r="K864" s="10" t="str">
        <f t="shared" si="3"/>
        <v>Pleuropetalum sp</v>
      </c>
      <c r="L864" s="10" t="str">
        <f t="shared" si="4"/>
        <v>867 Pleuropetalum sp</v>
      </c>
      <c r="M864" s="10" t="s">
        <v>35</v>
      </c>
      <c r="N864" s="10" t="s">
        <v>36</v>
      </c>
      <c r="O864" s="10" t="s">
        <v>47</v>
      </c>
      <c r="P864" s="10" t="s">
        <v>2379</v>
      </c>
      <c r="Q864" s="13"/>
      <c r="R864" s="13"/>
      <c r="S864" s="13"/>
      <c r="T864" s="13"/>
      <c r="U864" s="13"/>
      <c r="V864" s="13"/>
      <c r="W864" s="13"/>
      <c r="X864" s="13"/>
    </row>
    <row r="865" ht="14.25" customHeight="1">
      <c r="A865" s="10" t="s">
        <v>1928</v>
      </c>
      <c r="B865" s="10" t="s">
        <v>31</v>
      </c>
      <c r="C865" s="10">
        <v>868.0</v>
      </c>
      <c r="D865" s="11" t="s">
        <v>2380</v>
      </c>
      <c r="E865" s="11" t="s">
        <v>2380</v>
      </c>
      <c r="F865" s="11" t="s">
        <v>239</v>
      </c>
      <c r="G865" s="10">
        <v>868.0</v>
      </c>
      <c r="H865" s="10">
        <f>VLOOKUP(F865,'Generos y Familia'!$A$1:$C$623,2,FALSE)</f>
        <v>6</v>
      </c>
      <c r="I865" s="12" t="str">
        <f t="shared" si="1"/>
        <v>Pleuropetalum sprucei</v>
      </c>
      <c r="J865" s="10" t="str">
        <f t="shared" si="2"/>
        <v>868 Pleuropetalum sprucei</v>
      </c>
      <c r="K865" s="10" t="str">
        <f t="shared" si="3"/>
        <v>Pleuropetalum sprucei</v>
      </c>
      <c r="L865" s="10" t="str">
        <f t="shared" si="4"/>
        <v>868 Pleuropetalum sprucei</v>
      </c>
      <c r="M865" s="10" t="s">
        <v>35</v>
      </c>
      <c r="N865" s="10" t="s">
        <v>36</v>
      </c>
      <c r="O865" s="10" t="s">
        <v>47</v>
      </c>
      <c r="P865" s="10" t="s">
        <v>2379</v>
      </c>
      <c r="Q865" s="13"/>
      <c r="R865" s="13"/>
      <c r="S865" s="13"/>
      <c r="T865" s="13"/>
      <c r="U865" s="13"/>
      <c r="V865" s="13"/>
      <c r="W865" s="13"/>
      <c r="X865" s="13"/>
    </row>
    <row r="866" ht="14.25" customHeight="1">
      <c r="A866" s="10" t="s">
        <v>1928</v>
      </c>
      <c r="B866" s="10" t="s">
        <v>31</v>
      </c>
      <c r="C866" s="10">
        <v>869.0</v>
      </c>
      <c r="D866" s="11" t="s">
        <v>2381</v>
      </c>
      <c r="E866" s="11" t="s">
        <v>2382</v>
      </c>
      <c r="F866" s="11" t="s">
        <v>158</v>
      </c>
      <c r="G866" s="10">
        <v>869.0</v>
      </c>
      <c r="H866" s="10">
        <f>VLOOKUP(F866,'Generos y Familia'!$A$1:$C$623,2,FALSE)</f>
        <v>35</v>
      </c>
      <c r="I866" s="12" t="str">
        <f t="shared" si="1"/>
        <v>Pleurothyrium sp</v>
      </c>
      <c r="J866" s="10" t="str">
        <f t="shared" si="2"/>
        <v>869 Pleurothyrium sp</v>
      </c>
      <c r="K866" s="10" t="str">
        <f t="shared" si="3"/>
        <v>Laurel Jabon</v>
      </c>
      <c r="L866" s="10" t="str">
        <f t="shared" si="4"/>
        <v>869 Laurel Jabon</v>
      </c>
      <c r="M866" s="10" t="s">
        <v>35</v>
      </c>
      <c r="N866" s="10" t="s">
        <v>36</v>
      </c>
      <c r="O866" s="10" t="s">
        <v>37</v>
      </c>
      <c r="P866" s="10" t="s">
        <v>2383</v>
      </c>
      <c r="Q866" s="13"/>
      <c r="R866" s="13"/>
      <c r="S866" s="13"/>
      <c r="T866" s="13"/>
      <c r="U866" s="13"/>
      <c r="V866" s="13"/>
      <c r="W866" s="13"/>
      <c r="X866" s="13"/>
    </row>
    <row r="867" ht="14.25" customHeight="1">
      <c r="A867" s="10" t="s">
        <v>1928</v>
      </c>
      <c r="B867" s="10" t="s">
        <v>31</v>
      </c>
      <c r="C867" s="10">
        <v>870.0</v>
      </c>
      <c r="D867" s="11" t="s">
        <v>2384</v>
      </c>
      <c r="E867" s="11" t="s">
        <v>2385</v>
      </c>
      <c r="F867" s="11" t="s">
        <v>2386</v>
      </c>
      <c r="G867" s="10">
        <v>870.0</v>
      </c>
      <c r="H867" s="10">
        <f>VLOOKUP(F867,'Generos y Familia'!$A$1:$C$623,2,FALSE)</f>
        <v>69</v>
      </c>
      <c r="I867" s="12" t="str">
        <f t="shared" si="1"/>
        <v>Plumbago auriculata</v>
      </c>
      <c r="J867" s="10" t="str">
        <f t="shared" si="2"/>
        <v>870 Plumbago auriculata</v>
      </c>
      <c r="K867" s="10" t="str">
        <f t="shared" si="3"/>
        <v>Azulina; Bellaemilia; Floroazul</v>
      </c>
      <c r="L867" s="10" t="str">
        <f t="shared" si="4"/>
        <v>870 Azulina; Bellaemilia; Floroazul</v>
      </c>
      <c r="M867" s="10" t="s">
        <v>46</v>
      </c>
      <c r="N867" s="10" t="s">
        <v>36</v>
      </c>
      <c r="O867" s="10" t="s">
        <v>47</v>
      </c>
      <c r="P867" s="10" t="s">
        <v>2387</v>
      </c>
      <c r="Q867" s="13"/>
      <c r="R867" s="13"/>
      <c r="S867" s="13"/>
      <c r="T867" s="13"/>
      <c r="U867" s="13"/>
      <c r="V867" s="13"/>
      <c r="W867" s="16"/>
      <c r="X867" s="13"/>
    </row>
    <row r="868" ht="14.25" customHeight="1">
      <c r="A868" s="10" t="s">
        <v>1928</v>
      </c>
      <c r="B868" s="10" t="s">
        <v>31</v>
      </c>
      <c r="C868" s="10">
        <v>871.0</v>
      </c>
      <c r="D868" s="11" t="s">
        <v>2388</v>
      </c>
      <c r="E868" s="11" t="s">
        <v>2389</v>
      </c>
      <c r="F868" s="11" t="s">
        <v>206</v>
      </c>
      <c r="G868" s="10">
        <v>871.0</v>
      </c>
      <c r="H868" s="10">
        <f>VLOOKUP(F868,'Generos y Familia'!$A$1:$C$623,2,FALSE)</f>
        <v>9</v>
      </c>
      <c r="I868" s="12" t="str">
        <f t="shared" si="1"/>
        <v>Plumeria alba</v>
      </c>
      <c r="J868" s="10" t="str">
        <f t="shared" si="2"/>
        <v>871 Plumeria alba</v>
      </c>
      <c r="K868" s="10" t="str">
        <f t="shared" si="3"/>
        <v>Alcamancayo; Amancayo; Azuceno; Blanco</v>
      </c>
      <c r="L868" s="10" t="str">
        <f t="shared" si="4"/>
        <v>871 Alcamancayo; Amancayo; Azuceno; Blanco</v>
      </c>
      <c r="M868" s="10" t="s">
        <v>35</v>
      </c>
      <c r="N868" s="10" t="s">
        <v>36</v>
      </c>
      <c r="O868" s="10" t="s">
        <v>37</v>
      </c>
      <c r="P868" s="10" t="s">
        <v>2390</v>
      </c>
      <c r="Q868" s="13"/>
      <c r="R868" s="13"/>
      <c r="S868" s="13"/>
      <c r="T868" s="13"/>
      <c r="U868" s="13"/>
      <c r="V868" s="13"/>
      <c r="W868" s="13"/>
      <c r="X868" s="13"/>
    </row>
    <row r="869" ht="14.25" customHeight="1">
      <c r="A869" s="10" t="s">
        <v>1928</v>
      </c>
      <c r="B869" s="10" t="s">
        <v>31</v>
      </c>
      <c r="C869" s="10">
        <v>872.0</v>
      </c>
      <c r="D869" s="11" t="s">
        <v>2391</v>
      </c>
      <c r="E869" s="11" t="s">
        <v>2392</v>
      </c>
      <c r="F869" s="11" t="s">
        <v>206</v>
      </c>
      <c r="G869" s="10">
        <v>872.0</v>
      </c>
      <c r="H869" s="10">
        <f>VLOOKUP(F869,'Generos y Familia'!$A$1:$C$623,2,FALSE)</f>
        <v>9</v>
      </c>
      <c r="I869" s="12" t="str">
        <f t="shared" si="1"/>
        <v>Plumeria obtusa</v>
      </c>
      <c r="J869" s="10" t="str">
        <f t="shared" si="2"/>
        <v>872 Plumeria obtusa</v>
      </c>
      <c r="K869" s="10" t="str">
        <f t="shared" si="3"/>
        <v>Frangipani Blanco; Amancayo Amarillo</v>
      </c>
      <c r="L869" s="10" t="str">
        <f t="shared" si="4"/>
        <v>872 Frangipani Blanco; Amancayo Amarillo</v>
      </c>
      <c r="M869" s="10" t="s">
        <v>46</v>
      </c>
      <c r="N869" s="10" t="s">
        <v>36</v>
      </c>
      <c r="O869" s="10" t="s">
        <v>47</v>
      </c>
      <c r="P869" s="10" t="s">
        <v>2390</v>
      </c>
      <c r="Q869" s="13"/>
      <c r="R869" s="13"/>
      <c r="S869" s="13"/>
      <c r="T869" s="13"/>
      <c r="U869" s="13"/>
      <c r="V869" s="13"/>
      <c r="W869" s="13"/>
      <c r="X869" s="13"/>
    </row>
    <row r="870" ht="14.25" customHeight="1">
      <c r="A870" s="10" t="s">
        <v>1928</v>
      </c>
      <c r="B870" s="10" t="s">
        <v>31</v>
      </c>
      <c r="C870" s="10">
        <v>873.0</v>
      </c>
      <c r="D870" s="11" t="s">
        <v>2393</v>
      </c>
      <c r="E870" s="11" t="s">
        <v>2394</v>
      </c>
      <c r="F870" s="11" t="s">
        <v>206</v>
      </c>
      <c r="G870" s="10">
        <v>873.0</v>
      </c>
      <c r="H870" s="10">
        <f>VLOOKUP(F870,'Generos y Familia'!$A$1:$C$623,2,FALSE)</f>
        <v>9</v>
      </c>
      <c r="I870" s="12" t="str">
        <f t="shared" si="1"/>
        <v>Plumeria pudica</v>
      </c>
      <c r="J870" s="10" t="str">
        <f t="shared" si="2"/>
        <v>873 Plumeria pudica</v>
      </c>
      <c r="K870" s="10" t="str">
        <f t="shared" si="3"/>
        <v>Florón; Floral; Azuceno; Plumeria</v>
      </c>
      <c r="L870" s="10" t="str">
        <f t="shared" si="4"/>
        <v>873 Florón; Floral; Azuceno; Plumeria</v>
      </c>
      <c r="M870" s="10" t="s">
        <v>35</v>
      </c>
      <c r="N870" s="10" t="s">
        <v>36</v>
      </c>
      <c r="O870" s="10" t="s">
        <v>37</v>
      </c>
      <c r="P870" s="10" t="s">
        <v>2390</v>
      </c>
      <c r="Q870" s="13"/>
      <c r="R870" s="13"/>
      <c r="S870" s="13"/>
      <c r="T870" s="13"/>
      <c r="U870" s="13"/>
      <c r="V870" s="13"/>
      <c r="W870" s="13"/>
      <c r="X870" s="13"/>
    </row>
    <row r="871" ht="14.25" customHeight="1">
      <c r="A871" s="10" t="s">
        <v>1928</v>
      </c>
      <c r="B871" s="10" t="s">
        <v>31</v>
      </c>
      <c r="C871" s="10">
        <v>874.0</v>
      </c>
      <c r="D871" s="11" t="s">
        <v>2395</v>
      </c>
      <c r="E871" s="11" t="s">
        <v>2396</v>
      </c>
      <c r="F871" s="11" t="s">
        <v>206</v>
      </c>
      <c r="G871" s="10">
        <v>874.0</v>
      </c>
      <c r="H871" s="10">
        <f>VLOOKUP(F871,'Generos y Familia'!$A$1:$C$623,2,FALSE)</f>
        <v>9</v>
      </c>
      <c r="I871" s="12" t="str">
        <f t="shared" si="1"/>
        <v>Plumeria rubra</v>
      </c>
      <c r="J871" s="10" t="str">
        <f t="shared" si="2"/>
        <v>874 Plumeria rubra</v>
      </c>
      <c r="K871" s="10" t="str">
        <f t="shared" si="3"/>
        <v>Flor de Mayo; Amancayo Rosado; Frangipán; Azuceno</v>
      </c>
      <c r="L871" s="10" t="str">
        <f t="shared" si="4"/>
        <v>874 Flor de Mayo; Amancayo Rosado; Frangipán; Azuceno</v>
      </c>
      <c r="M871" s="10" t="s">
        <v>35</v>
      </c>
      <c r="N871" s="10" t="s">
        <v>36</v>
      </c>
      <c r="O871" s="10" t="s">
        <v>47</v>
      </c>
      <c r="P871" s="10" t="s">
        <v>2390</v>
      </c>
      <c r="Q871" s="17" t="s">
        <v>612</v>
      </c>
      <c r="R871" s="14" t="s">
        <v>39</v>
      </c>
      <c r="S871" s="17" t="s">
        <v>145</v>
      </c>
      <c r="T871" s="14" t="s">
        <v>39</v>
      </c>
      <c r="U871" s="14" t="s">
        <v>55</v>
      </c>
      <c r="V871" s="14">
        <v>0.7</v>
      </c>
      <c r="W871" s="18"/>
      <c r="X871" s="14"/>
    </row>
    <row r="872" ht="14.25" customHeight="1">
      <c r="A872" s="10" t="s">
        <v>1928</v>
      </c>
      <c r="B872" s="10" t="s">
        <v>31</v>
      </c>
      <c r="C872" s="10">
        <v>875.0</v>
      </c>
      <c r="D872" s="11" t="s">
        <v>2397</v>
      </c>
      <c r="E872" s="11" t="s">
        <v>2390</v>
      </c>
      <c r="F872" s="11" t="s">
        <v>206</v>
      </c>
      <c r="G872" s="10">
        <v>875.0</v>
      </c>
      <c r="H872" s="10">
        <f>VLOOKUP(F872,'Generos y Familia'!$A$1:$C$623,2,FALSE)</f>
        <v>9</v>
      </c>
      <c r="I872" s="12" t="str">
        <f t="shared" si="1"/>
        <v>Plumeria sp</v>
      </c>
      <c r="J872" s="10" t="str">
        <f t="shared" si="2"/>
        <v>875 Plumeria sp</v>
      </c>
      <c r="K872" s="10" t="str">
        <f t="shared" si="3"/>
        <v>Plumeria</v>
      </c>
      <c r="L872" s="10" t="str">
        <f t="shared" si="4"/>
        <v>875 Plumeria</v>
      </c>
      <c r="M872" s="10" t="s">
        <v>35</v>
      </c>
      <c r="N872" s="10" t="s">
        <v>36</v>
      </c>
      <c r="O872" s="10" t="s">
        <v>37</v>
      </c>
      <c r="P872" s="10" t="s">
        <v>2390</v>
      </c>
      <c r="Q872" s="13"/>
      <c r="R872" s="13"/>
      <c r="S872" s="13"/>
      <c r="T872" s="13"/>
      <c r="U872" s="13"/>
      <c r="V872" s="13"/>
      <c r="W872" s="16"/>
      <c r="X872" s="13"/>
    </row>
    <row r="873" ht="14.25" customHeight="1">
      <c r="A873" s="10" t="s">
        <v>1928</v>
      </c>
      <c r="B873" s="10" t="s">
        <v>31</v>
      </c>
      <c r="C873" s="10">
        <v>876.0</v>
      </c>
      <c r="D873" s="11" t="s">
        <v>2398</v>
      </c>
      <c r="E873" s="11" t="s">
        <v>2399</v>
      </c>
      <c r="F873" s="11" t="s">
        <v>2400</v>
      </c>
      <c r="G873" s="10">
        <v>876.0</v>
      </c>
      <c r="H873" s="10">
        <f>VLOOKUP(F873,'Generos y Familia'!$A$1:$C$623,2,FALSE)</f>
        <v>71</v>
      </c>
      <c r="I873" s="12" t="str">
        <f t="shared" si="1"/>
        <v>Podocarpus guatemalensis</v>
      </c>
      <c r="J873" s="10" t="str">
        <f t="shared" si="2"/>
        <v>876 Podocarpus guatemalensis</v>
      </c>
      <c r="K873" s="10" t="str">
        <f t="shared" si="3"/>
        <v>Cipresillo; Pinotea; Chaquiro Dulce</v>
      </c>
      <c r="L873" s="10" t="str">
        <f t="shared" si="4"/>
        <v>876 Cipresillo; Pinotea; Chaquiro Dulce</v>
      </c>
      <c r="M873" s="10" t="s">
        <v>35</v>
      </c>
      <c r="N873" s="10" t="s">
        <v>36</v>
      </c>
      <c r="O873" s="10" t="s">
        <v>37</v>
      </c>
      <c r="P873" s="10" t="s">
        <v>2401</v>
      </c>
      <c r="Q873" s="13"/>
      <c r="R873" s="13"/>
      <c r="S873" s="13"/>
      <c r="T873" s="13"/>
      <c r="U873" s="13"/>
      <c r="V873" s="13"/>
      <c r="W873" s="13"/>
      <c r="X873" s="13"/>
    </row>
    <row r="874" ht="14.25" customHeight="1">
      <c r="A874" s="10" t="s">
        <v>1928</v>
      </c>
      <c r="B874" s="10" t="s">
        <v>31</v>
      </c>
      <c r="C874" s="10">
        <v>877.0</v>
      </c>
      <c r="D874" s="11" t="s">
        <v>2402</v>
      </c>
      <c r="E874" s="11" t="s">
        <v>2403</v>
      </c>
      <c r="F874" s="11" t="s">
        <v>2400</v>
      </c>
      <c r="G874" s="10">
        <v>877.0</v>
      </c>
      <c r="H874" s="10">
        <f>VLOOKUP(F874,'Generos y Familia'!$A$1:$C$623,2,FALSE)</f>
        <v>71</v>
      </c>
      <c r="I874" s="12" t="str">
        <f t="shared" si="1"/>
        <v>Podocarpus macrophyllus</v>
      </c>
      <c r="J874" s="10" t="str">
        <f t="shared" si="2"/>
        <v>877 Podocarpus macrophyllus</v>
      </c>
      <c r="K874" s="10" t="str">
        <f t="shared" si="3"/>
        <v>Kusamaki O Inumaki</v>
      </c>
      <c r="L874" s="10" t="str">
        <f t="shared" si="4"/>
        <v>877 Kusamaki O Inumaki</v>
      </c>
      <c r="M874" s="10" t="s">
        <v>46</v>
      </c>
      <c r="N874" s="10" t="s">
        <v>28</v>
      </c>
      <c r="O874" s="10" t="s">
        <v>37</v>
      </c>
      <c r="P874" s="10" t="s">
        <v>2401</v>
      </c>
      <c r="Q874" s="13"/>
      <c r="R874" s="13"/>
      <c r="S874" s="13"/>
      <c r="T874" s="13"/>
      <c r="U874" s="13"/>
      <c r="V874" s="13"/>
      <c r="W874" s="13"/>
      <c r="X874" s="13"/>
    </row>
    <row r="875" ht="14.25" customHeight="1">
      <c r="A875" s="10" t="s">
        <v>1928</v>
      </c>
      <c r="B875" s="10" t="s">
        <v>31</v>
      </c>
      <c r="C875" s="10">
        <v>878.0</v>
      </c>
      <c r="D875" s="11" t="s">
        <v>2404</v>
      </c>
      <c r="E875" s="11" t="s">
        <v>2405</v>
      </c>
      <c r="F875" s="11" t="s">
        <v>2400</v>
      </c>
      <c r="G875" s="10">
        <v>878.0</v>
      </c>
      <c r="H875" s="10">
        <f>VLOOKUP(F875,'Generos y Familia'!$A$1:$C$623,2,FALSE)</f>
        <v>71</v>
      </c>
      <c r="I875" s="12" t="str">
        <f t="shared" si="1"/>
        <v>Podocarpus oleifolius</v>
      </c>
      <c r="J875" s="10" t="str">
        <f t="shared" si="2"/>
        <v>878 Podocarpus oleifolius</v>
      </c>
      <c r="K875" s="10" t="str">
        <f t="shared" si="3"/>
        <v>Chaquiro; Pino Colombiano (Oleifolius)</v>
      </c>
      <c r="L875" s="10" t="str">
        <f t="shared" si="4"/>
        <v>878 Chaquiro; Pino Colombiano (Oleifolius)</v>
      </c>
      <c r="M875" s="10" t="s">
        <v>35</v>
      </c>
      <c r="N875" s="10" t="s">
        <v>36</v>
      </c>
      <c r="O875" s="10" t="s">
        <v>37</v>
      </c>
      <c r="P875" s="10" t="s">
        <v>2401</v>
      </c>
      <c r="Q875" s="17" t="s">
        <v>54</v>
      </c>
      <c r="R875" s="14" t="s">
        <v>39</v>
      </c>
      <c r="S875" s="17" t="s">
        <v>70</v>
      </c>
      <c r="T875" s="14"/>
      <c r="U875" s="14" t="s">
        <v>73</v>
      </c>
      <c r="V875" s="14"/>
      <c r="W875" s="17"/>
      <c r="X875" s="14" t="s">
        <v>41</v>
      </c>
    </row>
    <row r="876" ht="14.25" customHeight="1">
      <c r="A876" s="10" t="s">
        <v>1928</v>
      </c>
      <c r="B876" s="10" t="s">
        <v>31</v>
      </c>
      <c r="C876" s="10">
        <v>879.0</v>
      </c>
      <c r="D876" s="11" t="s">
        <v>2406</v>
      </c>
      <c r="E876" s="11" t="s">
        <v>2407</v>
      </c>
      <c r="F876" s="11" t="s">
        <v>2400</v>
      </c>
      <c r="G876" s="10">
        <v>879.0</v>
      </c>
      <c r="H876" s="10">
        <f>VLOOKUP(F876,'Generos y Familia'!$A$1:$C$623,2,FALSE)</f>
        <v>71</v>
      </c>
      <c r="I876" s="12" t="str">
        <f t="shared" si="1"/>
        <v>Podocarpus sp</v>
      </c>
      <c r="J876" s="10" t="str">
        <f t="shared" si="2"/>
        <v>879 Podocarpus sp</v>
      </c>
      <c r="K876" s="10" t="str">
        <f t="shared" si="3"/>
        <v>Pino Colombiano</v>
      </c>
      <c r="L876" s="10" t="str">
        <f t="shared" si="4"/>
        <v>879 Pino Colombiano</v>
      </c>
      <c r="M876" s="10" t="s">
        <v>35</v>
      </c>
      <c r="N876" s="10" t="s">
        <v>36</v>
      </c>
      <c r="O876" s="10" t="s">
        <v>37</v>
      </c>
      <c r="P876" s="10" t="s">
        <v>2401</v>
      </c>
      <c r="Q876" s="17" t="s">
        <v>683</v>
      </c>
      <c r="R876" s="14"/>
      <c r="S876" s="17" t="s">
        <v>329</v>
      </c>
      <c r="T876" s="14"/>
      <c r="U876" s="14" t="s">
        <v>73</v>
      </c>
      <c r="V876" s="14"/>
      <c r="W876" s="17"/>
      <c r="X876" s="14" t="s">
        <v>41</v>
      </c>
    </row>
    <row r="877" ht="14.25" customHeight="1">
      <c r="A877" s="10" t="s">
        <v>1928</v>
      </c>
      <c r="B877" s="10" t="s">
        <v>31</v>
      </c>
      <c r="C877" s="10">
        <v>880.0</v>
      </c>
      <c r="D877" s="11" t="s">
        <v>2408</v>
      </c>
      <c r="E877" s="11" t="s">
        <v>2409</v>
      </c>
      <c r="F877" s="11" t="s">
        <v>34</v>
      </c>
      <c r="G877" s="10">
        <v>880.0</v>
      </c>
      <c r="H877" s="10">
        <f>VLOOKUP(F877,'Generos y Familia'!$A$1:$C$623,2,FALSE)</f>
        <v>27</v>
      </c>
      <c r="I877" s="12" t="str">
        <f t="shared" si="1"/>
        <v>Poeppigia procera</v>
      </c>
      <c r="J877" s="10" t="str">
        <f t="shared" si="2"/>
        <v>880 Poeppigia procera</v>
      </c>
      <c r="K877" s="10" t="str">
        <f t="shared" si="3"/>
        <v>Llovizno</v>
      </c>
      <c r="L877" s="10" t="str">
        <f t="shared" si="4"/>
        <v>880 Llovizno</v>
      </c>
      <c r="M877" s="10" t="s">
        <v>35</v>
      </c>
      <c r="N877" s="10" t="s">
        <v>36</v>
      </c>
      <c r="O877" s="10" t="s">
        <v>37</v>
      </c>
      <c r="P877" s="10" t="s">
        <v>2410</v>
      </c>
      <c r="Q877" s="13"/>
      <c r="R877" s="13"/>
      <c r="S877" s="13"/>
      <c r="T877" s="13"/>
      <c r="U877" s="13"/>
      <c r="V877" s="13"/>
      <c r="W877" s="13"/>
      <c r="X877" s="13"/>
    </row>
    <row r="878" ht="14.25" customHeight="1">
      <c r="A878" s="10" t="s">
        <v>1928</v>
      </c>
      <c r="B878" s="10" t="s">
        <v>31</v>
      </c>
      <c r="C878" s="10">
        <v>881.0</v>
      </c>
      <c r="D878" s="11" t="s">
        <v>2411</v>
      </c>
      <c r="E878" s="11" t="s">
        <v>2412</v>
      </c>
      <c r="F878" s="11" t="s">
        <v>310</v>
      </c>
      <c r="G878" s="10">
        <v>881.0</v>
      </c>
      <c r="H878" s="10">
        <f>VLOOKUP(F878,'Generos y Familia'!$A$1:$C$623,2,FALSE)</f>
        <v>79</v>
      </c>
      <c r="I878" s="12" t="str">
        <f t="shared" si="1"/>
        <v>Pogonopus exsertus</v>
      </c>
      <c r="J878" s="10" t="str">
        <f t="shared" si="2"/>
        <v>881 Pogonopus exsertus</v>
      </c>
      <c r="K878" s="10" t="str">
        <f t="shared" si="3"/>
        <v>Chorcha de Gallo; Quina; Chibigui; Madroño</v>
      </c>
      <c r="L878" s="10" t="str">
        <f t="shared" si="4"/>
        <v>881 Chorcha de Gallo; Quina; Chibigui; Madroño</v>
      </c>
      <c r="M878" s="10" t="s">
        <v>35</v>
      </c>
      <c r="N878" s="10" t="s">
        <v>36</v>
      </c>
      <c r="O878" s="10" t="s">
        <v>37</v>
      </c>
      <c r="P878" s="10" t="s">
        <v>2413</v>
      </c>
      <c r="Q878" s="13"/>
      <c r="R878" s="13"/>
      <c r="S878" s="13"/>
      <c r="T878" s="13"/>
      <c r="U878" s="13"/>
      <c r="V878" s="13"/>
      <c r="W878" s="13"/>
      <c r="X878" s="13"/>
    </row>
    <row r="879" ht="14.25" customHeight="1">
      <c r="A879" s="10" t="s">
        <v>1928</v>
      </c>
      <c r="B879" s="10" t="s">
        <v>31</v>
      </c>
      <c r="C879" s="10">
        <v>882.0</v>
      </c>
      <c r="D879" s="11" t="s">
        <v>2414</v>
      </c>
      <c r="E879" s="11" t="s">
        <v>2415</v>
      </c>
      <c r="F879" s="11" t="s">
        <v>286</v>
      </c>
      <c r="G879" s="10">
        <v>882.0</v>
      </c>
      <c r="H879" s="10">
        <f>VLOOKUP(F879,'Generos y Familia'!$A$1:$C$623,2,FALSE)</f>
        <v>8</v>
      </c>
      <c r="I879" s="12" t="str">
        <f t="shared" si="1"/>
        <v>Monoon longifolium</v>
      </c>
      <c r="J879" s="10" t="str">
        <f t="shared" si="2"/>
        <v>882 Monoon longifolium</v>
      </c>
      <c r="K879" s="10" t="str">
        <f t="shared" si="3"/>
        <v>Péndulo</v>
      </c>
      <c r="L879" s="10" t="str">
        <f t="shared" si="4"/>
        <v>882 Péndulo</v>
      </c>
      <c r="M879" s="10" t="s">
        <v>46</v>
      </c>
      <c r="N879" s="10" t="s">
        <v>36</v>
      </c>
      <c r="O879" s="10" t="s">
        <v>37</v>
      </c>
      <c r="P879" s="10" t="s">
        <v>2416</v>
      </c>
      <c r="Q879" s="13"/>
      <c r="R879" s="13"/>
      <c r="S879" s="13"/>
      <c r="T879" s="13"/>
      <c r="U879" s="13"/>
      <c r="V879" s="13"/>
      <c r="W879" s="13"/>
      <c r="X879" s="13"/>
    </row>
    <row r="880" ht="14.25" customHeight="1">
      <c r="A880" s="10" t="s">
        <v>1928</v>
      </c>
      <c r="B880" s="10" t="s">
        <v>31</v>
      </c>
      <c r="C880" s="10">
        <v>883.0</v>
      </c>
      <c r="D880" s="11" t="s">
        <v>2417</v>
      </c>
      <c r="E880" s="11" t="s">
        <v>2418</v>
      </c>
      <c r="F880" s="11" t="s">
        <v>324</v>
      </c>
      <c r="G880" s="10">
        <v>883.0</v>
      </c>
      <c r="H880" s="10">
        <f>VLOOKUP(F880,'Generos y Familia'!$A$1:$C$623,2,FALSE)</f>
        <v>12</v>
      </c>
      <c r="I880" s="12" t="str">
        <f t="shared" si="1"/>
        <v>Polyscias balfouriana</v>
      </c>
      <c r="J880" s="10" t="str">
        <f t="shared" si="2"/>
        <v>883 Polyscias balfouriana</v>
      </c>
      <c r="K880" s="10" t="str">
        <f t="shared" si="3"/>
        <v>Sereno; Millonaria</v>
      </c>
      <c r="L880" s="10" t="str">
        <f t="shared" si="4"/>
        <v>883 Sereno; Millonaria</v>
      </c>
      <c r="M880" s="10" t="s">
        <v>46</v>
      </c>
      <c r="N880" s="10" t="s">
        <v>36</v>
      </c>
      <c r="O880" s="10" t="s">
        <v>47</v>
      </c>
      <c r="P880" s="10" t="s">
        <v>2419</v>
      </c>
      <c r="Q880" s="13"/>
      <c r="R880" s="13"/>
      <c r="S880" s="13"/>
      <c r="T880" s="13"/>
      <c r="U880" s="13"/>
      <c r="V880" s="13"/>
      <c r="W880" s="13"/>
      <c r="X880" s="13"/>
    </row>
    <row r="881" ht="14.25" customHeight="1">
      <c r="A881" s="10" t="s">
        <v>1928</v>
      </c>
      <c r="B881" s="10" t="s">
        <v>31</v>
      </c>
      <c r="C881" s="10">
        <v>884.0</v>
      </c>
      <c r="D881" s="11" t="s">
        <v>2420</v>
      </c>
      <c r="E881" s="11" t="s">
        <v>2421</v>
      </c>
      <c r="F881" s="11" t="s">
        <v>324</v>
      </c>
      <c r="G881" s="10">
        <v>884.0</v>
      </c>
      <c r="H881" s="10">
        <f>VLOOKUP(F881,'Generos y Familia'!$A$1:$C$623,2,FALSE)</f>
        <v>12</v>
      </c>
      <c r="I881" s="12" t="str">
        <f t="shared" si="1"/>
        <v>Polyscias fruticosa</v>
      </c>
      <c r="J881" s="10" t="str">
        <f t="shared" si="2"/>
        <v>884 Polyscias fruticosa</v>
      </c>
      <c r="K881" s="10" t="str">
        <f t="shared" si="3"/>
        <v>Millonaria (Fructicosa); Elegantísima</v>
      </c>
      <c r="L881" s="10" t="str">
        <f t="shared" si="4"/>
        <v>884 Millonaria (Fructicosa); Elegantísima</v>
      </c>
      <c r="M881" s="10" t="s">
        <v>46</v>
      </c>
      <c r="N881" s="10" t="s">
        <v>36</v>
      </c>
      <c r="O881" s="10" t="s">
        <v>47</v>
      </c>
      <c r="P881" s="10" t="s">
        <v>2419</v>
      </c>
      <c r="Q881" s="13"/>
      <c r="R881" s="13"/>
      <c r="S881" s="13"/>
      <c r="T881" s="13"/>
      <c r="U881" s="13"/>
      <c r="V881" s="13"/>
      <c r="W881" s="16"/>
      <c r="X881" s="13"/>
    </row>
    <row r="882" ht="14.25" customHeight="1">
      <c r="A882" s="10" t="s">
        <v>1928</v>
      </c>
      <c r="B882" s="10" t="s">
        <v>31</v>
      </c>
      <c r="C882" s="10">
        <v>885.0</v>
      </c>
      <c r="D882" s="11" t="s">
        <v>2422</v>
      </c>
      <c r="E882" s="11" t="s">
        <v>2423</v>
      </c>
      <c r="F882" s="11" t="s">
        <v>324</v>
      </c>
      <c r="G882" s="10">
        <v>885.0</v>
      </c>
      <c r="H882" s="10">
        <f>VLOOKUP(F882,'Generos y Familia'!$A$1:$C$623,2,FALSE)</f>
        <v>12</v>
      </c>
      <c r="I882" s="12" t="str">
        <f t="shared" si="1"/>
        <v>Polyscias guilfoylei</v>
      </c>
      <c r="J882" s="10" t="str">
        <f t="shared" si="2"/>
        <v>885 Polyscias guilfoylei</v>
      </c>
      <c r="K882" s="10" t="str">
        <f t="shared" si="3"/>
        <v>Millón; Pestañaevieja; Millonario Blanco; Geranio</v>
      </c>
      <c r="L882" s="10" t="str">
        <f t="shared" si="4"/>
        <v>885 Millón; Pestañaevieja; Millonario Blanco; Geranio</v>
      </c>
      <c r="M882" s="10" t="s">
        <v>46</v>
      </c>
      <c r="N882" s="10" t="s">
        <v>36</v>
      </c>
      <c r="O882" s="10" t="s">
        <v>47</v>
      </c>
      <c r="P882" s="10" t="s">
        <v>2419</v>
      </c>
      <c r="Q882" s="13"/>
      <c r="R882" s="13"/>
      <c r="S882" s="13"/>
      <c r="T882" s="13"/>
      <c r="U882" s="13"/>
      <c r="V882" s="13"/>
      <c r="W882" s="13"/>
      <c r="X882" s="13"/>
    </row>
    <row r="883" ht="14.25" customHeight="1">
      <c r="A883" s="10" t="s">
        <v>1928</v>
      </c>
      <c r="B883" s="10" t="s">
        <v>31</v>
      </c>
      <c r="C883" s="10">
        <v>886.0</v>
      </c>
      <c r="D883" s="11" t="s">
        <v>2424</v>
      </c>
      <c r="E883" s="11" t="s">
        <v>2425</v>
      </c>
      <c r="F883" s="11" t="s">
        <v>324</v>
      </c>
      <c r="G883" s="10">
        <v>886.0</v>
      </c>
      <c r="H883" s="10">
        <f>VLOOKUP(F883,'Generos y Familia'!$A$1:$C$623,2,FALSE)</f>
        <v>12</v>
      </c>
      <c r="I883" s="12" t="str">
        <f t="shared" si="1"/>
        <v>Polyscias paniculata</v>
      </c>
      <c r="J883" s="10" t="str">
        <f t="shared" si="2"/>
        <v>886 Polyscias paniculata</v>
      </c>
      <c r="K883" s="10" t="str">
        <f t="shared" si="3"/>
        <v>Polyscias Paniculata</v>
      </c>
      <c r="L883" s="10" t="str">
        <f t="shared" si="4"/>
        <v>886 Polyscias Paniculata</v>
      </c>
      <c r="M883" s="10" t="s">
        <v>46</v>
      </c>
      <c r="N883" s="10" t="s">
        <v>28</v>
      </c>
      <c r="O883" s="10" t="s">
        <v>47</v>
      </c>
      <c r="P883" s="10" t="s">
        <v>2419</v>
      </c>
      <c r="Q883" s="13"/>
      <c r="R883" s="13"/>
      <c r="S883" s="13"/>
      <c r="T883" s="13"/>
      <c r="U883" s="13"/>
      <c r="V883" s="13"/>
      <c r="W883" s="16"/>
      <c r="X883" s="13"/>
    </row>
    <row r="884" ht="14.25" customHeight="1">
      <c r="A884" s="10" t="s">
        <v>1928</v>
      </c>
      <c r="B884" s="10" t="s">
        <v>31</v>
      </c>
      <c r="C884" s="10">
        <v>887.0</v>
      </c>
      <c r="D884" s="11" t="s">
        <v>2426</v>
      </c>
      <c r="E884" s="11" t="s">
        <v>2427</v>
      </c>
      <c r="F884" s="11" t="s">
        <v>324</v>
      </c>
      <c r="G884" s="10">
        <v>887.0</v>
      </c>
      <c r="H884" s="10">
        <f>VLOOKUP(F884,'Generos y Familia'!$A$1:$C$623,2,FALSE)</f>
        <v>12</v>
      </c>
      <c r="I884" s="12" t="str">
        <f t="shared" si="1"/>
        <v>Polyscias scutellaria</v>
      </c>
      <c r="J884" s="10" t="str">
        <f t="shared" si="2"/>
        <v>887 Polyscias scutellaria</v>
      </c>
      <c r="K884" s="10" t="str">
        <f t="shared" si="3"/>
        <v>Crispa; Millonaria; Millonario; Millón</v>
      </c>
      <c r="L884" s="10" t="str">
        <f t="shared" si="4"/>
        <v>887 Crispa; Millonaria; Millonario; Millón</v>
      </c>
      <c r="M884" s="10" t="s">
        <v>46</v>
      </c>
      <c r="N884" s="10" t="s">
        <v>36</v>
      </c>
      <c r="O884" s="10" t="s">
        <v>47</v>
      </c>
      <c r="P884" s="10" t="s">
        <v>2419</v>
      </c>
      <c r="Q884" s="13"/>
      <c r="R884" s="13"/>
      <c r="S884" s="13"/>
      <c r="T884" s="13"/>
      <c r="U884" s="13"/>
      <c r="V884" s="13"/>
      <c r="W884" s="13"/>
      <c r="X884" s="13"/>
    </row>
    <row r="885" ht="14.25" customHeight="1">
      <c r="A885" s="10" t="s">
        <v>1928</v>
      </c>
      <c r="B885" s="10" t="s">
        <v>31</v>
      </c>
      <c r="C885" s="10">
        <v>888.0</v>
      </c>
      <c r="D885" s="11" t="s">
        <v>2428</v>
      </c>
      <c r="E885" s="11" t="s">
        <v>2429</v>
      </c>
      <c r="F885" s="11" t="s">
        <v>324</v>
      </c>
      <c r="G885" s="10">
        <v>888.0</v>
      </c>
      <c r="H885" s="10">
        <f>VLOOKUP(F885,'Generos y Familia'!$A$1:$C$623,2,FALSE)</f>
        <v>12</v>
      </c>
      <c r="I885" s="12" t="str">
        <f t="shared" si="1"/>
        <v>Polyscias sp</v>
      </c>
      <c r="J885" s="10" t="str">
        <f t="shared" si="2"/>
        <v>888 Polyscias sp</v>
      </c>
      <c r="K885" s="10" t="str">
        <f t="shared" si="3"/>
        <v>Millonaria</v>
      </c>
      <c r="L885" s="10" t="str">
        <f t="shared" si="4"/>
        <v>888 Millonaria</v>
      </c>
      <c r="M885" s="10" t="s">
        <v>46</v>
      </c>
      <c r="N885" s="10" t="s">
        <v>36</v>
      </c>
      <c r="O885" s="10" t="s">
        <v>47</v>
      </c>
      <c r="P885" s="10" t="s">
        <v>2419</v>
      </c>
      <c r="Q885" s="13"/>
      <c r="R885" s="13"/>
      <c r="S885" s="13"/>
      <c r="T885" s="13"/>
      <c r="U885" s="13"/>
      <c r="V885" s="13"/>
      <c r="W885" s="16"/>
      <c r="X885" s="13"/>
    </row>
    <row r="886" ht="14.25" customHeight="1">
      <c r="A886" s="10" t="s">
        <v>1928</v>
      </c>
      <c r="B886" s="10" t="s">
        <v>31</v>
      </c>
      <c r="C886" s="10">
        <v>889.0</v>
      </c>
      <c r="D886" s="11" t="s">
        <v>2430</v>
      </c>
      <c r="E886" s="11" t="s">
        <v>2431</v>
      </c>
      <c r="F886" s="11" t="s">
        <v>34</v>
      </c>
      <c r="G886" s="10">
        <v>889.0</v>
      </c>
      <c r="H886" s="10">
        <f>VLOOKUP(F886,'Generos y Familia'!$A$1:$C$623,2,FALSE)</f>
        <v>27</v>
      </c>
      <c r="I886" s="12" t="str">
        <f t="shared" si="1"/>
        <v>Pongamia pinnata</v>
      </c>
      <c r="J886" s="10" t="str">
        <f t="shared" si="2"/>
        <v>889 Pongamia pinnata</v>
      </c>
      <c r="K886" s="10" t="str">
        <f t="shared" si="3"/>
        <v>Haba de la India</v>
      </c>
      <c r="L886" s="10" t="str">
        <f t="shared" si="4"/>
        <v>889 Haba de la India</v>
      </c>
      <c r="M886" s="10" t="s">
        <v>46</v>
      </c>
      <c r="N886" s="10" t="s">
        <v>28</v>
      </c>
      <c r="O886" s="10" t="s">
        <v>37</v>
      </c>
      <c r="P886" s="10" t="s">
        <v>2432</v>
      </c>
      <c r="Q886" s="13"/>
      <c r="R886" s="13"/>
      <c r="S886" s="13"/>
      <c r="T886" s="13"/>
      <c r="U886" s="13"/>
      <c r="V886" s="13"/>
      <c r="W886" s="16"/>
      <c r="X886" s="13"/>
    </row>
    <row r="887" ht="14.25" customHeight="1">
      <c r="A887" s="10" t="s">
        <v>1928</v>
      </c>
      <c r="B887" s="10" t="s">
        <v>31</v>
      </c>
      <c r="C887" s="10">
        <v>890.0</v>
      </c>
      <c r="D887" s="11" t="s">
        <v>2433</v>
      </c>
      <c r="E887" s="11" t="s">
        <v>2434</v>
      </c>
      <c r="F887" s="11" t="s">
        <v>762</v>
      </c>
      <c r="G887" s="10">
        <v>890.0</v>
      </c>
      <c r="H887" s="10">
        <f>VLOOKUP(F887,'Generos y Familia'!$A$1:$C$623,2,FALSE)</f>
        <v>82</v>
      </c>
      <c r="I887" s="12" t="str">
        <f t="shared" si="1"/>
        <v>Populus deltoides</v>
      </c>
      <c r="J887" s="10" t="str">
        <f t="shared" si="2"/>
        <v>890 Populus deltoides</v>
      </c>
      <c r="K887" s="10" t="str">
        <f t="shared" si="3"/>
        <v>Chopo</v>
      </c>
      <c r="L887" s="10" t="str">
        <f t="shared" si="4"/>
        <v>890 Chopo</v>
      </c>
      <c r="M887" s="10" t="s">
        <v>46</v>
      </c>
      <c r="N887" s="10" t="s">
        <v>36</v>
      </c>
      <c r="O887" s="10" t="s">
        <v>37</v>
      </c>
      <c r="P887" s="10" t="s">
        <v>2435</v>
      </c>
      <c r="Q887" s="13"/>
      <c r="R887" s="13"/>
      <c r="S887" s="13"/>
      <c r="T887" s="13"/>
      <c r="U887" s="13"/>
      <c r="V887" s="13"/>
      <c r="W887" s="13"/>
      <c r="X887" s="13"/>
    </row>
    <row r="888" ht="14.25" customHeight="1">
      <c r="A888" s="10" t="s">
        <v>1928</v>
      </c>
      <c r="B888" s="10" t="s">
        <v>31</v>
      </c>
      <c r="C888" s="10">
        <v>891.0</v>
      </c>
      <c r="D888" s="11" t="s">
        <v>2436</v>
      </c>
      <c r="E888" s="11" t="s">
        <v>2437</v>
      </c>
      <c r="F888" s="11" t="s">
        <v>310</v>
      </c>
      <c r="G888" s="10">
        <v>891.0</v>
      </c>
      <c r="H888" s="10">
        <f>VLOOKUP(F888,'Generos y Familia'!$A$1:$C$623,2,FALSE)</f>
        <v>79</v>
      </c>
      <c r="I888" s="12" t="str">
        <f t="shared" si="1"/>
        <v>Posoqueria latifolia</v>
      </c>
      <c r="J888" s="10" t="str">
        <f t="shared" si="2"/>
        <v>891 Posoqueria latifolia</v>
      </c>
      <c r="K888" s="10" t="str">
        <f t="shared" si="3"/>
        <v>Azuceno de Monte; Jazmin Naranjo</v>
      </c>
      <c r="L888" s="10" t="str">
        <f t="shared" si="4"/>
        <v>891 Azuceno de Monte; Jazmin Naranjo</v>
      </c>
      <c r="M888" s="10" t="s">
        <v>35</v>
      </c>
      <c r="N888" s="10" t="s">
        <v>36</v>
      </c>
      <c r="O888" s="10" t="s">
        <v>37</v>
      </c>
      <c r="P888" s="10" t="s">
        <v>2438</v>
      </c>
      <c r="Q888" s="13"/>
      <c r="R888" s="13"/>
      <c r="S888" s="13"/>
      <c r="T888" s="13"/>
      <c r="U888" s="13"/>
      <c r="V888" s="13"/>
      <c r="W888" s="13"/>
      <c r="X888" s="13"/>
    </row>
    <row r="889" ht="14.25" customHeight="1">
      <c r="A889" s="10" t="s">
        <v>1928</v>
      </c>
      <c r="B889" s="10" t="s">
        <v>31</v>
      </c>
      <c r="C889" s="10">
        <v>892.0</v>
      </c>
      <c r="D889" s="11" t="s">
        <v>2439</v>
      </c>
      <c r="E889" s="11" t="s">
        <v>2440</v>
      </c>
      <c r="F889" s="11" t="s">
        <v>502</v>
      </c>
      <c r="G889" s="10">
        <v>892.0</v>
      </c>
      <c r="H889" s="10">
        <f>VLOOKUP(F889,'Generos y Familia'!$A$1:$C$623,2,FALSE)</f>
        <v>95</v>
      </c>
      <c r="I889" s="12" t="str">
        <f t="shared" si="1"/>
        <v>Pourouma sp</v>
      </c>
      <c r="J889" s="10" t="str">
        <f t="shared" si="2"/>
        <v>892 Pourouma sp</v>
      </c>
      <c r="K889" s="10" t="str">
        <f t="shared" si="3"/>
        <v>Uva Caimarona; Caimarón</v>
      </c>
      <c r="L889" s="10" t="str">
        <f t="shared" si="4"/>
        <v>892 Uva Caimarona; Caimarón</v>
      </c>
      <c r="M889" s="10" t="s">
        <v>35</v>
      </c>
      <c r="N889" s="10" t="s">
        <v>36</v>
      </c>
      <c r="O889" s="10" t="s">
        <v>37</v>
      </c>
      <c r="P889" s="10" t="s">
        <v>2441</v>
      </c>
      <c r="Q889" s="13"/>
      <c r="R889" s="13"/>
      <c r="S889" s="13"/>
      <c r="T889" s="13"/>
      <c r="U889" s="13"/>
      <c r="V889" s="13"/>
      <c r="W889" s="16"/>
      <c r="X889" s="13"/>
    </row>
    <row r="890" ht="14.25" customHeight="1">
      <c r="A890" s="10" t="s">
        <v>1928</v>
      </c>
      <c r="B890" s="10" t="s">
        <v>31</v>
      </c>
      <c r="C890" s="10">
        <v>893.0</v>
      </c>
      <c r="D890" s="11" t="s">
        <v>2442</v>
      </c>
      <c r="E890" s="11" t="s">
        <v>2443</v>
      </c>
      <c r="F890" s="11" t="s">
        <v>502</v>
      </c>
      <c r="G890" s="10">
        <v>893.0</v>
      </c>
      <c r="H890" s="10">
        <f>VLOOKUP(F890,'Generos y Familia'!$A$1:$C$623,2,FALSE)</f>
        <v>95</v>
      </c>
      <c r="I890" s="12" t="str">
        <f t="shared" si="1"/>
        <v>Pourouma cecropiifolia</v>
      </c>
      <c r="J890" s="10" t="str">
        <f t="shared" si="2"/>
        <v>893 Pourouma cecropiifolia</v>
      </c>
      <c r="K890" s="10" t="str">
        <f t="shared" si="3"/>
        <v>Uva Caimarona</v>
      </c>
      <c r="L890" s="10" t="str">
        <f t="shared" si="4"/>
        <v>893 Uva Caimarona</v>
      </c>
      <c r="M890" s="10" t="s">
        <v>35</v>
      </c>
      <c r="N890" s="10" t="s">
        <v>36</v>
      </c>
      <c r="O890" s="10" t="s">
        <v>37</v>
      </c>
      <c r="P890" s="10" t="s">
        <v>2441</v>
      </c>
      <c r="Q890" s="13"/>
      <c r="R890" s="13"/>
      <c r="S890" s="13"/>
      <c r="T890" s="13"/>
      <c r="U890" s="13"/>
      <c r="V890" s="13"/>
      <c r="W890" s="13"/>
      <c r="X890" s="13"/>
    </row>
    <row r="891" ht="14.25" customHeight="1">
      <c r="A891" s="10" t="s">
        <v>1928</v>
      </c>
      <c r="B891" s="10" t="s">
        <v>31</v>
      </c>
      <c r="C891" s="10">
        <v>894.0</v>
      </c>
      <c r="D891" s="11" t="s">
        <v>2444</v>
      </c>
      <c r="E891" s="11" t="s">
        <v>2445</v>
      </c>
      <c r="F891" s="11" t="s">
        <v>918</v>
      </c>
      <c r="G891" s="10">
        <v>894.0</v>
      </c>
      <c r="H891" s="10">
        <f>VLOOKUP(F891,'Generos y Familia'!$A$1:$C$623,2,FALSE)</f>
        <v>85</v>
      </c>
      <c r="I891" s="12" t="str">
        <f t="shared" si="1"/>
        <v>Pouteria baehniana</v>
      </c>
      <c r="J891" s="10" t="str">
        <f t="shared" si="2"/>
        <v>894 Pouteria baehniana</v>
      </c>
      <c r="K891" s="10" t="str">
        <f t="shared" si="3"/>
        <v>Mediacara; Lechero de Plomo</v>
      </c>
      <c r="L891" s="10" t="str">
        <f t="shared" si="4"/>
        <v>894 Mediacara; Lechero de Plomo</v>
      </c>
      <c r="M891" s="10" t="s">
        <v>35</v>
      </c>
      <c r="N891" s="10" t="s">
        <v>36</v>
      </c>
      <c r="O891" s="10" t="s">
        <v>37</v>
      </c>
      <c r="P891" s="10" t="s">
        <v>2446</v>
      </c>
      <c r="Q891" s="13"/>
      <c r="R891" s="13"/>
      <c r="S891" s="13" t="s">
        <v>2447</v>
      </c>
      <c r="T891" s="13"/>
      <c r="U891" s="13"/>
      <c r="V891" s="13"/>
      <c r="W891" s="13"/>
      <c r="X891" s="13"/>
    </row>
    <row r="892" ht="14.25" customHeight="1">
      <c r="A892" s="10" t="s">
        <v>1928</v>
      </c>
      <c r="B892" s="10" t="s">
        <v>31</v>
      </c>
      <c r="C892" s="10">
        <v>895.0</v>
      </c>
      <c r="D892" s="11" t="s">
        <v>2448</v>
      </c>
      <c r="E892" s="11" t="s">
        <v>2449</v>
      </c>
      <c r="F892" s="11" t="s">
        <v>918</v>
      </c>
      <c r="G892" s="10">
        <v>895.0</v>
      </c>
      <c r="H892" s="10">
        <f>VLOOKUP(F892,'Generos y Familia'!$A$1:$C$623,2,FALSE)</f>
        <v>85</v>
      </c>
      <c r="I892" s="12" t="str">
        <f t="shared" si="1"/>
        <v>Pouteria caimito</v>
      </c>
      <c r="J892" s="10" t="str">
        <f t="shared" si="2"/>
        <v>895 Pouteria caimito</v>
      </c>
      <c r="K892" s="10" t="str">
        <f t="shared" si="3"/>
        <v>Caimito de Monte; Zapote Amarillo</v>
      </c>
      <c r="L892" s="10" t="str">
        <f t="shared" si="4"/>
        <v>895 Caimito de Monte; Zapote Amarillo</v>
      </c>
      <c r="M892" s="10" t="s">
        <v>35</v>
      </c>
      <c r="N892" s="10" t="s">
        <v>36</v>
      </c>
      <c r="O892" s="10" t="s">
        <v>37</v>
      </c>
      <c r="P892" s="10" t="s">
        <v>2446</v>
      </c>
      <c r="Q892" s="13"/>
      <c r="R892" s="13"/>
      <c r="S892" s="13"/>
      <c r="T892" s="13"/>
      <c r="U892" s="13"/>
      <c r="V892" s="13"/>
      <c r="W892" s="13"/>
      <c r="X892" s="13"/>
    </row>
    <row r="893" ht="14.25" customHeight="1">
      <c r="A893" s="10" t="s">
        <v>1928</v>
      </c>
      <c r="B893" s="10" t="s">
        <v>31</v>
      </c>
      <c r="C893" s="10">
        <v>896.0</v>
      </c>
      <c r="D893" s="11" t="s">
        <v>2450</v>
      </c>
      <c r="E893" s="11" t="s">
        <v>2451</v>
      </c>
      <c r="F893" s="11" t="s">
        <v>918</v>
      </c>
      <c r="G893" s="10">
        <v>896.0</v>
      </c>
      <c r="H893" s="10">
        <f>VLOOKUP(F893,'Generos y Familia'!$A$1:$C$623,2,FALSE)</f>
        <v>85</v>
      </c>
      <c r="I893" s="12" t="str">
        <f t="shared" si="1"/>
        <v>Pouteria torta</v>
      </c>
      <c r="J893" s="10" t="str">
        <f t="shared" si="2"/>
        <v>896 Pouteria torta</v>
      </c>
      <c r="K893" s="10" t="str">
        <f t="shared" si="3"/>
        <v>Caimo Peludo; Caimito; Caimo</v>
      </c>
      <c r="L893" s="10" t="str">
        <f t="shared" si="4"/>
        <v>896 Caimo Peludo; Caimito; Caimo</v>
      </c>
      <c r="M893" s="10" t="s">
        <v>35</v>
      </c>
      <c r="N893" s="10" t="s">
        <v>36</v>
      </c>
      <c r="O893" s="10" t="s">
        <v>37</v>
      </c>
      <c r="P893" s="10" t="s">
        <v>2446</v>
      </c>
      <c r="Q893" s="13"/>
      <c r="R893" s="13"/>
      <c r="S893" s="13" t="s">
        <v>2332</v>
      </c>
      <c r="T893" s="13"/>
      <c r="U893" s="13"/>
      <c r="V893" s="13"/>
      <c r="W893" s="13"/>
      <c r="X893" s="13"/>
    </row>
    <row r="894" ht="14.25" customHeight="1">
      <c r="A894" s="10" t="s">
        <v>1928</v>
      </c>
      <c r="B894" s="10" t="s">
        <v>31</v>
      </c>
      <c r="C894" s="10">
        <v>897.0</v>
      </c>
      <c r="D894" s="11" t="s">
        <v>2452</v>
      </c>
      <c r="E894" s="11" t="s">
        <v>2453</v>
      </c>
      <c r="F894" s="11" t="s">
        <v>918</v>
      </c>
      <c r="G894" s="10">
        <v>897.0</v>
      </c>
      <c r="H894" s="10">
        <f>VLOOKUP(F894,'Generos y Familia'!$A$1:$C$623,2,FALSE)</f>
        <v>85</v>
      </c>
      <c r="I894" s="12" t="str">
        <f t="shared" si="1"/>
        <v>Pouteria durlandii</v>
      </c>
      <c r="J894" s="10" t="str">
        <f t="shared" si="2"/>
        <v>897 Pouteria durlandii</v>
      </c>
      <c r="K894" s="10" t="str">
        <f t="shared" si="3"/>
        <v>Caimitillo; Níspero de Monte; Sapotillo</v>
      </c>
      <c r="L894" s="10" t="str">
        <f t="shared" si="4"/>
        <v>897 Caimitillo; Níspero de Monte; Sapotillo</v>
      </c>
      <c r="M894" s="10" t="s">
        <v>35</v>
      </c>
      <c r="N894" s="10" t="s">
        <v>36</v>
      </c>
      <c r="O894" s="10" t="s">
        <v>37</v>
      </c>
      <c r="P894" s="10" t="s">
        <v>2446</v>
      </c>
      <c r="Q894" s="13"/>
      <c r="R894" s="13"/>
      <c r="S894" s="13"/>
      <c r="T894" s="13"/>
      <c r="U894" s="13"/>
      <c r="V894" s="13"/>
      <c r="W894" s="13"/>
      <c r="X894" s="13"/>
    </row>
    <row r="895" ht="14.25" customHeight="1">
      <c r="A895" s="10" t="s">
        <v>1928</v>
      </c>
      <c r="B895" s="10" t="s">
        <v>31</v>
      </c>
      <c r="C895" s="10">
        <v>898.0</v>
      </c>
      <c r="D895" s="11" t="s">
        <v>2454</v>
      </c>
      <c r="E895" s="11" t="s">
        <v>2455</v>
      </c>
      <c r="F895" s="11" t="s">
        <v>918</v>
      </c>
      <c r="G895" s="10">
        <v>898.0</v>
      </c>
      <c r="H895" s="10">
        <f>VLOOKUP(F895,'Generos y Familia'!$A$1:$C$623,2,FALSE)</f>
        <v>85</v>
      </c>
      <c r="I895" s="12" t="str">
        <f t="shared" si="1"/>
        <v>Pouteria guianensis</v>
      </c>
      <c r="J895" s="10" t="str">
        <f t="shared" si="2"/>
        <v>898 Pouteria guianensis</v>
      </c>
      <c r="K895" s="10" t="str">
        <f t="shared" si="3"/>
        <v>Níspero; Caimo Cafe; Caimo Negro</v>
      </c>
      <c r="L895" s="10" t="str">
        <f t="shared" si="4"/>
        <v>898 Níspero; Caimo Cafe; Caimo Negro</v>
      </c>
      <c r="M895" s="10" t="s">
        <v>35</v>
      </c>
      <c r="N895" s="10" t="s">
        <v>36</v>
      </c>
      <c r="O895" s="10" t="s">
        <v>37</v>
      </c>
      <c r="P895" s="10" t="s">
        <v>2446</v>
      </c>
      <c r="Q895" s="13"/>
      <c r="R895" s="13"/>
      <c r="S895" s="13"/>
      <c r="T895" s="13"/>
      <c r="U895" s="13"/>
      <c r="V895" s="13"/>
      <c r="W895" s="16"/>
      <c r="X895" s="13"/>
    </row>
    <row r="896" ht="14.25" customHeight="1">
      <c r="A896" s="10" t="s">
        <v>1928</v>
      </c>
      <c r="B896" s="10" t="s">
        <v>31</v>
      </c>
      <c r="C896" s="10">
        <v>899.0</v>
      </c>
      <c r="D896" s="11" t="s">
        <v>2456</v>
      </c>
      <c r="E896" s="11" t="s">
        <v>2457</v>
      </c>
      <c r="F896" s="11" t="s">
        <v>918</v>
      </c>
      <c r="G896" s="10">
        <v>899.0</v>
      </c>
      <c r="H896" s="10">
        <f>VLOOKUP(F896,'Generos y Familia'!$A$1:$C$623,2,FALSE)</f>
        <v>85</v>
      </c>
      <c r="I896" s="12" t="str">
        <f t="shared" si="1"/>
        <v>Pouteria krukovii</v>
      </c>
      <c r="J896" s="10" t="str">
        <f t="shared" si="2"/>
        <v>899 Pouteria krukovii</v>
      </c>
      <c r="K896" s="10" t="str">
        <f t="shared" si="3"/>
        <v>Caimo Cerezo; Zapotillo</v>
      </c>
      <c r="L896" s="10" t="str">
        <f t="shared" si="4"/>
        <v>899 Caimo Cerezo; Zapotillo</v>
      </c>
      <c r="M896" s="10" t="s">
        <v>35</v>
      </c>
      <c r="N896" s="10" t="s">
        <v>36</v>
      </c>
      <c r="O896" s="10" t="s">
        <v>37</v>
      </c>
      <c r="P896" s="10" t="s">
        <v>2446</v>
      </c>
      <c r="Q896" s="13"/>
      <c r="R896" s="13"/>
      <c r="S896" s="13" t="s">
        <v>2458</v>
      </c>
      <c r="T896" s="13"/>
      <c r="U896" s="13"/>
      <c r="V896" s="13"/>
      <c r="W896" s="16"/>
      <c r="X896" s="13"/>
    </row>
    <row r="897" ht="14.25" customHeight="1">
      <c r="A897" s="10" t="s">
        <v>1928</v>
      </c>
      <c r="B897" s="10" t="s">
        <v>31</v>
      </c>
      <c r="C897" s="10">
        <v>900.0</v>
      </c>
      <c r="D897" s="11" t="s">
        <v>2459</v>
      </c>
      <c r="E897" s="11" t="s">
        <v>2460</v>
      </c>
      <c r="F897" s="11" t="s">
        <v>918</v>
      </c>
      <c r="G897" s="10">
        <v>900.0</v>
      </c>
      <c r="H897" s="10">
        <f>VLOOKUP(F897,'Generos y Familia'!$A$1:$C$623,2,FALSE)</f>
        <v>85</v>
      </c>
      <c r="I897" s="12" t="str">
        <f t="shared" si="1"/>
        <v>Pouteria multiflora</v>
      </c>
      <c r="J897" s="10" t="str">
        <f t="shared" si="2"/>
        <v>900 Pouteria multiflora</v>
      </c>
      <c r="K897" s="10" t="str">
        <f t="shared" si="3"/>
        <v>Caimito; Ojo de Venado</v>
      </c>
      <c r="L897" s="10" t="str">
        <f t="shared" si="4"/>
        <v>900 Caimito; Ojo de Venado</v>
      </c>
      <c r="M897" s="10" t="s">
        <v>35</v>
      </c>
      <c r="N897" s="10" t="s">
        <v>36</v>
      </c>
      <c r="O897" s="10" t="s">
        <v>37</v>
      </c>
      <c r="P897" s="10" t="s">
        <v>2446</v>
      </c>
      <c r="Q897" s="13"/>
      <c r="R897" s="13"/>
      <c r="S897" s="13" t="s">
        <v>2461</v>
      </c>
      <c r="T897" s="13"/>
      <c r="U897" s="13"/>
      <c r="V897" s="13"/>
      <c r="W897" s="13"/>
      <c r="X897" s="13"/>
    </row>
    <row r="898" ht="14.25" customHeight="1">
      <c r="A898" s="10" t="s">
        <v>1928</v>
      </c>
      <c r="B898" s="10" t="s">
        <v>31</v>
      </c>
      <c r="C898" s="10">
        <v>901.0</v>
      </c>
      <c r="D898" s="11" t="s">
        <v>2462</v>
      </c>
      <c r="E898" s="11" t="s">
        <v>2463</v>
      </c>
      <c r="F898" s="11" t="s">
        <v>918</v>
      </c>
      <c r="G898" s="10">
        <v>901.0</v>
      </c>
      <c r="H898" s="10">
        <f>VLOOKUP(F898,'Generos y Familia'!$A$1:$C$623,2,FALSE)</f>
        <v>85</v>
      </c>
      <c r="I898" s="12" t="str">
        <f t="shared" si="1"/>
        <v>Pouteria sapota</v>
      </c>
      <c r="J898" s="10" t="str">
        <f t="shared" si="2"/>
        <v>901 Pouteria sapota</v>
      </c>
      <c r="K898" s="10" t="str">
        <f t="shared" si="3"/>
        <v>Zapote de Carne; Zapote Costeño</v>
      </c>
      <c r="L898" s="10" t="str">
        <f t="shared" si="4"/>
        <v>901 Zapote de Carne; Zapote Costeño</v>
      </c>
      <c r="M898" s="10" t="s">
        <v>35</v>
      </c>
      <c r="N898" s="10" t="s">
        <v>36</v>
      </c>
      <c r="O898" s="10" t="s">
        <v>37</v>
      </c>
      <c r="P898" s="10" t="s">
        <v>2446</v>
      </c>
      <c r="Q898" s="13"/>
      <c r="R898" s="13"/>
      <c r="S898" s="13"/>
      <c r="T898" s="13"/>
      <c r="U898" s="13"/>
      <c r="V898" s="13"/>
      <c r="W898" s="16"/>
      <c r="X898" s="13"/>
    </row>
    <row r="899" ht="14.25" customHeight="1">
      <c r="A899" s="10" t="s">
        <v>1928</v>
      </c>
      <c r="B899" s="10" t="s">
        <v>31</v>
      </c>
      <c r="C899" s="10">
        <v>902.0</v>
      </c>
      <c r="D899" s="11" t="s">
        <v>2464</v>
      </c>
      <c r="E899" s="11" t="s">
        <v>2465</v>
      </c>
      <c r="F899" s="11" t="s">
        <v>918</v>
      </c>
      <c r="G899" s="10">
        <v>902.0</v>
      </c>
      <c r="H899" s="10">
        <f>VLOOKUP(F899,'Generos y Familia'!$A$1:$C$623,2,FALSE)</f>
        <v>85</v>
      </c>
      <c r="I899" s="12" t="str">
        <f t="shared" si="1"/>
        <v>Pouteria sp</v>
      </c>
      <c r="J899" s="10" t="str">
        <f t="shared" si="2"/>
        <v>902 Pouteria sp</v>
      </c>
      <c r="K899" s="10" t="str">
        <f t="shared" si="3"/>
        <v>Caimo Peludo; Guaimaro; Sapotillo</v>
      </c>
      <c r="L899" s="10" t="str">
        <f t="shared" si="4"/>
        <v>902 Caimo Peludo; Guaimaro; Sapotillo</v>
      </c>
      <c r="M899" s="10" t="s">
        <v>35</v>
      </c>
      <c r="N899" s="10" t="s">
        <v>36</v>
      </c>
      <c r="O899" s="10" t="s">
        <v>37</v>
      </c>
      <c r="P899" s="10" t="s">
        <v>2446</v>
      </c>
      <c r="Q899" s="17" t="s">
        <v>54</v>
      </c>
      <c r="R899" s="14" t="s">
        <v>39</v>
      </c>
      <c r="S899" s="17" t="s">
        <v>290</v>
      </c>
      <c r="T899" s="14" t="s">
        <v>39</v>
      </c>
      <c r="U899" s="14" t="s">
        <v>40</v>
      </c>
      <c r="V899" s="14"/>
      <c r="W899" s="18"/>
      <c r="X899" s="14"/>
    </row>
    <row r="900" ht="14.25" customHeight="1">
      <c r="A900" s="10" t="s">
        <v>1928</v>
      </c>
      <c r="B900" s="10" t="s">
        <v>31</v>
      </c>
      <c r="C900" s="10">
        <v>903.0</v>
      </c>
      <c r="D900" s="11" t="s">
        <v>2466</v>
      </c>
      <c r="E900" s="11" t="s">
        <v>2467</v>
      </c>
      <c r="F900" s="11" t="s">
        <v>116</v>
      </c>
      <c r="G900" s="10">
        <v>903.0</v>
      </c>
      <c r="H900" s="10">
        <f>VLOOKUP(F900,'Generos y Familia'!$A$1:$C$623,2,FALSE)</f>
        <v>14</v>
      </c>
      <c r="I900" s="12" t="str">
        <f t="shared" si="1"/>
        <v>Prestoea acuminata</v>
      </c>
      <c r="J900" s="10" t="str">
        <f t="shared" si="2"/>
        <v>903 Prestoea acuminata</v>
      </c>
      <c r="K900" s="10" t="str">
        <f t="shared" si="3"/>
        <v>Palmicho; Palmito</v>
      </c>
      <c r="L900" s="10" t="str">
        <f t="shared" si="4"/>
        <v>903 Palmicho; Palmito</v>
      </c>
      <c r="M900" s="10" t="s">
        <v>35</v>
      </c>
      <c r="N900" s="10" t="s">
        <v>36</v>
      </c>
      <c r="O900" s="10" t="s">
        <v>117</v>
      </c>
      <c r="P900" s="10" t="s">
        <v>2468</v>
      </c>
      <c r="Q900" s="13"/>
      <c r="R900" s="13"/>
      <c r="S900" s="13"/>
      <c r="T900" s="13"/>
      <c r="U900" s="13"/>
      <c r="V900" s="13"/>
      <c r="W900" s="13"/>
      <c r="X900" s="13"/>
    </row>
    <row r="901" ht="14.25" customHeight="1">
      <c r="A901" s="10" t="s">
        <v>1928</v>
      </c>
      <c r="B901" s="10" t="s">
        <v>31</v>
      </c>
      <c r="C901" s="10">
        <v>904.0</v>
      </c>
      <c r="D901" s="11" t="s">
        <v>2469</v>
      </c>
      <c r="E901" s="11" t="s">
        <v>2470</v>
      </c>
      <c r="F901" s="11" t="s">
        <v>116</v>
      </c>
      <c r="G901" s="10">
        <v>904.0</v>
      </c>
      <c r="H901" s="10">
        <f>VLOOKUP(F901,'Generos y Familia'!$A$1:$C$623,2,FALSE)</f>
        <v>14</v>
      </c>
      <c r="I901" s="12" t="str">
        <f t="shared" si="1"/>
        <v>Prestoea carderi</v>
      </c>
      <c r="J901" s="10" t="str">
        <f t="shared" si="2"/>
        <v>904 Prestoea carderi</v>
      </c>
      <c r="K901" s="10" t="str">
        <f t="shared" si="3"/>
        <v>Cola de Pescado</v>
      </c>
      <c r="L901" s="10" t="str">
        <f t="shared" si="4"/>
        <v>904 Cola de Pescado</v>
      </c>
      <c r="M901" s="10" t="s">
        <v>35</v>
      </c>
      <c r="N901" s="10" t="s">
        <v>36</v>
      </c>
      <c r="O901" s="10" t="s">
        <v>117</v>
      </c>
      <c r="P901" s="10" t="s">
        <v>2468</v>
      </c>
      <c r="Q901" s="13"/>
      <c r="R901" s="13"/>
      <c r="S901" s="13"/>
      <c r="T901" s="13"/>
      <c r="U901" s="13"/>
      <c r="V901" s="13"/>
      <c r="W901" s="16"/>
      <c r="X901" s="13"/>
    </row>
    <row r="902" ht="14.25" customHeight="1">
      <c r="A902" s="10" t="s">
        <v>1928</v>
      </c>
      <c r="B902" s="10" t="s">
        <v>31</v>
      </c>
      <c r="C902" s="10">
        <v>905.0</v>
      </c>
      <c r="D902" s="11" t="s">
        <v>2471</v>
      </c>
      <c r="E902" s="11" t="s">
        <v>2472</v>
      </c>
      <c r="F902" s="11" t="s">
        <v>34</v>
      </c>
      <c r="G902" s="10">
        <v>905.0</v>
      </c>
      <c r="H902" s="10">
        <f>VLOOKUP(F902,'Generos y Familia'!$A$1:$C$623,2,FALSE)</f>
        <v>27</v>
      </c>
      <c r="I902" s="12" t="str">
        <f t="shared" si="1"/>
        <v>Prioria copaifera</v>
      </c>
      <c r="J902" s="10" t="str">
        <f t="shared" si="2"/>
        <v>905 Prioria copaifera</v>
      </c>
      <c r="K902" s="10" t="str">
        <f t="shared" si="3"/>
        <v>Cativo; Trementino</v>
      </c>
      <c r="L902" s="10" t="str">
        <f t="shared" si="4"/>
        <v>905 Cativo; Trementino</v>
      </c>
      <c r="M902" s="10" t="s">
        <v>35</v>
      </c>
      <c r="N902" s="10" t="s">
        <v>36</v>
      </c>
      <c r="O902" s="10" t="s">
        <v>37</v>
      </c>
      <c r="P902" s="10" t="s">
        <v>2473</v>
      </c>
      <c r="Q902" s="13"/>
      <c r="R902" s="13"/>
      <c r="S902" s="13"/>
      <c r="T902" s="13"/>
      <c r="U902" s="13"/>
      <c r="V902" s="13"/>
      <c r="W902" s="13"/>
      <c r="X902" s="13"/>
    </row>
    <row r="903" ht="14.25" customHeight="1">
      <c r="A903" s="10" t="s">
        <v>1928</v>
      </c>
      <c r="B903" s="10" t="s">
        <v>31</v>
      </c>
      <c r="C903" s="10">
        <v>906.0</v>
      </c>
      <c r="D903" s="11" t="s">
        <v>2474</v>
      </c>
      <c r="E903" s="11" t="s">
        <v>2475</v>
      </c>
      <c r="F903" s="11" t="s">
        <v>116</v>
      </c>
      <c r="G903" s="10">
        <v>906.0</v>
      </c>
      <c r="H903" s="10">
        <f>VLOOKUP(F903,'Generos y Familia'!$A$1:$C$623,2,FALSE)</f>
        <v>14</v>
      </c>
      <c r="I903" s="12" t="str">
        <f t="shared" si="1"/>
        <v>Pritchardia pacifica</v>
      </c>
      <c r="J903" s="10" t="str">
        <f t="shared" si="2"/>
        <v>906 Pritchardia pacifica</v>
      </c>
      <c r="K903" s="10" t="str">
        <f t="shared" si="3"/>
        <v>Palma Abanico de Fiji; Palma Pritchardia</v>
      </c>
      <c r="L903" s="10" t="str">
        <f t="shared" si="4"/>
        <v>906 Palma Abanico de Fiji; Palma Pritchardia</v>
      </c>
      <c r="M903" s="10" t="s">
        <v>46</v>
      </c>
      <c r="N903" s="10" t="s">
        <v>36</v>
      </c>
      <c r="O903" s="10" t="s">
        <v>117</v>
      </c>
      <c r="P903" s="10" t="s">
        <v>2476</v>
      </c>
      <c r="Q903" s="17" t="s">
        <v>145</v>
      </c>
      <c r="R903" s="14" t="s">
        <v>39</v>
      </c>
      <c r="S903" s="17" t="s">
        <v>54</v>
      </c>
      <c r="T903" s="14" t="s">
        <v>39</v>
      </c>
      <c r="U903" s="14" t="s">
        <v>73</v>
      </c>
      <c r="V903" s="14"/>
      <c r="W903" s="18"/>
      <c r="X903" s="14"/>
    </row>
    <row r="904" ht="14.25" customHeight="1">
      <c r="A904" s="10" t="s">
        <v>1928</v>
      </c>
      <c r="B904" s="10" t="s">
        <v>31</v>
      </c>
      <c r="C904" s="10">
        <v>907.0</v>
      </c>
      <c r="D904" s="11" t="s">
        <v>2477</v>
      </c>
      <c r="E904" s="11" t="s">
        <v>2478</v>
      </c>
      <c r="F904" s="11" t="s">
        <v>34</v>
      </c>
      <c r="G904" s="10">
        <v>907.0</v>
      </c>
      <c r="H904" s="10">
        <f>VLOOKUP(F904,'Generos y Familia'!$A$1:$C$623,2,FALSE)</f>
        <v>27</v>
      </c>
      <c r="I904" s="12" t="str">
        <f t="shared" si="1"/>
        <v>Prosopis juliflora</v>
      </c>
      <c r="J904" s="10" t="str">
        <f t="shared" si="2"/>
        <v>907 Prosopis juliflora</v>
      </c>
      <c r="K904" s="10" t="str">
        <f t="shared" si="3"/>
        <v>Trupillo; Cuji; Algarrobo; Tropillo</v>
      </c>
      <c r="L904" s="10" t="str">
        <f t="shared" si="4"/>
        <v>907 Trupillo; Cuji; Algarrobo; Tropillo</v>
      </c>
      <c r="M904" s="10" t="s">
        <v>35</v>
      </c>
      <c r="N904" s="10" t="s">
        <v>36</v>
      </c>
      <c r="O904" s="10" t="s">
        <v>37</v>
      </c>
      <c r="P904" s="10" t="s">
        <v>2479</v>
      </c>
      <c r="Q904" s="13"/>
      <c r="R904" s="13"/>
      <c r="S904" s="13"/>
      <c r="T904" s="13"/>
      <c r="U904" s="13"/>
      <c r="V904" s="13"/>
      <c r="W904" s="16"/>
      <c r="X904" s="13"/>
    </row>
    <row r="905" ht="14.25" customHeight="1">
      <c r="A905" s="10" t="s">
        <v>1928</v>
      </c>
      <c r="B905" s="10" t="s">
        <v>31</v>
      </c>
      <c r="C905" s="10">
        <v>908.0</v>
      </c>
      <c r="D905" s="11" t="s">
        <v>2480</v>
      </c>
      <c r="E905" s="11" t="s">
        <v>2481</v>
      </c>
      <c r="F905" s="11" t="s">
        <v>602</v>
      </c>
      <c r="G905" s="10">
        <v>908.0</v>
      </c>
      <c r="H905" s="10">
        <f>VLOOKUP(F905,'Generos y Familia'!$A$1:$C$623,2,FALSE)</f>
        <v>24</v>
      </c>
      <c r="I905" s="12" t="str">
        <f t="shared" si="1"/>
        <v>Protium apiculatum</v>
      </c>
      <c r="J905" s="10" t="str">
        <f t="shared" si="2"/>
        <v>908 Protium apiculatum</v>
      </c>
      <c r="K905" s="10" t="str">
        <f t="shared" si="3"/>
        <v>Ánime; Ánime Rojo; Breo; Laurel Perico</v>
      </c>
      <c r="L905" s="10" t="str">
        <f t="shared" si="4"/>
        <v>908 Ánime; Ánime Rojo; Breo; Laurel Perico</v>
      </c>
      <c r="M905" s="10" t="s">
        <v>35</v>
      </c>
      <c r="N905" s="10" t="s">
        <v>36</v>
      </c>
      <c r="O905" s="10" t="s">
        <v>37</v>
      </c>
      <c r="P905" s="10" t="s">
        <v>2482</v>
      </c>
      <c r="Q905" s="13"/>
      <c r="R905" s="13"/>
      <c r="S905" s="13"/>
      <c r="T905" s="13"/>
      <c r="U905" s="13"/>
      <c r="V905" s="13"/>
      <c r="W905" s="16"/>
      <c r="X905" s="13"/>
    </row>
    <row r="906" ht="14.25" customHeight="1">
      <c r="A906" s="10" t="s">
        <v>1928</v>
      </c>
      <c r="B906" s="10" t="s">
        <v>31</v>
      </c>
      <c r="C906" s="10">
        <v>909.0</v>
      </c>
      <c r="D906" s="11" t="s">
        <v>2483</v>
      </c>
      <c r="E906" s="11" t="s">
        <v>2484</v>
      </c>
      <c r="F906" s="11" t="s">
        <v>1105</v>
      </c>
      <c r="G906" s="10">
        <v>909.0</v>
      </c>
      <c r="H906" s="10">
        <f>VLOOKUP(F906,'Generos y Familia'!$A$1:$C$623,2,FALSE)</f>
        <v>78</v>
      </c>
      <c r="I906" s="12" t="str">
        <f t="shared" si="1"/>
        <v>Prunus persica</v>
      </c>
      <c r="J906" s="10" t="str">
        <f t="shared" si="2"/>
        <v>909 Prunus persica</v>
      </c>
      <c r="K906" s="10" t="str">
        <f t="shared" si="3"/>
        <v>Durazno; Melocotón</v>
      </c>
      <c r="L906" s="10" t="str">
        <f t="shared" si="4"/>
        <v>909 Durazno; Melocotón</v>
      </c>
      <c r="M906" s="10" t="s">
        <v>46</v>
      </c>
      <c r="N906" s="10" t="s">
        <v>36</v>
      </c>
      <c r="O906" s="10" t="s">
        <v>37</v>
      </c>
      <c r="P906" s="10" t="s">
        <v>2485</v>
      </c>
      <c r="Q906" s="17" t="s">
        <v>668</v>
      </c>
      <c r="R906" s="14" t="s">
        <v>39</v>
      </c>
      <c r="S906" s="17" t="s">
        <v>106</v>
      </c>
      <c r="T906" s="14"/>
      <c r="U906" s="14" t="s">
        <v>55</v>
      </c>
      <c r="V906" s="14"/>
      <c r="W906" s="18"/>
      <c r="X906" s="14" t="s">
        <v>41</v>
      </c>
    </row>
    <row r="907" ht="14.25" customHeight="1">
      <c r="A907" s="10" t="s">
        <v>1928</v>
      </c>
      <c r="B907" s="10" t="s">
        <v>31</v>
      </c>
      <c r="C907" s="10">
        <v>910.0</v>
      </c>
      <c r="D907" s="11" t="s">
        <v>2486</v>
      </c>
      <c r="E907" s="11" t="s">
        <v>2487</v>
      </c>
      <c r="F907" s="11" t="s">
        <v>1105</v>
      </c>
      <c r="G907" s="10">
        <v>910.0</v>
      </c>
      <c r="H907" s="10">
        <f>VLOOKUP(F907,'Generos y Familia'!$A$1:$C$623,2,FALSE)</f>
        <v>78</v>
      </c>
      <c r="I907" s="12" t="str">
        <f t="shared" si="1"/>
        <v>Prunus serotina</v>
      </c>
      <c r="J907" s="10" t="str">
        <f t="shared" si="2"/>
        <v>910 Prunus serotina</v>
      </c>
      <c r="K907" s="10" t="str">
        <f t="shared" si="3"/>
        <v>Cerezo; Cereza; Capulí</v>
      </c>
      <c r="L907" s="10" t="str">
        <f t="shared" si="4"/>
        <v>910 Cerezo; Cereza; Capulí</v>
      </c>
      <c r="M907" s="10" t="s">
        <v>46</v>
      </c>
      <c r="N907" s="10" t="s">
        <v>36</v>
      </c>
      <c r="O907" s="10" t="s">
        <v>37</v>
      </c>
      <c r="P907" s="10" t="s">
        <v>2485</v>
      </c>
      <c r="Q907" s="17" t="s">
        <v>229</v>
      </c>
      <c r="R907" s="14" t="s">
        <v>39</v>
      </c>
      <c r="S907" s="17" t="s">
        <v>821</v>
      </c>
      <c r="T907" s="14"/>
      <c r="U907" s="14" t="s">
        <v>55</v>
      </c>
      <c r="V907" s="14"/>
      <c r="W907" s="18"/>
      <c r="X907" s="14" t="s">
        <v>41</v>
      </c>
    </row>
    <row r="908" ht="14.25" customHeight="1">
      <c r="A908" s="10" t="s">
        <v>1928</v>
      </c>
      <c r="B908" s="10" t="s">
        <v>31</v>
      </c>
      <c r="C908" s="10">
        <v>911.0</v>
      </c>
      <c r="D908" s="11" t="s">
        <v>2488</v>
      </c>
      <c r="E908" s="11" t="s">
        <v>2489</v>
      </c>
      <c r="F908" s="11" t="s">
        <v>1105</v>
      </c>
      <c r="G908" s="10">
        <v>911.0</v>
      </c>
      <c r="H908" s="10">
        <f>VLOOKUP(F908,'Generos y Familia'!$A$1:$C$623,2,FALSE)</f>
        <v>78</v>
      </c>
      <c r="I908" s="12" t="str">
        <f t="shared" si="1"/>
        <v>Prunus urotaenia</v>
      </c>
      <c r="J908" s="10" t="str">
        <f t="shared" si="2"/>
        <v>911 Prunus urotaenia</v>
      </c>
      <c r="K908" s="10" t="str">
        <f t="shared" si="3"/>
        <v>Truco</v>
      </c>
      <c r="L908" s="10" t="str">
        <f t="shared" si="4"/>
        <v>911 Truco</v>
      </c>
      <c r="M908" s="10" t="s">
        <v>35</v>
      </c>
      <c r="N908" s="10" t="s">
        <v>36</v>
      </c>
      <c r="O908" s="10" t="s">
        <v>37</v>
      </c>
      <c r="P908" s="10" t="s">
        <v>2485</v>
      </c>
      <c r="Q908" s="13"/>
      <c r="R908" s="13"/>
      <c r="S908" s="13"/>
      <c r="T908" s="13"/>
      <c r="U908" s="13"/>
      <c r="V908" s="13"/>
      <c r="W908" s="16"/>
      <c r="X908" s="13"/>
    </row>
    <row r="909" ht="14.25" customHeight="1">
      <c r="A909" s="10" t="s">
        <v>1928</v>
      </c>
      <c r="B909" s="10" t="s">
        <v>31</v>
      </c>
      <c r="C909" s="10">
        <v>912.0</v>
      </c>
      <c r="D909" s="11" t="s">
        <v>2490</v>
      </c>
      <c r="E909" s="11" t="s">
        <v>2491</v>
      </c>
      <c r="F909" s="11" t="s">
        <v>320</v>
      </c>
      <c r="G909" s="10">
        <v>912.0</v>
      </c>
      <c r="H909" s="10">
        <f>VLOOKUP(F909,'Generos y Familia'!$A$1:$C$623,2,FALSE)</f>
        <v>1</v>
      </c>
      <c r="I909" s="12" t="str">
        <f t="shared" si="1"/>
        <v>Pseuderanthemum maculatum</v>
      </c>
      <c r="J909" s="10" t="str">
        <f t="shared" si="2"/>
        <v>912 Pseuderanthemum maculatum</v>
      </c>
      <c r="K909" s="10" t="str">
        <f t="shared" si="3"/>
        <v>Pseuderanthemum Maculatum</v>
      </c>
      <c r="L909" s="10" t="str">
        <f t="shared" si="4"/>
        <v>912 Pseuderanthemum Maculatum</v>
      </c>
      <c r="M909" s="10" t="s">
        <v>35</v>
      </c>
      <c r="N909" s="10" t="s">
        <v>36</v>
      </c>
      <c r="O909" s="10" t="s">
        <v>47</v>
      </c>
      <c r="P909" s="10" t="s">
        <v>2492</v>
      </c>
      <c r="Q909" s="13"/>
      <c r="R909" s="13"/>
      <c r="S909" s="13"/>
      <c r="T909" s="13"/>
      <c r="U909" s="13"/>
      <c r="V909" s="13"/>
      <c r="W909" s="13"/>
      <c r="X909" s="13"/>
    </row>
    <row r="910" ht="14.25" customHeight="1">
      <c r="A910" s="10" t="s">
        <v>1928</v>
      </c>
      <c r="B910" s="10" t="s">
        <v>31</v>
      </c>
      <c r="C910" s="10">
        <v>913.0</v>
      </c>
      <c r="D910" s="11" t="s">
        <v>2493</v>
      </c>
      <c r="E910" s="11" t="s">
        <v>2494</v>
      </c>
      <c r="F910" s="11" t="s">
        <v>45</v>
      </c>
      <c r="G910" s="10">
        <v>913.0</v>
      </c>
      <c r="H910" s="10">
        <f>VLOOKUP(F910,'Generos y Familia'!$A$1:$C$623,2,FALSE)</f>
        <v>40</v>
      </c>
      <c r="I910" s="12" t="str">
        <f t="shared" si="1"/>
        <v>Pseudobombax septenatum</v>
      </c>
      <c r="J910" s="10" t="str">
        <f t="shared" si="2"/>
        <v>913 Pseudobombax septenatum</v>
      </c>
      <c r="K910" s="10" t="str">
        <f t="shared" si="3"/>
        <v>Ceiba Verde; Majagua; Bonga</v>
      </c>
      <c r="L910" s="10" t="str">
        <f t="shared" si="4"/>
        <v>913 Ceiba Verde; Majagua; Bonga</v>
      </c>
      <c r="M910" s="10" t="s">
        <v>35</v>
      </c>
      <c r="N910" s="10" t="s">
        <v>36</v>
      </c>
      <c r="O910" s="10" t="s">
        <v>37</v>
      </c>
      <c r="P910" s="10" t="s">
        <v>2495</v>
      </c>
      <c r="Q910" s="13"/>
      <c r="R910" s="13"/>
      <c r="S910" s="13"/>
      <c r="T910" s="13"/>
      <c r="U910" s="13"/>
      <c r="V910" s="13"/>
      <c r="W910" s="13"/>
      <c r="X910" s="13"/>
    </row>
    <row r="911" ht="14.25" customHeight="1">
      <c r="A911" s="10" t="s">
        <v>1928</v>
      </c>
      <c r="B911" s="10" t="s">
        <v>31</v>
      </c>
      <c r="C911" s="10">
        <v>914.0</v>
      </c>
      <c r="D911" s="11" t="s">
        <v>2496</v>
      </c>
      <c r="E911" s="11" t="s">
        <v>2497</v>
      </c>
      <c r="F911" s="11" t="s">
        <v>34</v>
      </c>
      <c r="G911" s="10">
        <v>914.0</v>
      </c>
      <c r="H911" s="10">
        <f>VLOOKUP(F911,'Generos y Familia'!$A$1:$C$623,2,FALSE)</f>
        <v>27</v>
      </c>
      <c r="I911" s="12" t="str">
        <f t="shared" si="1"/>
        <v>Pseudosamanea guachapele</v>
      </c>
      <c r="J911" s="10" t="str">
        <f t="shared" si="2"/>
        <v>914 Pseudosamanea guachapele</v>
      </c>
      <c r="K911" s="10" t="str">
        <f t="shared" si="3"/>
        <v>Cedro Amarillo; Iguá; Iguamarillo</v>
      </c>
      <c r="L911" s="10" t="str">
        <f t="shared" si="4"/>
        <v>914 Cedro Amarillo; Iguá; Iguamarillo</v>
      </c>
      <c r="M911" s="10" t="s">
        <v>35</v>
      </c>
      <c r="N911" s="10" t="s">
        <v>36</v>
      </c>
      <c r="O911" s="10" t="s">
        <v>37</v>
      </c>
      <c r="P911" s="10" t="s">
        <v>2498</v>
      </c>
      <c r="Q911" s="13"/>
      <c r="R911" s="13"/>
      <c r="S911" s="13"/>
      <c r="T911" s="13"/>
      <c r="U911" s="13"/>
      <c r="V911" s="13"/>
      <c r="W911" s="13"/>
      <c r="X911" s="13"/>
    </row>
    <row r="912" ht="14.25" customHeight="1">
      <c r="A912" s="10" t="s">
        <v>1928</v>
      </c>
      <c r="B912" s="10" t="s">
        <v>31</v>
      </c>
      <c r="C912" s="10">
        <v>915.0</v>
      </c>
      <c r="D912" s="11" t="s">
        <v>2499</v>
      </c>
      <c r="E912" s="11" t="s">
        <v>2500</v>
      </c>
      <c r="F912" s="11" t="s">
        <v>95</v>
      </c>
      <c r="G912" s="10">
        <v>915.0</v>
      </c>
      <c r="H912" s="10">
        <f>VLOOKUP(F912,'Generos y Familia'!$A$1:$C$623,2,FALSE)</f>
        <v>49</v>
      </c>
      <c r="I912" s="12" t="str">
        <f t="shared" si="1"/>
        <v>Psidium cattleianum</v>
      </c>
      <c r="J912" s="10" t="str">
        <f t="shared" si="2"/>
        <v>915 Psidium cattleianum</v>
      </c>
      <c r="K912" s="10" t="str">
        <f t="shared" si="3"/>
        <v>Guayabo Peruano; Guayabo de Monte; Guayabo Agrio</v>
      </c>
      <c r="L912" s="10" t="str">
        <f t="shared" si="4"/>
        <v>915 Guayabo Peruano; Guayabo de Monte; Guayabo Agrio</v>
      </c>
      <c r="M912" s="10" t="s">
        <v>46</v>
      </c>
      <c r="N912" s="10" t="s">
        <v>36</v>
      </c>
      <c r="O912" s="10" t="s">
        <v>47</v>
      </c>
      <c r="P912" s="10" t="s">
        <v>2501</v>
      </c>
      <c r="Q912" s="17" t="s">
        <v>668</v>
      </c>
      <c r="R912" s="14" t="s">
        <v>39</v>
      </c>
      <c r="S912" s="17" t="s">
        <v>54</v>
      </c>
      <c r="T912" s="14"/>
      <c r="U912" s="14" t="s">
        <v>55</v>
      </c>
      <c r="V912" s="14"/>
      <c r="W912" s="17"/>
      <c r="X912" s="14"/>
    </row>
    <row r="913" ht="14.25" customHeight="1">
      <c r="A913" s="10" t="s">
        <v>2502</v>
      </c>
      <c r="B913" s="10" t="s">
        <v>31</v>
      </c>
      <c r="C913" s="10">
        <v>916.0</v>
      </c>
      <c r="D913" s="11" t="s">
        <v>2503</v>
      </c>
      <c r="E913" s="11" t="s">
        <v>2504</v>
      </c>
      <c r="F913" s="11" t="s">
        <v>95</v>
      </c>
      <c r="G913" s="10">
        <v>916.0</v>
      </c>
      <c r="H913" s="10">
        <f>VLOOKUP(F913,'Generos y Familia'!$A$1:$C$623,2,FALSE)</f>
        <v>49</v>
      </c>
      <c r="I913" s="12" t="str">
        <f t="shared" si="1"/>
        <v>Psidium friedrichsthalianum</v>
      </c>
      <c r="J913" s="10" t="str">
        <f t="shared" si="2"/>
        <v>916 Psidium friedrichsthalianum</v>
      </c>
      <c r="K913" s="10" t="str">
        <f t="shared" si="3"/>
        <v>Guayaba Coronilla; Guayaba Agria; Guayabo de Castilla</v>
      </c>
      <c r="L913" s="10" t="str">
        <f t="shared" si="4"/>
        <v>916 Guayaba Coronilla; Guayaba Agria; Guayabo de Castilla</v>
      </c>
      <c r="M913" s="10" t="s">
        <v>35</v>
      </c>
      <c r="N913" s="10" t="s">
        <v>36</v>
      </c>
      <c r="O913" s="10" t="s">
        <v>37</v>
      </c>
      <c r="P913" s="10" t="s">
        <v>2501</v>
      </c>
      <c r="Q913" s="17" t="s">
        <v>668</v>
      </c>
      <c r="R913" s="14"/>
      <c r="S913" s="17" t="s">
        <v>145</v>
      </c>
      <c r="T913" s="14"/>
      <c r="U913" s="14" t="s">
        <v>55</v>
      </c>
      <c r="V913" s="14"/>
      <c r="W913" s="17"/>
      <c r="X913" s="14" t="s">
        <v>41</v>
      </c>
    </row>
    <row r="914" ht="14.25" customHeight="1">
      <c r="A914" s="10" t="s">
        <v>2502</v>
      </c>
      <c r="B914" s="10" t="s">
        <v>31</v>
      </c>
      <c r="C914" s="10">
        <v>917.0</v>
      </c>
      <c r="D914" s="11" t="s">
        <v>2505</v>
      </c>
      <c r="E914" s="11" t="s">
        <v>2506</v>
      </c>
      <c r="F914" s="11" t="s">
        <v>95</v>
      </c>
      <c r="G914" s="10">
        <v>917.0</v>
      </c>
      <c r="H914" s="10">
        <f>VLOOKUP(F914,'Generos y Familia'!$A$1:$C$623,2,FALSE)</f>
        <v>49</v>
      </c>
      <c r="I914" s="12" t="str">
        <f t="shared" si="1"/>
        <v>Psidium guajava</v>
      </c>
      <c r="J914" s="10" t="str">
        <f t="shared" si="2"/>
        <v>917 Psidium guajava</v>
      </c>
      <c r="K914" s="10" t="str">
        <f t="shared" si="3"/>
        <v>Guayabo; Guayaba; Guayaba Común; Guayaba Manzana</v>
      </c>
      <c r="L914" s="10" t="str">
        <f t="shared" si="4"/>
        <v>917 Guayabo; Guayaba; Guayaba Común; Guayaba Manzana</v>
      </c>
      <c r="M914" s="10" t="s">
        <v>46</v>
      </c>
      <c r="N914" s="10" t="s">
        <v>36</v>
      </c>
      <c r="O914" s="10" t="s">
        <v>47</v>
      </c>
      <c r="P914" s="10" t="s">
        <v>2501</v>
      </c>
      <c r="Q914" s="17" t="s">
        <v>379</v>
      </c>
      <c r="R914" s="14" t="s">
        <v>39</v>
      </c>
      <c r="S914" s="17" t="s">
        <v>54</v>
      </c>
      <c r="T914" s="14" t="s">
        <v>39</v>
      </c>
      <c r="U914" s="14" t="s">
        <v>55</v>
      </c>
      <c r="V914" s="14">
        <v>0.65</v>
      </c>
      <c r="W914" s="17"/>
      <c r="X914" s="14"/>
    </row>
    <row r="915" ht="14.25" customHeight="1">
      <c r="A915" s="10" t="s">
        <v>2502</v>
      </c>
      <c r="B915" s="10" t="s">
        <v>31</v>
      </c>
      <c r="C915" s="10">
        <v>918.0</v>
      </c>
      <c r="D915" s="11" t="s">
        <v>2507</v>
      </c>
      <c r="E915" s="11" t="s">
        <v>2508</v>
      </c>
      <c r="F915" s="11" t="s">
        <v>95</v>
      </c>
      <c r="G915" s="10">
        <v>918.0</v>
      </c>
      <c r="H915" s="10">
        <f>VLOOKUP(F915,'Generos y Familia'!$A$1:$C$623,2,FALSE)</f>
        <v>49</v>
      </c>
      <c r="I915" s="12" t="str">
        <f t="shared" si="1"/>
        <v>Psidium guineense</v>
      </c>
      <c r="J915" s="10" t="str">
        <f t="shared" si="2"/>
        <v>918 Psidium guineense</v>
      </c>
      <c r="K915" s="10" t="str">
        <f t="shared" si="3"/>
        <v>Guayabo Agrio; Guayaba Agria; Guayabito Agrio</v>
      </c>
      <c r="L915" s="10" t="str">
        <f t="shared" si="4"/>
        <v>918 Guayabo Agrio; Guayaba Agria; Guayabito Agrio</v>
      </c>
      <c r="M915" s="10" t="s">
        <v>35</v>
      </c>
      <c r="N915" s="10" t="s">
        <v>36</v>
      </c>
      <c r="O915" s="10" t="s">
        <v>37</v>
      </c>
      <c r="P915" s="10" t="s">
        <v>2501</v>
      </c>
      <c r="Q915" s="17" t="s">
        <v>379</v>
      </c>
      <c r="R915" s="14"/>
      <c r="S915" s="17" t="s">
        <v>54</v>
      </c>
      <c r="T915" s="14"/>
      <c r="U915" s="14" t="s">
        <v>40</v>
      </c>
      <c r="V915" s="14"/>
      <c r="W915" s="17"/>
      <c r="X915" s="14" t="s">
        <v>41</v>
      </c>
    </row>
    <row r="916" ht="14.25" customHeight="1">
      <c r="A916" s="10" t="s">
        <v>2502</v>
      </c>
      <c r="B916" s="10" t="s">
        <v>31</v>
      </c>
      <c r="C916" s="10">
        <v>919.0</v>
      </c>
      <c r="D916" s="11" t="s">
        <v>2509</v>
      </c>
      <c r="E916" s="11" t="s">
        <v>2510</v>
      </c>
      <c r="F916" s="11" t="s">
        <v>95</v>
      </c>
      <c r="G916" s="10">
        <v>919.0</v>
      </c>
      <c r="H916" s="10">
        <f>VLOOKUP(F916,'Generos y Familia'!$A$1:$C$623,2,FALSE)</f>
        <v>49</v>
      </c>
      <c r="I916" s="12" t="str">
        <f t="shared" si="1"/>
        <v>Psidium sp</v>
      </c>
      <c r="J916" s="10" t="str">
        <f t="shared" si="2"/>
        <v>919 Psidium sp</v>
      </c>
      <c r="K916" s="10" t="str">
        <f t="shared" si="3"/>
        <v>Guayabo de Monte</v>
      </c>
      <c r="L916" s="10" t="str">
        <f t="shared" si="4"/>
        <v>919 Guayabo de Monte</v>
      </c>
      <c r="M916" s="10" t="s">
        <v>35</v>
      </c>
      <c r="N916" s="10" t="s">
        <v>36</v>
      </c>
      <c r="O916" s="10" t="s">
        <v>37</v>
      </c>
      <c r="P916" s="10" t="s">
        <v>2501</v>
      </c>
      <c r="Q916" s="17" t="s">
        <v>2511</v>
      </c>
      <c r="R916" s="14"/>
      <c r="S916" s="17" t="s">
        <v>442</v>
      </c>
      <c r="T916" s="14"/>
      <c r="U916" s="14" t="s">
        <v>40</v>
      </c>
      <c r="V916" s="14"/>
      <c r="W916" s="17"/>
      <c r="X916" s="14" t="s">
        <v>41</v>
      </c>
    </row>
    <row r="917" ht="14.25" customHeight="1">
      <c r="A917" s="10" t="s">
        <v>2502</v>
      </c>
      <c r="B917" s="10" t="s">
        <v>31</v>
      </c>
      <c r="C917" s="10">
        <v>920.0</v>
      </c>
      <c r="D917" s="11" t="s">
        <v>2512</v>
      </c>
      <c r="E917" s="11" t="s">
        <v>2513</v>
      </c>
      <c r="F917" s="11" t="s">
        <v>310</v>
      </c>
      <c r="G917" s="10">
        <v>920.0</v>
      </c>
      <c r="H917" s="10">
        <f>VLOOKUP(F917,'Generos y Familia'!$A$1:$C$623,2,FALSE)</f>
        <v>79</v>
      </c>
      <c r="I917" s="12" t="str">
        <f t="shared" si="1"/>
        <v>Psychotria nervosa</v>
      </c>
      <c r="J917" s="10" t="str">
        <f t="shared" si="2"/>
        <v>920 Psychotria nervosa</v>
      </c>
      <c r="K917" s="10" t="str">
        <f t="shared" si="3"/>
        <v>Psychotria Nervosa</v>
      </c>
      <c r="L917" s="10" t="str">
        <f t="shared" si="4"/>
        <v>920 Psychotria Nervosa</v>
      </c>
      <c r="M917" s="10" t="s">
        <v>35</v>
      </c>
      <c r="N917" s="10" t="s">
        <v>36</v>
      </c>
      <c r="O917" s="10" t="s">
        <v>47</v>
      </c>
      <c r="P917" s="10" t="s">
        <v>2514</v>
      </c>
      <c r="Q917" s="13"/>
      <c r="R917" s="13"/>
      <c r="S917" s="13"/>
      <c r="T917" s="13"/>
      <c r="U917" s="13"/>
      <c r="V917" s="13"/>
      <c r="W917" s="13"/>
      <c r="X917" s="13"/>
    </row>
    <row r="918" ht="14.25" customHeight="1">
      <c r="A918" s="10" t="s">
        <v>2502</v>
      </c>
      <c r="B918" s="10" t="s">
        <v>31</v>
      </c>
      <c r="C918" s="10">
        <v>921.0</v>
      </c>
      <c r="D918" s="11" t="s">
        <v>2515</v>
      </c>
      <c r="E918" s="11" t="s">
        <v>2516</v>
      </c>
      <c r="F918" s="11" t="s">
        <v>34</v>
      </c>
      <c r="G918" s="10">
        <v>921.0</v>
      </c>
      <c r="H918" s="10">
        <f>VLOOKUP(F918,'Generos y Familia'!$A$1:$C$623,2,FALSE)</f>
        <v>27</v>
      </c>
      <c r="I918" s="12" t="str">
        <f t="shared" si="1"/>
        <v>Pterocarpus acapulcensis</v>
      </c>
      <c r="J918" s="10" t="str">
        <f t="shared" si="2"/>
        <v>921 Pterocarpus acapulcensis</v>
      </c>
      <c r="K918" s="10" t="str">
        <f t="shared" si="3"/>
        <v>Sangre de Gallo; Drago; Ojo de Venado; Sangregado</v>
      </c>
      <c r="L918" s="10" t="str">
        <f t="shared" si="4"/>
        <v>921 Sangre de Gallo; Drago; Ojo de Venado; Sangregado</v>
      </c>
      <c r="M918" s="10" t="s">
        <v>35</v>
      </c>
      <c r="N918" s="10" t="s">
        <v>36</v>
      </c>
      <c r="O918" s="10" t="s">
        <v>37</v>
      </c>
      <c r="P918" s="10" t="s">
        <v>2517</v>
      </c>
      <c r="Q918" s="13"/>
      <c r="R918" s="13"/>
      <c r="S918" s="13"/>
      <c r="T918" s="13"/>
      <c r="U918" s="13"/>
      <c r="V918" s="13"/>
      <c r="W918" s="13"/>
      <c r="X918" s="13"/>
    </row>
    <row r="919" ht="14.25" customHeight="1">
      <c r="A919" s="10" t="s">
        <v>2502</v>
      </c>
      <c r="B919" s="10" t="s">
        <v>31</v>
      </c>
      <c r="C919" s="10">
        <v>922.0</v>
      </c>
      <c r="D919" s="11" t="s">
        <v>2518</v>
      </c>
      <c r="E919" s="11" t="s">
        <v>2519</v>
      </c>
      <c r="F919" s="11" t="s">
        <v>34</v>
      </c>
      <c r="G919" s="10">
        <v>922.0</v>
      </c>
      <c r="H919" s="10">
        <f>VLOOKUP(F919,'Generos y Familia'!$A$1:$C$623,2,FALSE)</f>
        <v>27</v>
      </c>
      <c r="I919" s="12" t="str">
        <f t="shared" si="1"/>
        <v>Pterocarpus santalinoides</v>
      </c>
      <c r="J919" s="10" t="str">
        <f t="shared" si="2"/>
        <v>922 Pterocarpus santalinoides</v>
      </c>
      <c r="K919" s="10" t="str">
        <f t="shared" si="3"/>
        <v>Palo de Arco</v>
      </c>
      <c r="L919" s="10" t="str">
        <f t="shared" si="4"/>
        <v>922 Palo de Arco</v>
      </c>
      <c r="M919" s="10" t="s">
        <v>35</v>
      </c>
      <c r="N919" s="10" t="s">
        <v>36</v>
      </c>
      <c r="O919" s="10" t="s">
        <v>37</v>
      </c>
      <c r="P919" s="10" t="s">
        <v>2517</v>
      </c>
      <c r="Q919" s="13"/>
      <c r="R919" s="13"/>
      <c r="S919" s="13"/>
      <c r="T919" s="13"/>
      <c r="U919" s="13"/>
      <c r="V919" s="13"/>
      <c r="W919" s="13"/>
      <c r="X919" s="13"/>
    </row>
    <row r="920" ht="14.25" customHeight="1">
      <c r="A920" s="10" t="s">
        <v>2502</v>
      </c>
      <c r="B920" s="10" t="s">
        <v>31</v>
      </c>
      <c r="C920" s="10">
        <v>923.0</v>
      </c>
      <c r="D920" s="11" t="s">
        <v>2520</v>
      </c>
      <c r="E920" s="11" t="s">
        <v>2521</v>
      </c>
      <c r="F920" s="11" t="s">
        <v>34</v>
      </c>
      <c r="G920" s="10">
        <v>923.0</v>
      </c>
      <c r="H920" s="10">
        <f>VLOOKUP(F920,'Generos y Familia'!$A$1:$C$623,2,FALSE)</f>
        <v>27</v>
      </c>
      <c r="I920" s="12" t="str">
        <f t="shared" si="1"/>
        <v>Pterocarpus sp</v>
      </c>
      <c r="J920" s="10" t="str">
        <f t="shared" si="2"/>
        <v>923 Pterocarpus sp</v>
      </c>
      <c r="K920" s="10" t="str">
        <f t="shared" si="3"/>
        <v>Barbasco</v>
      </c>
      <c r="L920" s="10" t="str">
        <f t="shared" si="4"/>
        <v>923 Barbasco</v>
      </c>
      <c r="M920" s="10" t="s">
        <v>35</v>
      </c>
      <c r="N920" s="10" t="s">
        <v>36</v>
      </c>
      <c r="O920" s="10" t="s">
        <v>37</v>
      </c>
      <c r="P920" s="10" t="s">
        <v>2517</v>
      </c>
      <c r="Q920" s="13"/>
      <c r="R920" s="13"/>
      <c r="S920" s="13"/>
      <c r="T920" s="13"/>
      <c r="U920" s="13"/>
      <c r="V920" s="13"/>
      <c r="W920" s="13"/>
      <c r="X920" s="13"/>
    </row>
    <row r="921" ht="14.25" customHeight="1">
      <c r="A921" s="10" t="s">
        <v>2502</v>
      </c>
      <c r="B921" s="10" t="s">
        <v>31</v>
      </c>
      <c r="C921" s="10">
        <v>924.0</v>
      </c>
      <c r="D921" s="11" t="s">
        <v>2522</v>
      </c>
      <c r="E921" s="11" t="s">
        <v>2523</v>
      </c>
      <c r="F921" s="11" t="s">
        <v>116</v>
      </c>
      <c r="G921" s="10">
        <v>924.0</v>
      </c>
      <c r="H921" s="10">
        <f>VLOOKUP(F921,'Generos y Familia'!$A$1:$C$623,2,FALSE)</f>
        <v>14</v>
      </c>
      <c r="I921" s="12" t="str">
        <f t="shared" si="1"/>
        <v>Ptychosperma elegans</v>
      </c>
      <c r="J921" s="10" t="str">
        <f t="shared" si="2"/>
        <v>924 Ptychosperma elegans</v>
      </c>
      <c r="K921" s="10" t="str">
        <f t="shared" si="3"/>
        <v>Palma Solitaria; Ticosperma</v>
      </c>
      <c r="L921" s="10" t="str">
        <f t="shared" si="4"/>
        <v>924 Palma Solitaria; Ticosperma</v>
      </c>
      <c r="M921" s="10" t="s">
        <v>46</v>
      </c>
      <c r="N921" s="10" t="s">
        <v>36</v>
      </c>
      <c r="O921" s="10" t="s">
        <v>117</v>
      </c>
      <c r="P921" s="10" t="s">
        <v>2524</v>
      </c>
      <c r="Q921" s="13"/>
      <c r="R921" s="13"/>
      <c r="S921" s="13"/>
      <c r="T921" s="13"/>
      <c r="U921" s="13"/>
      <c r="V921" s="13"/>
      <c r="W921" s="13"/>
      <c r="X921" s="13"/>
    </row>
    <row r="922" ht="14.25" customHeight="1">
      <c r="A922" s="10" t="s">
        <v>2502</v>
      </c>
      <c r="B922" s="10" t="s">
        <v>31</v>
      </c>
      <c r="C922" s="10">
        <v>925.0</v>
      </c>
      <c r="D922" s="11" t="s">
        <v>2525</v>
      </c>
      <c r="E922" s="11" t="s">
        <v>2526</v>
      </c>
      <c r="F922" s="11" t="s">
        <v>116</v>
      </c>
      <c r="G922" s="10">
        <v>925.0</v>
      </c>
      <c r="H922" s="10">
        <f>VLOOKUP(F922,'Generos y Familia'!$A$1:$C$623,2,FALSE)</f>
        <v>14</v>
      </c>
      <c r="I922" s="12" t="str">
        <f t="shared" si="1"/>
        <v>Ptychosperma macarthurii</v>
      </c>
      <c r="J922" s="10" t="str">
        <f t="shared" si="2"/>
        <v>925 Ptychosperma macarthurii</v>
      </c>
      <c r="K922" s="10" t="str">
        <f t="shared" si="3"/>
        <v>Palma Mcarthur; Macarthur</v>
      </c>
      <c r="L922" s="10" t="str">
        <f t="shared" si="4"/>
        <v>925 Palma Mcarthur; Macarthur</v>
      </c>
      <c r="M922" s="10" t="s">
        <v>46</v>
      </c>
      <c r="N922" s="10" t="s">
        <v>36</v>
      </c>
      <c r="O922" s="10" t="s">
        <v>117</v>
      </c>
      <c r="P922" s="10" t="s">
        <v>2524</v>
      </c>
      <c r="Q922" s="13"/>
      <c r="R922" s="13"/>
      <c r="S922" s="13"/>
      <c r="T922" s="13"/>
      <c r="U922" s="13"/>
      <c r="V922" s="13"/>
      <c r="W922" s="13"/>
      <c r="X922" s="13"/>
    </row>
    <row r="923" ht="14.25" customHeight="1">
      <c r="A923" s="10" t="s">
        <v>2502</v>
      </c>
      <c r="B923" s="10" t="s">
        <v>31</v>
      </c>
      <c r="C923" s="10">
        <v>926.0</v>
      </c>
      <c r="D923" s="11" t="s">
        <v>2527</v>
      </c>
      <c r="E923" s="11" t="s">
        <v>2528</v>
      </c>
      <c r="F923" s="11" t="s">
        <v>34</v>
      </c>
      <c r="G923" s="10">
        <v>926.0</v>
      </c>
      <c r="H923" s="10">
        <f>VLOOKUP(F923,'Generos y Familia'!$A$1:$C$623,2,FALSE)</f>
        <v>27</v>
      </c>
      <c r="I923" s="12" t="str">
        <f t="shared" si="1"/>
        <v>Pueraria montana</v>
      </c>
      <c r="J923" s="10" t="str">
        <f t="shared" si="2"/>
        <v>926 Pueraria montana</v>
      </c>
      <c r="K923" s="10" t="str">
        <f t="shared" si="3"/>
        <v>Pueraria</v>
      </c>
      <c r="L923" s="10" t="str">
        <f t="shared" si="4"/>
        <v>926 Pueraria</v>
      </c>
      <c r="M923" s="10" t="s">
        <v>46</v>
      </c>
      <c r="N923" s="10" t="s">
        <v>36</v>
      </c>
      <c r="O923" s="10" t="s">
        <v>47</v>
      </c>
      <c r="P923" s="10" t="s">
        <v>2528</v>
      </c>
      <c r="Q923" s="13"/>
      <c r="R923" s="13"/>
      <c r="S923" s="13"/>
      <c r="T923" s="13"/>
      <c r="U923" s="13"/>
      <c r="V923" s="13"/>
      <c r="W923" s="13"/>
      <c r="X923" s="13"/>
    </row>
    <row r="924" ht="14.25" customHeight="1">
      <c r="A924" s="10" t="s">
        <v>2502</v>
      </c>
      <c r="B924" s="10" t="s">
        <v>31</v>
      </c>
      <c r="C924" s="10">
        <v>927.0</v>
      </c>
      <c r="D924" s="11" t="s">
        <v>2529</v>
      </c>
      <c r="E924" s="11" t="s">
        <v>2530</v>
      </c>
      <c r="F924" s="11" t="s">
        <v>125</v>
      </c>
      <c r="G924" s="10">
        <v>927.0</v>
      </c>
      <c r="H924" s="10">
        <f>VLOOKUP(F924,'Generos y Familia'!$A$1:$C$623,2,FALSE)</f>
        <v>37</v>
      </c>
      <c r="I924" s="12" t="str">
        <f t="shared" si="1"/>
        <v>Punica granatum</v>
      </c>
      <c r="J924" s="10" t="str">
        <f t="shared" si="2"/>
        <v>927 Punica granatum</v>
      </c>
      <c r="K924" s="10" t="str">
        <f t="shared" si="3"/>
        <v>Granada; Granado</v>
      </c>
      <c r="L924" s="10" t="str">
        <f t="shared" si="4"/>
        <v>927 Granada; Granado</v>
      </c>
      <c r="M924" s="10" t="s">
        <v>46</v>
      </c>
      <c r="N924" s="10" t="s">
        <v>36</v>
      </c>
      <c r="O924" s="10" t="s">
        <v>47</v>
      </c>
      <c r="P924" s="10" t="s">
        <v>2531</v>
      </c>
      <c r="Q924" s="17" t="s">
        <v>347</v>
      </c>
      <c r="R924" s="14" t="s">
        <v>39</v>
      </c>
      <c r="S924" s="17" t="s">
        <v>668</v>
      </c>
      <c r="T924" s="14" t="s">
        <v>39</v>
      </c>
      <c r="U924" s="14" t="s">
        <v>40</v>
      </c>
      <c r="V924" s="14"/>
      <c r="W924" s="18"/>
      <c r="X924" s="14"/>
    </row>
    <row r="925" ht="14.25" customHeight="1">
      <c r="A925" s="10" t="s">
        <v>2502</v>
      </c>
      <c r="B925" s="10" t="s">
        <v>31</v>
      </c>
      <c r="C925" s="10">
        <v>928.0</v>
      </c>
      <c r="D925" s="11" t="s">
        <v>2532</v>
      </c>
      <c r="E925" s="11" t="s">
        <v>2533</v>
      </c>
      <c r="F925" s="11" t="s">
        <v>1105</v>
      </c>
      <c r="G925" s="10">
        <v>928.0</v>
      </c>
      <c r="H925" s="10">
        <f>VLOOKUP(F925,'Generos y Familia'!$A$1:$C$623,2,FALSE)</f>
        <v>78</v>
      </c>
      <c r="I925" s="12" t="str">
        <f t="shared" si="1"/>
        <v>Pyracantha coccinea</v>
      </c>
      <c r="J925" s="10" t="str">
        <f t="shared" si="2"/>
        <v>928 Pyracantha coccinea</v>
      </c>
      <c r="K925" s="10" t="str">
        <f t="shared" si="3"/>
        <v>Mortiño; Holly Espinoso; Piracanta</v>
      </c>
      <c r="L925" s="10" t="str">
        <f t="shared" si="4"/>
        <v>928 Mortiño; Holly Espinoso; Piracanta</v>
      </c>
      <c r="M925" s="10" t="s">
        <v>46</v>
      </c>
      <c r="N925" s="10" t="s">
        <v>36</v>
      </c>
      <c r="O925" s="10" t="s">
        <v>47</v>
      </c>
      <c r="P925" s="10" t="s">
        <v>2534</v>
      </c>
      <c r="Q925" s="17" t="s">
        <v>612</v>
      </c>
      <c r="R925" s="14"/>
      <c r="S925" s="17" t="s">
        <v>229</v>
      </c>
      <c r="T925" s="14"/>
      <c r="U925" s="14" t="s">
        <v>55</v>
      </c>
      <c r="V925" s="14"/>
      <c r="W925" s="17"/>
      <c r="X925" s="14" t="s">
        <v>41</v>
      </c>
    </row>
    <row r="926" ht="14.25" customHeight="1">
      <c r="A926" s="10" t="s">
        <v>2502</v>
      </c>
      <c r="B926" s="10" t="s">
        <v>31</v>
      </c>
      <c r="C926" s="10">
        <v>929.0</v>
      </c>
      <c r="D926" s="11" t="s">
        <v>2535</v>
      </c>
      <c r="E926" s="11" t="s">
        <v>2536</v>
      </c>
      <c r="F926" s="11" t="s">
        <v>710</v>
      </c>
      <c r="G926" s="10">
        <v>929.0</v>
      </c>
      <c r="H926" s="10">
        <f>VLOOKUP(F926,'Generos y Familia'!$A$1:$C$623,2,FALSE)</f>
        <v>29</v>
      </c>
      <c r="I926" s="12" t="str">
        <f t="shared" si="1"/>
        <v>Quadrella odoratissima</v>
      </c>
      <c r="J926" s="10" t="str">
        <f t="shared" si="2"/>
        <v>929 Quadrella odoratissima</v>
      </c>
      <c r="K926" s="10" t="str">
        <f t="shared" si="3"/>
        <v>Olivo Santo; Olivo; Olivo Hembra; Naranjuelo; Naranjillo</v>
      </c>
      <c r="L926" s="10" t="str">
        <f t="shared" si="4"/>
        <v>929 Olivo Santo; Olivo; Olivo Hembra; Naranjuelo; Naranjillo</v>
      </c>
      <c r="M926" s="10" t="s">
        <v>35</v>
      </c>
      <c r="N926" s="10" t="s">
        <v>36</v>
      </c>
      <c r="O926" s="10" t="s">
        <v>37</v>
      </c>
      <c r="P926" s="10" t="s">
        <v>2537</v>
      </c>
      <c r="Q926" s="13"/>
      <c r="R926" s="13"/>
      <c r="S926" s="13"/>
      <c r="T926" s="13"/>
      <c r="U926" s="13"/>
      <c r="V926" s="13"/>
      <c r="W926" s="16"/>
      <c r="X926" s="13"/>
    </row>
    <row r="927" ht="14.25" customHeight="1">
      <c r="A927" s="10" t="s">
        <v>2502</v>
      </c>
      <c r="B927" s="10" t="s">
        <v>31</v>
      </c>
      <c r="C927" s="10">
        <v>930.0</v>
      </c>
      <c r="D927" s="11" t="s">
        <v>2538</v>
      </c>
      <c r="E927" s="11" t="s">
        <v>2539</v>
      </c>
      <c r="F927" s="11" t="s">
        <v>45</v>
      </c>
      <c r="G927" s="10">
        <v>930.0</v>
      </c>
      <c r="H927" s="10">
        <f>VLOOKUP(F927,'Generos y Familia'!$A$1:$C$623,2,FALSE)</f>
        <v>40</v>
      </c>
      <c r="I927" s="12" t="str">
        <f t="shared" si="1"/>
        <v>Quararibea funebris</v>
      </c>
      <c r="J927" s="10" t="str">
        <f t="shared" si="2"/>
        <v>930 Quararibea funebris</v>
      </c>
      <c r="K927" s="10" t="str">
        <f t="shared" si="3"/>
        <v>Canela; Canelilla; Flor de Cacao; Madre Cacao; Madre de Cacao; Molinillo; Palo Copado; Palo de Canela; Palo de Molinillo; Rosa de Cacao</v>
      </c>
      <c r="L927" s="10" t="str">
        <f t="shared" si="4"/>
        <v>930 Canela; Canelilla; Flor de Cacao; Madre Cacao; Madre de Cacao; Molinillo; Palo Copado; Palo de Canela; Palo de Molinillo; Rosa de Cacao</v>
      </c>
      <c r="M927" s="10" t="s">
        <v>35</v>
      </c>
      <c r="N927" s="10"/>
      <c r="O927" s="10"/>
      <c r="P927" s="10" t="s">
        <v>2540</v>
      </c>
      <c r="Q927" s="13"/>
      <c r="R927" s="13"/>
      <c r="S927" s="13"/>
      <c r="T927" s="13"/>
      <c r="U927" s="13"/>
      <c r="V927" s="13"/>
      <c r="W927" s="13"/>
      <c r="X927" s="13"/>
    </row>
    <row r="928" ht="14.25" customHeight="1">
      <c r="A928" s="10" t="s">
        <v>2502</v>
      </c>
      <c r="B928" s="10" t="s">
        <v>31</v>
      </c>
      <c r="C928" s="10">
        <v>931.0</v>
      </c>
      <c r="D928" s="11" t="s">
        <v>2541</v>
      </c>
      <c r="E928" s="11" t="s">
        <v>2542</v>
      </c>
      <c r="F928" s="11" t="s">
        <v>2543</v>
      </c>
      <c r="G928" s="10">
        <v>931.0</v>
      </c>
      <c r="H928" s="10">
        <f>VLOOKUP(F928,'Generos y Familia'!$A$1:$C$623,2,FALSE)</f>
        <v>28</v>
      </c>
      <c r="I928" s="12" t="str">
        <f t="shared" si="1"/>
        <v>Quercus humboldtii</v>
      </c>
      <c r="J928" s="10" t="str">
        <f t="shared" si="2"/>
        <v>931 Quercus humboldtii</v>
      </c>
      <c r="K928" s="10" t="str">
        <f t="shared" si="3"/>
        <v>Roble de Tierra Fría; Roble</v>
      </c>
      <c r="L928" s="10" t="str">
        <f t="shared" si="4"/>
        <v>931 Roble de Tierra Fría; Roble</v>
      </c>
      <c r="M928" s="10" t="s">
        <v>35</v>
      </c>
      <c r="N928" s="10" t="s">
        <v>36</v>
      </c>
      <c r="O928" s="10" t="s">
        <v>37</v>
      </c>
      <c r="P928" s="10" t="s">
        <v>2544</v>
      </c>
      <c r="Q928" s="17" t="s">
        <v>106</v>
      </c>
      <c r="R928" s="14" t="s">
        <v>39</v>
      </c>
      <c r="S928" s="17" t="s">
        <v>821</v>
      </c>
      <c r="T928" s="14" t="s">
        <v>39</v>
      </c>
      <c r="U928" s="14" t="s">
        <v>73</v>
      </c>
      <c r="V928" s="14"/>
      <c r="W928" s="17"/>
      <c r="X928" s="14"/>
    </row>
    <row r="929" ht="14.25" customHeight="1">
      <c r="A929" s="10" t="s">
        <v>2502</v>
      </c>
      <c r="B929" s="10" t="s">
        <v>31</v>
      </c>
      <c r="C929" s="10">
        <v>932.0</v>
      </c>
      <c r="D929" s="11" t="s">
        <v>2545</v>
      </c>
      <c r="E929" s="11" t="s">
        <v>2544</v>
      </c>
      <c r="F929" s="11" t="s">
        <v>2543</v>
      </c>
      <c r="G929" s="10">
        <v>932.0</v>
      </c>
      <c r="H929" s="10">
        <f>VLOOKUP(F929,'Generos y Familia'!$A$1:$C$623,2,FALSE)</f>
        <v>28</v>
      </c>
      <c r="I929" s="12" t="str">
        <f t="shared" si="1"/>
        <v>Quercus phellos</v>
      </c>
      <c r="J929" s="10" t="str">
        <f t="shared" si="2"/>
        <v>932 Quercus phellos</v>
      </c>
      <c r="K929" s="10" t="str">
        <f t="shared" si="3"/>
        <v>Quercus</v>
      </c>
      <c r="L929" s="10" t="str">
        <f t="shared" si="4"/>
        <v>932 Quercus</v>
      </c>
      <c r="M929" s="10" t="s">
        <v>46</v>
      </c>
      <c r="N929" s="10" t="s">
        <v>28</v>
      </c>
      <c r="O929" s="10" t="s">
        <v>37</v>
      </c>
      <c r="P929" s="10" t="s">
        <v>2544</v>
      </c>
      <c r="Q929" s="17" t="s">
        <v>106</v>
      </c>
      <c r="R929" s="14"/>
      <c r="S929" s="17" t="s">
        <v>821</v>
      </c>
      <c r="T929" s="14"/>
      <c r="U929" s="14" t="s">
        <v>40</v>
      </c>
      <c r="V929" s="14"/>
      <c r="W929" s="17"/>
      <c r="X929" s="14" t="s">
        <v>41</v>
      </c>
    </row>
    <row r="930" ht="14.25" customHeight="1">
      <c r="A930" s="10" t="s">
        <v>2502</v>
      </c>
      <c r="B930" s="10" t="s">
        <v>31</v>
      </c>
      <c r="C930" s="10">
        <v>933.0</v>
      </c>
      <c r="D930" s="11" t="s">
        <v>2546</v>
      </c>
      <c r="E930" s="11" t="s">
        <v>2547</v>
      </c>
      <c r="F930" s="11" t="s">
        <v>2548</v>
      </c>
      <c r="G930" s="10">
        <v>933.0</v>
      </c>
      <c r="H930" s="10">
        <f>VLOOKUP(F930,'Generos y Familia'!$A$1:$C$623,2,FALSE)</f>
        <v>76</v>
      </c>
      <c r="I930" s="12" t="str">
        <f t="shared" si="1"/>
        <v>Quillaja saponaria</v>
      </c>
      <c r="J930" s="10" t="str">
        <f t="shared" si="2"/>
        <v>933 Quillaja saponaria</v>
      </c>
      <c r="K930" s="10" t="str">
        <f t="shared" si="3"/>
        <v>Quillay</v>
      </c>
      <c r="L930" s="10" t="str">
        <f t="shared" si="4"/>
        <v>933 Quillay</v>
      </c>
      <c r="M930" s="10" t="s">
        <v>46</v>
      </c>
      <c r="N930" s="10"/>
      <c r="O930" s="10"/>
      <c r="P930" s="10" t="s">
        <v>2549</v>
      </c>
      <c r="Q930" s="13"/>
      <c r="R930" s="13"/>
      <c r="S930" s="13"/>
      <c r="T930" s="13"/>
      <c r="U930" s="13"/>
      <c r="V930" s="13"/>
      <c r="W930" s="13"/>
      <c r="X930" s="13"/>
    </row>
    <row r="931" ht="14.25" customHeight="1">
      <c r="A931" s="10" t="s">
        <v>2502</v>
      </c>
      <c r="B931" s="10" t="s">
        <v>31</v>
      </c>
      <c r="C931" s="10">
        <v>934.0</v>
      </c>
      <c r="D931" s="11" t="s">
        <v>2550</v>
      </c>
      <c r="E931" s="11" t="s">
        <v>2551</v>
      </c>
      <c r="F931" s="11" t="s">
        <v>2552</v>
      </c>
      <c r="G931" s="10">
        <v>934.0</v>
      </c>
      <c r="H931" s="10">
        <f>VLOOKUP(F931,'Generos y Familia'!$A$1:$C$623,2,FALSE)</f>
        <v>91</v>
      </c>
      <c r="I931" s="12" t="str">
        <f t="shared" si="1"/>
        <v>Ravenala madagascariensis</v>
      </c>
      <c r="J931" s="10" t="str">
        <f t="shared" si="2"/>
        <v>934 Ravenala madagascariensis</v>
      </c>
      <c r="K931" s="10" t="str">
        <f t="shared" si="3"/>
        <v>Palma del Viajero</v>
      </c>
      <c r="L931" s="10" t="str">
        <f t="shared" si="4"/>
        <v>934 Palma del Viajero</v>
      </c>
      <c r="M931" s="10" t="s">
        <v>46</v>
      </c>
      <c r="N931" s="10" t="s">
        <v>36</v>
      </c>
      <c r="O931" s="10" t="s">
        <v>47</v>
      </c>
      <c r="P931" s="10" t="s">
        <v>2553</v>
      </c>
      <c r="Q931" s="17" t="s">
        <v>379</v>
      </c>
      <c r="R931" s="14"/>
      <c r="S931" s="17" t="s">
        <v>290</v>
      </c>
      <c r="T931" s="14"/>
      <c r="U931" s="14" t="s">
        <v>55</v>
      </c>
      <c r="V931" s="14"/>
      <c r="W931" s="17"/>
      <c r="X931" s="14" t="s">
        <v>41</v>
      </c>
    </row>
    <row r="932" ht="14.25" customHeight="1">
      <c r="A932" s="10" t="s">
        <v>2502</v>
      </c>
      <c r="B932" s="10" t="s">
        <v>31</v>
      </c>
      <c r="C932" s="10">
        <v>935.0</v>
      </c>
      <c r="D932" s="11" t="s">
        <v>2554</v>
      </c>
      <c r="E932" s="11" t="s">
        <v>2555</v>
      </c>
      <c r="F932" s="11" t="s">
        <v>116</v>
      </c>
      <c r="G932" s="10">
        <v>935.0</v>
      </c>
      <c r="H932" s="10">
        <f>VLOOKUP(F932,'Generos y Familia'!$A$1:$C$623,2,FALSE)</f>
        <v>14</v>
      </c>
      <c r="I932" s="12" t="str">
        <f t="shared" si="1"/>
        <v>Ravenea rivularis</v>
      </c>
      <c r="J932" s="10" t="str">
        <f t="shared" si="2"/>
        <v>935 Ravenea rivularis</v>
      </c>
      <c r="K932" s="10" t="str">
        <f t="shared" si="3"/>
        <v>Palma Majestad</v>
      </c>
      <c r="L932" s="10" t="str">
        <f t="shared" si="4"/>
        <v>935 Palma Majestad</v>
      </c>
      <c r="M932" s="10" t="s">
        <v>46</v>
      </c>
      <c r="N932" s="10"/>
      <c r="O932" s="10"/>
      <c r="P932" s="10" t="s">
        <v>2556</v>
      </c>
      <c r="Q932" s="13"/>
      <c r="R932" s="13"/>
      <c r="S932" s="13"/>
      <c r="T932" s="13"/>
      <c r="U932" s="13"/>
      <c r="V932" s="13"/>
      <c r="W932" s="13"/>
      <c r="X932" s="13"/>
    </row>
    <row r="933" ht="14.25" customHeight="1">
      <c r="A933" s="10" t="s">
        <v>2502</v>
      </c>
      <c r="B933" s="10" t="s">
        <v>31</v>
      </c>
      <c r="C933" s="10">
        <v>936.0</v>
      </c>
      <c r="D933" s="11" t="s">
        <v>2557</v>
      </c>
      <c r="E933" s="11" t="s">
        <v>2558</v>
      </c>
      <c r="F933" s="11" t="s">
        <v>2400</v>
      </c>
      <c r="G933" s="10">
        <v>936.0</v>
      </c>
      <c r="H933" s="10">
        <f>VLOOKUP(F933,'Generos y Familia'!$A$1:$C$623,2,FALSE)</f>
        <v>71</v>
      </c>
      <c r="I933" s="12" t="str">
        <f t="shared" si="1"/>
        <v>Retrophyllum rospigliosii</v>
      </c>
      <c r="J933" s="10" t="str">
        <f t="shared" si="2"/>
        <v>936 Retrophyllum rospigliosii</v>
      </c>
      <c r="K933" s="10" t="str">
        <f t="shared" si="3"/>
        <v>Pino Colombiano; Chaquiro; Pino de Montaña; Pino Romerón</v>
      </c>
      <c r="L933" s="10" t="str">
        <f t="shared" si="4"/>
        <v>936 Pino Colombiano; Chaquiro; Pino de Montaña; Pino Romerón</v>
      </c>
      <c r="M933" s="10" t="s">
        <v>35</v>
      </c>
      <c r="N933" s="10" t="s">
        <v>36</v>
      </c>
      <c r="O933" s="10" t="s">
        <v>37</v>
      </c>
      <c r="P933" s="10" t="s">
        <v>2559</v>
      </c>
      <c r="Q933" s="17" t="s">
        <v>486</v>
      </c>
      <c r="R933" s="14" t="s">
        <v>39</v>
      </c>
      <c r="S933" s="17" t="s">
        <v>1331</v>
      </c>
      <c r="T933" s="14" t="s">
        <v>39</v>
      </c>
      <c r="U933" s="14" t="s">
        <v>73</v>
      </c>
      <c r="V933" s="14"/>
      <c r="W933" s="17"/>
      <c r="X933" s="14"/>
    </row>
    <row r="934" ht="14.25" customHeight="1">
      <c r="A934" s="10" t="s">
        <v>2502</v>
      </c>
      <c r="B934" s="10" t="s">
        <v>31</v>
      </c>
      <c r="C934" s="10">
        <v>937.0</v>
      </c>
      <c r="D934" s="11" t="s">
        <v>2560</v>
      </c>
      <c r="E934" s="11" t="s">
        <v>2561</v>
      </c>
      <c r="F934" s="11" t="s">
        <v>116</v>
      </c>
      <c r="G934" s="10">
        <v>937.0</v>
      </c>
      <c r="H934" s="10">
        <f>VLOOKUP(F934,'Generos y Familia'!$A$1:$C$623,2,FALSE)</f>
        <v>14</v>
      </c>
      <c r="I934" s="12" t="str">
        <f t="shared" si="1"/>
        <v>Rhapis excelsa</v>
      </c>
      <c r="J934" s="10" t="str">
        <f t="shared" si="2"/>
        <v>937 Rhapis excelsa</v>
      </c>
      <c r="K934" s="10" t="str">
        <f t="shared" si="3"/>
        <v>Palma Rafis; Palmerita China</v>
      </c>
      <c r="L934" s="10" t="str">
        <f t="shared" si="4"/>
        <v>937 Palma Rafis; Palmerita China</v>
      </c>
      <c r="M934" s="10" t="s">
        <v>46</v>
      </c>
      <c r="N934" s="10" t="s">
        <v>36</v>
      </c>
      <c r="O934" s="10" t="s">
        <v>117</v>
      </c>
      <c r="P934" s="10" t="s">
        <v>2562</v>
      </c>
      <c r="Q934" s="13"/>
      <c r="R934" s="13"/>
      <c r="S934" s="13"/>
      <c r="T934" s="13"/>
      <c r="U934" s="13"/>
      <c r="V934" s="13"/>
      <c r="W934" s="16"/>
      <c r="X934" s="13"/>
    </row>
    <row r="935" ht="14.25" customHeight="1">
      <c r="A935" s="10" t="s">
        <v>2502</v>
      </c>
      <c r="B935" s="10" t="s">
        <v>31</v>
      </c>
      <c r="C935" s="10">
        <v>938.0</v>
      </c>
      <c r="D935" s="11" t="s">
        <v>2563</v>
      </c>
      <c r="E935" s="11" t="s">
        <v>2564</v>
      </c>
      <c r="F935" s="11" t="s">
        <v>803</v>
      </c>
      <c r="G935" s="10">
        <v>938.0</v>
      </c>
      <c r="H935" s="10">
        <f>VLOOKUP(F935,'Generos y Familia'!$A$1:$C$623,2,FALSE)</f>
        <v>23</v>
      </c>
      <c r="I935" s="12" t="str">
        <f t="shared" si="1"/>
        <v>Rhododendron simsii</v>
      </c>
      <c r="J935" s="10" t="str">
        <f t="shared" si="2"/>
        <v>938 Rhododendron simsii</v>
      </c>
      <c r="K935" s="10" t="str">
        <f t="shared" si="3"/>
        <v>Azalea; Biflora; Miflora</v>
      </c>
      <c r="L935" s="10" t="str">
        <f t="shared" si="4"/>
        <v>938 Azalea; Biflora; Miflora</v>
      </c>
      <c r="M935" s="10" t="s">
        <v>46</v>
      </c>
      <c r="N935" s="10" t="s">
        <v>36</v>
      </c>
      <c r="O935" s="10" t="s">
        <v>47</v>
      </c>
      <c r="P935" s="10" t="s">
        <v>2565</v>
      </c>
      <c r="Q935" s="17" t="s">
        <v>153</v>
      </c>
      <c r="R935" s="14"/>
      <c r="S935" s="17" t="s">
        <v>379</v>
      </c>
      <c r="T935" s="14"/>
      <c r="U935" s="14" t="s">
        <v>40</v>
      </c>
      <c r="V935" s="14"/>
      <c r="W935" s="18"/>
      <c r="X935" s="14" t="s">
        <v>41</v>
      </c>
    </row>
    <row r="936" ht="14.25" customHeight="1">
      <c r="A936" s="10" t="s">
        <v>2502</v>
      </c>
      <c r="B936" s="10" t="s">
        <v>31</v>
      </c>
      <c r="C936" s="10">
        <v>939.0</v>
      </c>
      <c r="D936" s="11" t="s">
        <v>2566</v>
      </c>
      <c r="E936" s="11" t="s">
        <v>2567</v>
      </c>
      <c r="F936" s="11" t="s">
        <v>158</v>
      </c>
      <c r="G936" s="10">
        <v>939.0</v>
      </c>
      <c r="H936" s="10">
        <f>VLOOKUP(F936,'Generos y Familia'!$A$1:$C$623,2,FALSE)</f>
        <v>35</v>
      </c>
      <c r="I936" s="12" t="str">
        <f t="shared" si="1"/>
        <v>Rhodostemonodaphne kunthiana</v>
      </c>
      <c r="J936" s="10" t="str">
        <f t="shared" si="2"/>
        <v>939 Rhodostemonodaphne kunthiana</v>
      </c>
      <c r="K936" s="10" t="str">
        <f t="shared" si="3"/>
        <v>Laurel; Jigua Baboso; Jigua Laurel; Jigua Negro; Jigua Pava; Aguacatillo Gigante</v>
      </c>
      <c r="L936" s="10" t="str">
        <f t="shared" si="4"/>
        <v>939 Laurel; Jigua Baboso; Jigua Laurel; Jigua Negro; Jigua Pava; Aguacatillo Gigante</v>
      </c>
      <c r="M936" s="10" t="s">
        <v>35</v>
      </c>
      <c r="N936" s="10" t="s">
        <v>36</v>
      </c>
      <c r="O936" s="10" t="s">
        <v>37</v>
      </c>
      <c r="P936" s="10" t="s">
        <v>2568</v>
      </c>
      <c r="Q936" s="13"/>
      <c r="R936" s="13"/>
      <c r="S936" s="13"/>
      <c r="T936" s="13"/>
      <c r="U936" s="13"/>
      <c r="V936" s="13"/>
      <c r="W936" s="13"/>
      <c r="X936" s="13"/>
    </row>
    <row r="937" ht="14.25" customHeight="1">
      <c r="A937" s="10" t="s">
        <v>2502</v>
      </c>
      <c r="B937" s="10" t="s">
        <v>31</v>
      </c>
      <c r="C937" s="10">
        <v>940.0</v>
      </c>
      <c r="D937" s="11" t="s">
        <v>2569</v>
      </c>
      <c r="E937" s="11" t="s">
        <v>2570</v>
      </c>
      <c r="F937" s="11" t="s">
        <v>116</v>
      </c>
      <c r="G937" s="10">
        <v>940.0</v>
      </c>
      <c r="H937" s="10">
        <f>VLOOKUP(F937,'Generos y Familia'!$A$1:$C$623,2,FALSE)</f>
        <v>14</v>
      </c>
      <c r="I937" s="12" t="str">
        <f t="shared" si="1"/>
        <v>Rhopalostylis sapida</v>
      </c>
      <c r="J937" s="10" t="str">
        <f t="shared" si="2"/>
        <v>940 Rhopalostylis sapida</v>
      </c>
      <c r="K937" s="10" t="str">
        <f t="shared" si="3"/>
        <v>Rhopalostylis Sapida</v>
      </c>
      <c r="L937" s="10" t="str">
        <f t="shared" si="4"/>
        <v>940 Rhopalostylis Sapida</v>
      </c>
      <c r="M937" s="10" t="s">
        <v>46</v>
      </c>
      <c r="N937" s="10"/>
      <c r="O937" s="10"/>
      <c r="P937" s="10" t="s">
        <v>2571</v>
      </c>
      <c r="Q937" s="13"/>
      <c r="R937" s="13"/>
      <c r="S937" s="13"/>
      <c r="T937" s="13"/>
      <c r="U937" s="13"/>
      <c r="V937" s="13"/>
      <c r="W937" s="13"/>
      <c r="X937" s="13"/>
    </row>
    <row r="938" ht="14.25" customHeight="1">
      <c r="A938" s="10" t="s">
        <v>2502</v>
      </c>
      <c r="B938" s="10" t="s">
        <v>31</v>
      </c>
      <c r="C938" s="10">
        <v>941.0</v>
      </c>
      <c r="D938" s="11" t="s">
        <v>2572</v>
      </c>
      <c r="E938" s="11" t="s">
        <v>2573</v>
      </c>
      <c r="F938" s="11" t="s">
        <v>258</v>
      </c>
      <c r="G938" s="10">
        <v>941.0</v>
      </c>
      <c r="H938" s="10">
        <f>VLOOKUP(F938,'Generos y Familia'!$A$1:$C$623,2,FALSE)</f>
        <v>7</v>
      </c>
      <c r="I938" s="12" t="str">
        <f t="shared" si="1"/>
        <v>Rhus glabra</v>
      </c>
      <c r="J938" s="10" t="str">
        <f t="shared" si="2"/>
        <v>941 Rhus glabra</v>
      </c>
      <c r="K938" s="10" t="str">
        <f t="shared" si="3"/>
        <v>Rhus Glabra</v>
      </c>
      <c r="L938" s="10" t="str">
        <f t="shared" si="4"/>
        <v>941 Rhus Glabra</v>
      </c>
      <c r="M938" s="10" t="s">
        <v>46</v>
      </c>
      <c r="N938" s="10" t="s">
        <v>28</v>
      </c>
      <c r="O938" s="10"/>
      <c r="P938" s="10" t="s">
        <v>2574</v>
      </c>
      <c r="Q938" s="13"/>
      <c r="R938" s="13"/>
      <c r="S938" s="13"/>
      <c r="T938" s="13"/>
      <c r="U938" s="13"/>
      <c r="V938" s="13"/>
      <c r="W938" s="13"/>
      <c r="X938" s="13"/>
    </row>
    <row r="939" ht="14.25" customHeight="1">
      <c r="A939" s="10" t="s">
        <v>2502</v>
      </c>
      <c r="B939" s="10" t="s">
        <v>31</v>
      </c>
      <c r="C939" s="10">
        <v>942.0</v>
      </c>
      <c r="D939" s="11" t="s">
        <v>2575</v>
      </c>
      <c r="E939" s="11" t="s">
        <v>2576</v>
      </c>
      <c r="F939" s="11" t="s">
        <v>258</v>
      </c>
      <c r="G939" s="10">
        <v>942.0</v>
      </c>
      <c r="H939" s="10">
        <f>VLOOKUP(F939,'Generos y Familia'!$A$1:$C$623,2,FALSE)</f>
        <v>7</v>
      </c>
      <c r="I939" s="12" t="str">
        <f t="shared" si="1"/>
        <v>Rhus virens</v>
      </c>
      <c r="J939" s="10" t="str">
        <f t="shared" si="2"/>
        <v>942 Rhus virens</v>
      </c>
      <c r="K939" s="10" t="str">
        <f t="shared" si="3"/>
        <v>Rhus Virens</v>
      </c>
      <c r="L939" s="10" t="str">
        <f t="shared" si="4"/>
        <v>942 Rhus Virens</v>
      </c>
      <c r="M939" s="10" t="s">
        <v>46</v>
      </c>
      <c r="N939" s="10"/>
      <c r="O939" s="10"/>
      <c r="P939" s="10" t="s">
        <v>2574</v>
      </c>
      <c r="Q939" s="13"/>
      <c r="R939" s="13"/>
      <c r="S939" s="13"/>
      <c r="T939" s="13"/>
      <c r="U939" s="13"/>
      <c r="V939" s="13"/>
      <c r="W939" s="13"/>
      <c r="X939" s="13"/>
    </row>
    <row r="940" ht="14.25" customHeight="1">
      <c r="A940" s="10" t="s">
        <v>2502</v>
      </c>
      <c r="B940" s="10" t="s">
        <v>31</v>
      </c>
      <c r="C940" s="10">
        <v>943.0</v>
      </c>
      <c r="D940" s="11" t="s">
        <v>2577</v>
      </c>
      <c r="E940" s="11" t="s">
        <v>2578</v>
      </c>
      <c r="F940" s="11" t="s">
        <v>82</v>
      </c>
      <c r="G940" s="10">
        <v>943.0</v>
      </c>
      <c r="H940" s="10">
        <f>VLOOKUP(F940,'Generos y Familia'!$A$1:$C$623,2,FALSE)</f>
        <v>26</v>
      </c>
      <c r="I940" s="12" t="str">
        <f t="shared" si="1"/>
        <v>Ricinus communis</v>
      </c>
      <c r="J940" s="10" t="str">
        <f t="shared" si="2"/>
        <v>943 Ricinus communis</v>
      </c>
      <c r="K940" s="10" t="str">
        <f t="shared" si="3"/>
        <v>Higuerilla; Higuerillo; Higuereta; Higuereto; Higuerillo Blanco</v>
      </c>
      <c r="L940" s="10" t="str">
        <f t="shared" si="4"/>
        <v>943 Higuerilla; Higuerillo; Higuereta; Higuereto; Higuerillo Blanco</v>
      </c>
      <c r="M940" s="10" t="s">
        <v>46</v>
      </c>
      <c r="N940" s="10" t="s">
        <v>36</v>
      </c>
      <c r="O940" s="10" t="s">
        <v>47</v>
      </c>
      <c r="P940" s="10" t="s">
        <v>2579</v>
      </c>
      <c r="Q940" s="17" t="s">
        <v>379</v>
      </c>
      <c r="R940" s="14" t="s">
        <v>39</v>
      </c>
      <c r="S940" s="17" t="s">
        <v>442</v>
      </c>
      <c r="T940" s="14" t="s">
        <v>39</v>
      </c>
      <c r="U940" s="14" t="s">
        <v>55</v>
      </c>
      <c r="V940" s="14"/>
      <c r="W940" s="17"/>
      <c r="X940" s="14"/>
    </row>
    <row r="941" ht="14.25" customHeight="1">
      <c r="A941" s="10" t="s">
        <v>2502</v>
      </c>
      <c r="B941" s="10" t="s">
        <v>31</v>
      </c>
      <c r="C941" s="10">
        <v>944.0</v>
      </c>
      <c r="D941" s="11" t="s">
        <v>2580</v>
      </c>
      <c r="E941" s="11" t="s">
        <v>2581</v>
      </c>
      <c r="F941" s="11" t="s">
        <v>286</v>
      </c>
      <c r="G941" s="10">
        <v>944.0</v>
      </c>
      <c r="H941" s="10">
        <f>VLOOKUP(F941,'Generos y Familia'!$A$1:$C$623,2,FALSE)</f>
        <v>8</v>
      </c>
      <c r="I941" s="12" t="str">
        <f t="shared" si="1"/>
        <v>Rollinia membranacea</v>
      </c>
      <c r="J941" s="10" t="str">
        <f t="shared" si="2"/>
        <v>944 Rollinia membranacea</v>
      </c>
      <c r="K941" s="10" t="str">
        <f t="shared" si="3"/>
        <v>Anón; Anón de Monte; Anón Cimarón; Majagua</v>
      </c>
      <c r="L941" s="10" t="str">
        <f t="shared" si="4"/>
        <v>944 Anón; Anón de Monte; Anón Cimarón; Majagua</v>
      </c>
      <c r="M941" s="10" t="s">
        <v>35</v>
      </c>
      <c r="N941" s="10" t="s">
        <v>36</v>
      </c>
      <c r="O941" s="10" t="s">
        <v>37</v>
      </c>
      <c r="P941" s="10" t="s">
        <v>2582</v>
      </c>
      <c r="Q941" s="13"/>
      <c r="R941" s="13"/>
      <c r="S941" s="13" t="s">
        <v>2583</v>
      </c>
      <c r="T941" s="13"/>
      <c r="U941" s="13"/>
      <c r="V941" s="13"/>
      <c r="W941" s="13"/>
      <c r="X941" s="13"/>
    </row>
    <row r="942" ht="14.25" customHeight="1">
      <c r="A942" s="10" t="s">
        <v>2502</v>
      </c>
      <c r="B942" s="10" t="s">
        <v>31</v>
      </c>
      <c r="C942" s="10">
        <v>945.0</v>
      </c>
      <c r="D942" s="11" t="s">
        <v>2584</v>
      </c>
      <c r="E942" s="11" t="s">
        <v>2585</v>
      </c>
      <c r="F942" s="11" t="s">
        <v>1105</v>
      </c>
      <c r="G942" s="10">
        <v>945.0</v>
      </c>
      <c r="H942" s="10">
        <f>VLOOKUP(F942,'Generos y Familia'!$A$1:$C$623,2,FALSE)</f>
        <v>78</v>
      </c>
      <c r="I942" s="12" t="str">
        <f t="shared" si="1"/>
        <v>Rosa chinensis</v>
      </c>
      <c r="J942" s="10" t="str">
        <f t="shared" si="2"/>
        <v>945 Rosa chinensis</v>
      </c>
      <c r="K942" s="10" t="str">
        <f t="shared" si="3"/>
        <v>Rosa</v>
      </c>
      <c r="L942" s="10" t="str">
        <f t="shared" si="4"/>
        <v>945 Rosa</v>
      </c>
      <c r="M942" s="10" t="s">
        <v>46</v>
      </c>
      <c r="N942" s="10" t="s">
        <v>36</v>
      </c>
      <c r="O942" s="10" t="s">
        <v>47</v>
      </c>
      <c r="P942" s="10" t="s">
        <v>2585</v>
      </c>
      <c r="Q942" s="13"/>
      <c r="R942" s="13"/>
      <c r="S942" s="13"/>
      <c r="T942" s="13"/>
      <c r="U942" s="13"/>
      <c r="V942" s="13"/>
      <c r="W942" s="13"/>
      <c r="X942" s="13"/>
    </row>
    <row r="943" ht="14.25" customHeight="1">
      <c r="A943" s="10" t="s">
        <v>2502</v>
      </c>
      <c r="B943" s="10" t="s">
        <v>31</v>
      </c>
      <c r="C943" s="10">
        <v>946.0</v>
      </c>
      <c r="D943" s="11" t="s">
        <v>2586</v>
      </c>
      <c r="E943" s="11" t="s">
        <v>2587</v>
      </c>
      <c r="F943" s="11" t="s">
        <v>1105</v>
      </c>
      <c r="G943" s="10">
        <v>946.0</v>
      </c>
      <c r="H943" s="10">
        <f>VLOOKUP(F943,'Generos y Familia'!$A$1:$C$623,2,FALSE)</f>
        <v>78</v>
      </c>
      <c r="I943" s="12" t="str">
        <f t="shared" si="1"/>
        <v>Rosa cinnamomea L</v>
      </c>
      <c r="J943" s="10" t="str">
        <f t="shared" si="2"/>
        <v>946 Rosa cinnamomea L</v>
      </c>
      <c r="K943" s="10" t="str">
        <f t="shared" si="3"/>
        <v>Rosa Alpina</v>
      </c>
      <c r="L943" s="10" t="str">
        <f t="shared" si="4"/>
        <v>946 Rosa Alpina</v>
      </c>
      <c r="M943" s="10" t="s">
        <v>46</v>
      </c>
      <c r="N943" s="10" t="s">
        <v>28</v>
      </c>
      <c r="O943" s="10" t="s">
        <v>47</v>
      </c>
      <c r="P943" s="10" t="s">
        <v>2585</v>
      </c>
      <c r="Q943" s="13"/>
      <c r="R943" s="13"/>
      <c r="S943" s="13"/>
      <c r="T943" s="13"/>
      <c r="U943" s="13"/>
      <c r="V943" s="13"/>
      <c r="W943" s="16"/>
      <c r="X943" s="13"/>
    </row>
    <row r="944" ht="14.25" customHeight="1">
      <c r="A944" s="10" t="s">
        <v>2502</v>
      </c>
      <c r="B944" s="10" t="s">
        <v>31</v>
      </c>
      <c r="C944" s="10">
        <v>947.0</v>
      </c>
      <c r="D944" s="11" t="s">
        <v>2588</v>
      </c>
      <c r="E944" s="11" t="s">
        <v>2585</v>
      </c>
      <c r="F944" s="11" t="s">
        <v>1105</v>
      </c>
      <c r="G944" s="10">
        <v>947.0</v>
      </c>
      <c r="H944" s="10">
        <f>VLOOKUP(F944,'Generos y Familia'!$A$1:$C$623,2,FALSE)</f>
        <v>78</v>
      </c>
      <c r="I944" s="12" t="str">
        <f t="shared" si="1"/>
        <v>Rosa pendulina</v>
      </c>
      <c r="J944" s="10" t="str">
        <f t="shared" si="2"/>
        <v>947 Rosa pendulina</v>
      </c>
      <c r="K944" s="10" t="str">
        <f t="shared" si="3"/>
        <v>Rosa</v>
      </c>
      <c r="L944" s="10" t="str">
        <f t="shared" si="4"/>
        <v>947 Rosa</v>
      </c>
      <c r="M944" s="10" t="s">
        <v>46</v>
      </c>
      <c r="N944" s="10" t="s">
        <v>28</v>
      </c>
      <c r="O944" s="10"/>
      <c r="P944" s="10" t="s">
        <v>2585</v>
      </c>
      <c r="Q944" s="13"/>
      <c r="R944" s="13"/>
      <c r="S944" s="13"/>
      <c r="T944" s="13"/>
      <c r="U944" s="13"/>
      <c r="V944" s="13"/>
      <c r="W944" s="13"/>
      <c r="X944" s="13"/>
    </row>
    <row r="945" ht="14.25" customHeight="1">
      <c r="A945" s="10" t="s">
        <v>2502</v>
      </c>
      <c r="B945" s="10" t="s">
        <v>31</v>
      </c>
      <c r="C945" s="10">
        <v>948.0</v>
      </c>
      <c r="D945" s="11" t="s">
        <v>2589</v>
      </c>
      <c r="E945" s="11" t="s">
        <v>2590</v>
      </c>
      <c r="F945" s="11" t="s">
        <v>1105</v>
      </c>
      <c r="G945" s="10">
        <v>948.0</v>
      </c>
      <c r="H945" s="10">
        <f>VLOOKUP(F945,'Generos y Familia'!$A$1:$C$623,2,FALSE)</f>
        <v>78</v>
      </c>
      <c r="I945" s="12" t="str">
        <f t="shared" si="1"/>
        <v>Rosa multiflora</v>
      </c>
      <c r="J945" s="10" t="str">
        <f t="shared" si="2"/>
        <v>948 Rosa multiflora</v>
      </c>
      <c r="K945" s="10" t="str">
        <f t="shared" si="3"/>
        <v>Rosa de Japón; Rosa Multiflora</v>
      </c>
      <c r="L945" s="10" t="str">
        <f t="shared" si="4"/>
        <v>948 Rosa de Japón; Rosa Multiflora</v>
      </c>
      <c r="M945" s="10" t="s">
        <v>46</v>
      </c>
      <c r="N945" s="10" t="s">
        <v>28</v>
      </c>
      <c r="O945" s="10" t="s">
        <v>47</v>
      </c>
      <c r="P945" s="10" t="s">
        <v>2585</v>
      </c>
      <c r="Q945" s="13"/>
      <c r="R945" s="13"/>
      <c r="S945" s="13"/>
      <c r="T945" s="13"/>
      <c r="U945" s="13"/>
      <c r="V945" s="13"/>
      <c r="W945" s="13"/>
      <c r="X945" s="13"/>
    </row>
    <row r="946" ht="14.25" customHeight="1">
      <c r="A946" s="10" t="s">
        <v>2502</v>
      </c>
      <c r="B946" s="10" t="s">
        <v>31</v>
      </c>
      <c r="C946" s="10">
        <v>949.0</v>
      </c>
      <c r="D946" s="11" t="s">
        <v>2591</v>
      </c>
      <c r="E946" s="11" t="s">
        <v>2585</v>
      </c>
      <c r="F946" s="11" t="s">
        <v>1105</v>
      </c>
      <c r="G946" s="10">
        <v>949.0</v>
      </c>
      <c r="H946" s="10">
        <f>VLOOKUP(F946,'Generos y Familia'!$A$1:$C$623,2,FALSE)</f>
        <v>78</v>
      </c>
      <c r="I946" s="12" t="str">
        <f t="shared" si="1"/>
        <v>Rosa sempervirens</v>
      </c>
      <c r="J946" s="10" t="str">
        <f t="shared" si="2"/>
        <v>949 Rosa sempervirens</v>
      </c>
      <c r="K946" s="10" t="str">
        <f t="shared" si="3"/>
        <v>Rosa</v>
      </c>
      <c r="L946" s="10" t="str">
        <f t="shared" si="4"/>
        <v>949 Rosa</v>
      </c>
      <c r="M946" s="10" t="s">
        <v>46</v>
      </c>
      <c r="N946" s="10"/>
      <c r="O946" s="10" t="s">
        <v>47</v>
      </c>
      <c r="P946" s="10" t="s">
        <v>2585</v>
      </c>
      <c r="Q946" s="13"/>
      <c r="R946" s="13"/>
      <c r="S946" s="13"/>
      <c r="T946" s="13"/>
      <c r="U946" s="13"/>
      <c r="V946" s="13"/>
      <c r="W946" s="13"/>
      <c r="X946" s="13"/>
    </row>
    <row r="947" ht="14.25" customHeight="1">
      <c r="A947" s="10" t="s">
        <v>2502</v>
      </c>
      <c r="B947" s="10" t="s">
        <v>31</v>
      </c>
      <c r="C947" s="10">
        <v>950.0</v>
      </c>
      <c r="D947" s="11" t="s">
        <v>2592</v>
      </c>
      <c r="E947" s="11" t="s">
        <v>2585</v>
      </c>
      <c r="F947" s="11" t="s">
        <v>1105</v>
      </c>
      <c r="G947" s="10">
        <v>950.0</v>
      </c>
      <c r="H947" s="10">
        <f>VLOOKUP(F947,'Generos y Familia'!$A$1:$C$623,2,FALSE)</f>
        <v>78</v>
      </c>
      <c r="I947" s="12" t="str">
        <f t="shared" si="1"/>
        <v>Rosa sp</v>
      </c>
      <c r="J947" s="10" t="str">
        <f t="shared" si="2"/>
        <v>950 Rosa sp</v>
      </c>
      <c r="K947" s="10" t="str">
        <f t="shared" si="3"/>
        <v>Rosa</v>
      </c>
      <c r="L947" s="10" t="str">
        <f t="shared" si="4"/>
        <v>950 Rosa</v>
      </c>
      <c r="M947" s="10" t="s">
        <v>46</v>
      </c>
      <c r="N947" s="10"/>
      <c r="O947" s="10"/>
      <c r="P947" s="10" t="s">
        <v>2585</v>
      </c>
      <c r="Q947" s="13"/>
      <c r="R947" s="13"/>
      <c r="S947" s="13"/>
      <c r="T947" s="13"/>
      <c r="U947" s="13"/>
      <c r="V947" s="13"/>
      <c r="W947" s="13"/>
      <c r="X947" s="13"/>
    </row>
    <row r="948" ht="14.25" customHeight="1">
      <c r="A948" s="10" t="s">
        <v>2502</v>
      </c>
      <c r="B948" s="10" t="s">
        <v>63</v>
      </c>
      <c r="C948" s="10">
        <v>951.0</v>
      </c>
      <c r="D948" s="11" t="s">
        <v>2593</v>
      </c>
      <c r="E948" s="11" t="s">
        <v>2594</v>
      </c>
      <c r="F948" s="11" t="s">
        <v>116</v>
      </c>
      <c r="G948" s="10">
        <v>951.0</v>
      </c>
      <c r="H948" s="10">
        <f>VLOOKUP(F948,'Generos y Familia'!$A$1:$C$623,2,FALSE)</f>
        <v>14</v>
      </c>
      <c r="I948" s="12" t="str">
        <f t="shared" si="1"/>
        <v>Roystonea oleracea</v>
      </c>
      <c r="J948" s="10" t="str">
        <f t="shared" si="2"/>
        <v>951 Roystonea oleracea</v>
      </c>
      <c r="K948" s="10" t="str">
        <f t="shared" si="3"/>
        <v>Mapora; Palma Botella; Palma Mapora; Palma Imperial</v>
      </c>
      <c r="L948" s="10" t="str">
        <f t="shared" si="4"/>
        <v>951 Mapora; Palma Botella; Palma Mapora; Palma Imperial</v>
      </c>
      <c r="M948" s="10" t="s">
        <v>35</v>
      </c>
      <c r="N948" s="10" t="s">
        <v>36</v>
      </c>
      <c r="O948" s="10" t="s">
        <v>117</v>
      </c>
      <c r="P948" s="10" t="s">
        <v>2595</v>
      </c>
      <c r="Q948" s="13"/>
      <c r="R948" s="13"/>
      <c r="S948" s="13"/>
      <c r="T948" s="13"/>
      <c r="U948" s="13"/>
      <c r="V948" s="13"/>
      <c r="W948" s="13"/>
      <c r="X948" s="13"/>
    </row>
    <row r="949" ht="14.25" customHeight="1">
      <c r="A949" s="10" t="s">
        <v>2502</v>
      </c>
      <c r="B949" s="10" t="s">
        <v>31</v>
      </c>
      <c r="C949" s="10">
        <v>952.0</v>
      </c>
      <c r="D949" s="11" t="s">
        <v>2596</v>
      </c>
      <c r="E949" s="11" t="s">
        <v>2597</v>
      </c>
      <c r="F949" s="11" t="s">
        <v>116</v>
      </c>
      <c r="G949" s="10">
        <v>952.0</v>
      </c>
      <c r="H949" s="10">
        <f>VLOOKUP(F949,'Generos y Familia'!$A$1:$C$623,2,FALSE)</f>
        <v>14</v>
      </c>
      <c r="I949" s="12" t="str">
        <f t="shared" si="1"/>
        <v>Roystonea regia</v>
      </c>
      <c r="J949" s="10" t="str">
        <f t="shared" si="2"/>
        <v>952 Roystonea regia</v>
      </c>
      <c r="K949" s="10" t="str">
        <f t="shared" si="3"/>
        <v>Palma Real de Cuba; Palma Real</v>
      </c>
      <c r="L949" s="10" t="str">
        <f t="shared" si="4"/>
        <v>952 Palma Real de Cuba; Palma Real</v>
      </c>
      <c r="M949" s="10" t="s">
        <v>46</v>
      </c>
      <c r="N949" s="10" t="s">
        <v>36</v>
      </c>
      <c r="O949" s="10" t="s">
        <v>117</v>
      </c>
      <c r="P949" s="10" t="s">
        <v>2595</v>
      </c>
      <c r="Q949" s="17" t="s">
        <v>54</v>
      </c>
      <c r="R949" s="14" t="s">
        <v>39</v>
      </c>
      <c r="S949" s="17" t="s">
        <v>2332</v>
      </c>
      <c r="T949" s="14" t="s">
        <v>39</v>
      </c>
      <c r="U949" s="14" t="s">
        <v>55</v>
      </c>
      <c r="V949" s="14"/>
      <c r="W949" s="17"/>
      <c r="X949" s="14"/>
    </row>
    <row r="950" ht="14.25" customHeight="1">
      <c r="A950" s="10" t="s">
        <v>2502</v>
      </c>
      <c r="B950" s="10" t="s">
        <v>31</v>
      </c>
      <c r="C950" s="10">
        <v>953.0</v>
      </c>
      <c r="D950" s="11" t="s">
        <v>2598</v>
      </c>
      <c r="E950" s="11" t="s">
        <v>2599</v>
      </c>
      <c r="F950" s="11" t="s">
        <v>411</v>
      </c>
      <c r="G950" s="10">
        <v>953.0</v>
      </c>
      <c r="H950" s="10">
        <f>VLOOKUP(F950,'Generos y Familia'!$A$1:$C$623,2,FALSE)</f>
        <v>42</v>
      </c>
      <c r="I950" s="12" t="str">
        <f t="shared" si="1"/>
        <v>Ruagea pubescens</v>
      </c>
      <c r="J950" s="10" t="str">
        <f t="shared" si="2"/>
        <v>953 Ruagea pubescens</v>
      </c>
      <c r="K950" s="10" t="str">
        <f t="shared" si="3"/>
        <v>Trompillo; Cedrillo</v>
      </c>
      <c r="L950" s="10" t="str">
        <f t="shared" si="4"/>
        <v>953 Trompillo; Cedrillo</v>
      </c>
      <c r="M950" s="10" t="s">
        <v>35</v>
      </c>
      <c r="N950" s="10" t="s">
        <v>36</v>
      </c>
      <c r="O950" s="10" t="s">
        <v>37</v>
      </c>
      <c r="P950" s="10" t="s">
        <v>2600</v>
      </c>
      <c r="Q950" s="17" t="s">
        <v>229</v>
      </c>
      <c r="R950" s="14"/>
      <c r="S950" s="17" t="s">
        <v>290</v>
      </c>
      <c r="T950" s="14"/>
      <c r="U950" s="14" t="s">
        <v>40</v>
      </c>
      <c r="V950" s="14"/>
      <c r="W950" s="17"/>
      <c r="X950" s="14" t="s">
        <v>41</v>
      </c>
    </row>
    <row r="951" ht="14.25" customHeight="1">
      <c r="A951" s="10" t="s">
        <v>2502</v>
      </c>
      <c r="B951" s="10" t="s">
        <v>31</v>
      </c>
      <c r="C951" s="10">
        <v>954.0</v>
      </c>
      <c r="D951" s="11" t="s">
        <v>2601</v>
      </c>
      <c r="E951" s="11" t="s">
        <v>2602</v>
      </c>
      <c r="F951" s="11" t="s">
        <v>320</v>
      </c>
      <c r="G951" s="10">
        <v>954.0</v>
      </c>
      <c r="H951" s="10">
        <f>VLOOKUP(F951,'Generos y Familia'!$A$1:$C$623,2,FALSE)</f>
        <v>1</v>
      </c>
      <c r="I951" s="12" t="str">
        <f t="shared" si="1"/>
        <v>Ruellia simplex</v>
      </c>
      <c r="J951" s="10" t="str">
        <f t="shared" si="2"/>
        <v>954 Ruellia simplex</v>
      </c>
      <c r="K951" s="10" t="str">
        <f t="shared" si="3"/>
        <v>Petunia Mexicana</v>
      </c>
      <c r="L951" s="10" t="str">
        <f t="shared" si="4"/>
        <v>954 Petunia Mexicana</v>
      </c>
      <c r="M951" s="10" t="s">
        <v>46</v>
      </c>
      <c r="N951" s="10" t="s">
        <v>36</v>
      </c>
      <c r="O951" s="10" t="s">
        <v>47</v>
      </c>
      <c r="P951" s="10" t="s">
        <v>2603</v>
      </c>
      <c r="Q951" s="13"/>
      <c r="R951" s="13"/>
      <c r="S951" s="13"/>
      <c r="T951" s="13"/>
      <c r="U951" s="13"/>
      <c r="V951" s="13"/>
      <c r="W951" s="13"/>
      <c r="X951" s="13"/>
    </row>
    <row r="952" ht="14.25" customHeight="1">
      <c r="A952" s="10" t="s">
        <v>2502</v>
      </c>
      <c r="B952" s="10" t="s">
        <v>31</v>
      </c>
      <c r="C952" s="10">
        <v>955.0</v>
      </c>
      <c r="D952" s="11" t="s">
        <v>2604</v>
      </c>
      <c r="E952" s="11" t="s">
        <v>2604</v>
      </c>
      <c r="F952" s="11" t="s">
        <v>320</v>
      </c>
      <c r="G952" s="10">
        <v>955.0</v>
      </c>
      <c r="H952" s="10">
        <f>VLOOKUP(F952,'Generos y Familia'!$A$1:$C$623,2,FALSE)</f>
        <v>1</v>
      </c>
      <c r="I952" s="12" t="str">
        <f t="shared" si="1"/>
        <v>Ruellia sp</v>
      </c>
      <c r="J952" s="10" t="str">
        <f t="shared" si="2"/>
        <v>955 Ruellia sp</v>
      </c>
      <c r="K952" s="10" t="str">
        <f t="shared" si="3"/>
        <v>Ruellia sp</v>
      </c>
      <c r="L952" s="10" t="str">
        <f t="shared" si="4"/>
        <v>955 Ruellia sp</v>
      </c>
      <c r="M952" s="10" t="s">
        <v>46</v>
      </c>
      <c r="N952" s="10"/>
      <c r="O952" s="10"/>
      <c r="P952" s="10" t="s">
        <v>2603</v>
      </c>
      <c r="Q952" s="13"/>
      <c r="R952" s="13"/>
      <c r="S952" s="13"/>
      <c r="T952" s="13"/>
      <c r="U952" s="13"/>
      <c r="V952" s="13"/>
      <c r="W952" s="16"/>
      <c r="X952" s="13"/>
    </row>
    <row r="953" ht="14.25" customHeight="1">
      <c r="A953" s="10" t="s">
        <v>2502</v>
      </c>
      <c r="B953" s="10" t="s">
        <v>31</v>
      </c>
      <c r="C953" s="10">
        <v>956.0</v>
      </c>
      <c r="D953" s="11" t="s">
        <v>2605</v>
      </c>
      <c r="E953" s="11" t="s">
        <v>2606</v>
      </c>
      <c r="F953" s="11" t="s">
        <v>116</v>
      </c>
      <c r="G953" s="10">
        <v>956.0</v>
      </c>
      <c r="H953" s="10">
        <f>VLOOKUP(F953,'Generos y Familia'!$A$1:$C$623,2,FALSE)</f>
        <v>14</v>
      </c>
      <c r="I953" s="12" t="str">
        <f t="shared" si="1"/>
        <v>Sabal domingensis</v>
      </c>
      <c r="J953" s="10" t="str">
        <f t="shared" si="2"/>
        <v>956 Sabal domingensis</v>
      </c>
      <c r="K953" s="10" t="str">
        <f t="shared" si="3"/>
        <v>Palma Cana</v>
      </c>
      <c r="L953" s="10" t="str">
        <f t="shared" si="4"/>
        <v>956 Palma Cana</v>
      </c>
      <c r="M953" s="10" t="s">
        <v>46</v>
      </c>
      <c r="N953" s="10" t="s">
        <v>36</v>
      </c>
      <c r="O953" s="10" t="s">
        <v>117</v>
      </c>
      <c r="P953" s="10" t="s">
        <v>2607</v>
      </c>
      <c r="Q953" s="13"/>
      <c r="R953" s="13"/>
      <c r="S953" s="13"/>
      <c r="T953" s="13"/>
      <c r="U953" s="13"/>
      <c r="V953" s="13"/>
      <c r="W953" s="13"/>
      <c r="X953" s="13"/>
    </row>
    <row r="954" ht="14.25" customHeight="1">
      <c r="A954" s="10" t="s">
        <v>2502</v>
      </c>
      <c r="B954" s="10" t="s">
        <v>31</v>
      </c>
      <c r="C954" s="10">
        <v>957.0</v>
      </c>
      <c r="D954" s="11" t="s">
        <v>2608</v>
      </c>
      <c r="E954" s="11" t="s">
        <v>2609</v>
      </c>
      <c r="F954" s="11" t="s">
        <v>116</v>
      </c>
      <c r="G954" s="10">
        <v>957.0</v>
      </c>
      <c r="H954" s="10">
        <f>VLOOKUP(F954,'Generos y Familia'!$A$1:$C$623,2,FALSE)</f>
        <v>14</v>
      </c>
      <c r="I954" s="12" t="str">
        <f t="shared" si="1"/>
        <v>Sabal mauritiiformis</v>
      </c>
      <c r="J954" s="10" t="str">
        <f t="shared" si="2"/>
        <v>957 Sabal mauritiiformis</v>
      </c>
      <c r="K954" s="10" t="str">
        <f t="shared" si="3"/>
        <v>Palmiche; Palma Amarga; Palmiche; Palmito; Calicá; Palmicho</v>
      </c>
      <c r="L954" s="10" t="str">
        <f t="shared" si="4"/>
        <v>957 Palmiche; Palma Amarga; Palmiche; Palmito; Calicá; Palmicho</v>
      </c>
      <c r="M954" s="10" t="s">
        <v>35</v>
      </c>
      <c r="N954" s="10" t="s">
        <v>36</v>
      </c>
      <c r="O954" s="10" t="s">
        <v>117</v>
      </c>
      <c r="P954" s="10" t="s">
        <v>2607</v>
      </c>
      <c r="Q954" s="13"/>
      <c r="R954" s="13"/>
      <c r="S954" s="13"/>
      <c r="T954" s="13"/>
      <c r="U954" s="13"/>
      <c r="V954" s="13"/>
      <c r="W954" s="13"/>
      <c r="X954" s="13"/>
    </row>
    <row r="955" ht="14.25" customHeight="1">
      <c r="A955" s="10" t="s">
        <v>2502</v>
      </c>
      <c r="B955" s="10" t="s">
        <v>31</v>
      </c>
      <c r="C955" s="10">
        <v>958.0</v>
      </c>
      <c r="D955" s="11" t="s">
        <v>2610</v>
      </c>
      <c r="E955" s="11" t="s">
        <v>2611</v>
      </c>
      <c r="F955" s="11" t="s">
        <v>116</v>
      </c>
      <c r="G955" s="10">
        <v>958.0</v>
      </c>
      <c r="H955" s="10">
        <f>VLOOKUP(F955,'Generos y Familia'!$A$1:$C$623,2,FALSE)</f>
        <v>14</v>
      </c>
      <c r="I955" s="12" t="str">
        <f t="shared" si="1"/>
        <v>Sabal palmetto</v>
      </c>
      <c r="J955" s="10" t="str">
        <f t="shared" si="2"/>
        <v>958 Sabal palmetto</v>
      </c>
      <c r="K955" s="10" t="str">
        <f t="shared" si="3"/>
        <v>Sabal; Palmicha</v>
      </c>
      <c r="L955" s="10" t="str">
        <f t="shared" si="4"/>
        <v>958 Sabal; Palmicha</v>
      </c>
      <c r="M955" s="10" t="s">
        <v>46</v>
      </c>
      <c r="N955" s="10" t="s">
        <v>36</v>
      </c>
      <c r="O955" s="10" t="s">
        <v>117</v>
      </c>
      <c r="P955" s="10" t="s">
        <v>2607</v>
      </c>
      <c r="Q955" s="13"/>
      <c r="R955" s="13"/>
      <c r="S955" s="13"/>
      <c r="T955" s="13"/>
      <c r="U955" s="13"/>
      <c r="V955" s="13"/>
      <c r="W955" s="13"/>
      <c r="X955" s="13"/>
    </row>
    <row r="956" ht="14.25" customHeight="1">
      <c r="A956" s="10" t="s">
        <v>2502</v>
      </c>
      <c r="B956" s="10" t="s">
        <v>31</v>
      </c>
      <c r="C956" s="10">
        <v>959.0</v>
      </c>
      <c r="D956" s="11" t="s">
        <v>2612</v>
      </c>
      <c r="E956" s="11" t="s">
        <v>2613</v>
      </c>
      <c r="F956" s="11" t="s">
        <v>116</v>
      </c>
      <c r="G956" s="10">
        <v>959.0</v>
      </c>
      <c r="H956" s="10">
        <f>VLOOKUP(F956,'Generos y Familia'!$A$1:$C$623,2,FALSE)</f>
        <v>14</v>
      </c>
      <c r="I956" s="12" t="str">
        <f t="shared" si="1"/>
        <v>Salacca zalacca</v>
      </c>
      <c r="J956" s="10" t="str">
        <f t="shared" si="2"/>
        <v>959 Salacca zalacca</v>
      </c>
      <c r="K956" s="10" t="str">
        <f t="shared" si="3"/>
        <v>Zalac</v>
      </c>
      <c r="L956" s="10" t="str">
        <f t="shared" si="4"/>
        <v>959 Zalac</v>
      </c>
      <c r="M956" s="10" t="s">
        <v>46</v>
      </c>
      <c r="N956" s="10"/>
      <c r="O956" s="10" t="s">
        <v>47</v>
      </c>
      <c r="P956" s="10" t="s">
        <v>2614</v>
      </c>
      <c r="Q956" s="13"/>
      <c r="R956" s="13"/>
      <c r="S956" s="13"/>
      <c r="T956" s="13"/>
      <c r="U956" s="13"/>
      <c r="V956" s="13"/>
      <c r="W956" s="13"/>
      <c r="X956" s="13"/>
    </row>
    <row r="957" ht="14.25" customHeight="1">
      <c r="A957" s="10" t="s">
        <v>2502</v>
      </c>
      <c r="B957" s="10" t="s">
        <v>31</v>
      </c>
      <c r="C957" s="10">
        <v>960.0</v>
      </c>
      <c r="D957" s="11" t="s">
        <v>2615</v>
      </c>
      <c r="E957" s="11" t="s">
        <v>2616</v>
      </c>
      <c r="F957" s="11" t="s">
        <v>762</v>
      </c>
      <c r="G957" s="10">
        <v>960.0</v>
      </c>
      <c r="H957" s="10">
        <f>VLOOKUP(F957,'Generos y Familia'!$A$1:$C$623,2,FALSE)</f>
        <v>82</v>
      </c>
      <c r="I957" s="12" t="str">
        <f t="shared" si="1"/>
        <v>Salix babylonica</v>
      </c>
      <c r="J957" s="10" t="str">
        <f t="shared" si="2"/>
        <v>960 Salix babylonica</v>
      </c>
      <c r="K957" s="10" t="str">
        <f t="shared" si="3"/>
        <v>Sauce Llorón</v>
      </c>
      <c r="L957" s="10" t="str">
        <f t="shared" si="4"/>
        <v>960 Sauce Llorón</v>
      </c>
      <c r="M957" s="10" t="s">
        <v>46</v>
      </c>
      <c r="N957" s="10" t="s">
        <v>36</v>
      </c>
      <c r="O957" s="10" t="s">
        <v>37</v>
      </c>
      <c r="P957" s="10" t="s">
        <v>2617</v>
      </c>
      <c r="Q957" s="17" t="s">
        <v>106</v>
      </c>
      <c r="R957" s="14"/>
      <c r="S957" s="17" t="s">
        <v>821</v>
      </c>
      <c r="T957" s="14"/>
      <c r="U957" s="14" t="s">
        <v>55</v>
      </c>
      <c r="V957" s="14"/>
      <c r="W957" s="17"/>
      <c r="X957" s="14" t="s">
        <v>41</v>
      </c>
    </row>
    <row r="958" ht="14.25" customHeight="1">
      <c r="A958" s="10" t="s">
        <v>2502</v>
      </c>
      <c r="B958" s="10" t="s">
        <v>31</v>
      </c>
      <c r="C958" s="10">
        <v>961.0</v>
      </c>
      <c r="D958" s="11" t="s">
        <v>2618</v>
      </c>
      <c r="E958" s="11" t="s">
        <v>2619</v>
      </c>
      <c r="F958" s="11" t="s">
        <v>762</v>
      </c>
      <c r="G958" s="10">
        <v>961.0</v>
      </c>
      <c r="H958" s="10">
        <f>VLOOKUP(F958,'Generos y Familia'!$A$1:$C$623,2,FALSE)</f>
        <v>82</v>
      </c>
      <c r="I958" s="12" t="str">
        <f t="shared" si="1"/>
        <v>Salix humboldtiana</v>
      </c>
      <c r="J958" s="10" t="str">
        <f t="shared" si="2"/>
        <v>961 Salix humboldtiana</v>
      </c>
      <c r="K958" s="10" t="str">
        <f t="shared" si="3"/>
        <v>Sauce Llorón; Sauce; Sauce Macho; Sausa; Sauce Colorado; Icaco</v>
      </c>
      <c r="L958" s="10" t="str">
        <f t="shared" si="4"/>
        <v>961 Sauce Llorón; Sauce; Sauce Macho; Sausa; Sauce Colorado; Icaco</v>
      </c>
      <c r="M958" s="10" t="s">
        <v>35</v>
      </c>
      <c r="N958" s="10" t="s">
        <v>36</v>
      </c>
      <c r="O958" s="10" t="s">
        <v>47</v>
      </c>
      <c r="P958" s="10" t="s">
        <v>2617</v>
      </c>
      <c r="Q958" s="17" t="s">
        <v>229</v>
      </c>
      <c r="R958" s="14" t="s">
        <v>39</v>
      </c>
      <c r="S958" s="17" t="s">
        <v>70</v>
      </c>
      <c r="T958" s="14" t="s">
        <v>39</v>
      </c>
      <c r="U958" s="14" t="s">
        <v>55</v>
      </c>
      <c r="V958" s="14"/>
      <c r="W958" s="17"/>
      <c r="X958" s="14"/>
    </row>
    <row r="959" ht="14.25" customHeight="1">
      <c r="A959" s="10" t="s">
        <v>2502</v>
      </c>
      <c r="B959" s="10" t="s">
        <v>31</v>
      </c>
      <c r="C959" s="10">
        <v>962.0</v>
      </c>
      <c r="D959" s="11" t="s">
        <v>2620</v>
      </c>
      <c r="E959" s="11" t="s">
        <v>2621</v>
      </c>
      <c r="F959" s="11" t="s">
        <v>762</v>
      </c>
      <c r="G959" s="10">
        <v>962.0</v>
      </c>
      <c r="H959" s="10">
        <f>VLOOKUP(F959,'Generos y Familia'!$A$1:$C$623,2,FALSE)</f>
        <v>82</v>
      </c>
      <c r="I959" s="12" t="str">
        <f t="shared" si="1"/>
        <v>Salix nigra</v>
      </c>
      <c r="J959" s="10" t="str">
        <f t="shared" si="2"/>
        <v>962 Salix nigra</v>
      </c>
      <c r="K959" s="10" t="str">
        <f t="shared" si="3"/>
        <v>Sauce Negro</v>
      </c>
      <c r="L959" s="10" t="str">
        <f t="shared" si="4"/>
        <v>962 Sauce Negro</v>
      </c>
      <c r="M959" s="10" t="s">
        <v>46</v>
      </c>
      <c r="N959" s="10" t="s">
        <v>28</v>
      </c>
      <c r="O959" s="10" t="s">
        <v>37</v>
      </c>
      <c r="P959" s="10" t="s">
        <v>2617</v>
      </c>
      <c r="Q959" s="13"/>
      <c r="R959" s="13"/>
      <c r="S959" s="13"/>
      <c r="T959" s="13"/>
      <c r="U959" s="13"/>
      <c r="V959" s="13"/>
      <c r="W959" s="13"/>
      <c r="X959" s="13"/>
    </row>
    <row r="960" ht="14.25" customHeight="1">
      <c r="A960" s="10" t="s">
        <v>2502</v>
      </c>
      <c r="B960" s="10" t="s">
        <v>31</v>
      </c>
      <c r="C960" s="10">
        <v>963.0</v>
      </c>
      <c r="D960" s="11" t="s">
        <v>2622</v>
      </c>
      <c r="E960" s="11" t="s">
        <v>2623</v>
      </c>
      <c r="F960" s="11" t="s">
        <v>136</v>
      </c>
      <c r="G960" s="10">
        <v>963.0</v>
      </c>
      <c r="H960" s="10">
        <f>VLOOKUP(F960,'Generos y Familia'!$A$1:$C$623,2,FALSE)</f>
        <v>34</v>
      </c>
      <c r="I960" s="12" t="str">
        <f t="shared" si="1"/>
        <v>Salvia microphylla</v>
      </c>
      <c r="J960" s="10" t="str">
        <f t="shared" si="2"/>
        <v>963 Salvia microphylla</v>
      </c>
      <c r="K960" s="10" t="str">
        <f t="shared" si="3"/>
        <v>Salvia Rosa</v>
      </c>
      <c r="L960" s="10" t="str">
        <f t="shared" si="4"/>
        <v>963 Salvia Rosa</v>
      </c>
      <c r="M960" s="10" t="s">
        <v>46</v>
      </c>
      <c r="N960" s="10" t="s">
        <v>36</v>
      </c>
      <c r="O960" s="10" t="s">
        <v>47</v>
      </c>
      <c r="P960" s="10" t="s">
        <v>2624</v>
      </c>
      <c r="Q960" s="13"/>
      <c r="R960" s="13"/>
      <c r="S960" s="13"/>
      <c r="T960" s="13"/>
      <c r="U960" s="13"/>
      <c r="V960" s="13"/>
      <c r="W960" s="13"/>
      <c r="X960" s="13"/>
    </row>
    <row r="961" ht="14.25" customHeight="1">
      <c r="A961" s="10" t="s">
        <v>2502</v>
      </c>
      <c r="B961" s="10" t="s">
        <v>31</v>
      </c>
      <c r="C961" s="10">
        <v>964.0</v>
      </c>
      <c r="D961" s="11" t="s">
        <v>2625</v>
      </c>
      <c r="E961" s="11" t="s">
        <v>2626</v>
      </c>
      <c r="F961" s="11" t="s">
        <v>136</v>
      </c>
      <c r="G961" s="10">
        <v>964.0</v>
      </c>
      <c r="H961" s="10">
        <f>VLOOKUP(F961,'Generos y Familia'!$A$1:$C$623,2,FALSE)</f>
        <v>34</v>
      </c>
      <c r="I961" s="12" t="str">
        <f t="shared" si="1"/>
        <v>Salvia splendens</v>
      </c>
      <c r="J961" s="10" t="str">
        <f t="shared" si="2"/>
        <v>964 Salvia splendens</v>
      </c>
      <c r="K961" s="10" t="str">
        <f t="shared" si="3"/>
        <v>Salviarroja; Liberal; Calzón del Diablo; Viudalegre; Liberal</v>
      </c>
      <c r="L961" s="10" t="str">
        <f t="shared" si="4"/>
        <v>964 Salviarroja; Liberal; Calzón del Diablo; Viudalegre; Liberal</v>
      </c>
      <c r="M961" s="10" t="s">
        <v>35</v>
      </c>
      <c r="N961" s="10" t="s">
        <v>36</v>
      </c>
      <c r="O961" s="10" t="s">
        <v>47</v>
      </c>
      <c r="P961" s="10" t="s">
        <v>2624</v>
      </c>
      <c r="Q961" s="13"/>
      <c r="R961" s="13"/>
      <c r="S961" s="13"/>
      <c r="T961" s="13"/>
      <c r="U961" s="13"/>
      <c r="V961" s="13"/>
      <c r="W961" s="13"/>
      <c r="X961" s="13"/>
    </row>
    <row r="962" ht="14.25" customHeight="1">
      <c r="A962" s="10" t="s">
        <v>2502</v>
      </c>
      <c r="B962" s="10" t="s">
        <v>31</v>
      </c>
      <c r="C962" s="10">
        <v>965.0</v>
      </c>
      <c r="D962" s="11" t="s">
        <v>2627</v>
      </c>
      <c r="E962" s="11" t="s">
        <v>2628</v>
      </c>
      <c r="F962" s="11" t="s">
        <v>34</v>
      </c>
      <c r="G962" s="10">
        <v>965.0</v>
      </c>
      <c r="H962" s="10">
        <f>VLOOKUP(F962,'Generos y Familia'!$A$1:$C$623,2,FALSE)</f>
        <v>27</v>
      </c>
      <c r="I962" s="12" t="str">
        <f t="shared" si="1"/>
        <v>Samanea saman</v>
      </c>
      <c r="J962" s="10" t="str">
        <f t="shared" si="2"/>
        <v>965 Samanea saman</v>
      </c>
      <c r="K962" s="10" t="str">
        <f t="shared" si="3"/>
        <v>Samán; Campano; Algarrobillo; Árbol de Lluvia</v>
      </c>
      <c r="L962" s="10" t="str">
        <f t="shared" si="4"/>
        <v>965 Samán; Campano; Algarrobillo; Árbol de Lluvia</v>
      </c>
      <c r="M962" s="10" t="s">
        <v>35</v>
      </c>
      <c r="N962" s="10" t="s">
        <v>36</v>
      </c>
      <c r="O962" s="10" t="s">
        <v>37</v>
      </c>
      <c r="P962" s="10" t="s">
        <v>2629</v>
      </c>
      <c r="Q962" s="13">
        <v>20.0</v>
      </c>
      <c r="R962" s="13" t="s">
        <v>39</v>
      </c>
      <c r="S962" s="13">
        <v>100.0</v>
      </c>
      <c r="T962" s="13" t="s">
        <v>39</v>
      </c>
      <c r="U962" s="13" t="s">
        <v>40</v>
      </c>
      <c r="V962" s="13">
        <v>0.49</v>
      </c>
      <c r="W962" s="13"/>
      <c r="X962" s="13" t="s">
        <v>2630</v>
      </c>
    </row>
    <row r="963" ht="14.25" customHeight="1">
      <c r="A963" s="10" t="s">
        <v>2502</v>
      </c>
      <c r="B963" s="10" t="s">
        <v>31</v>
      </c>
      <c r="C963" s="10">
        <v>966.0</v>
      </c>
      <c r="D963" s="11" t="s">
        <v>2631</v>
      </c>
      <c r="E963" s="11" t="s">
        <v>2632</v>
      </c>
      <c r="F963" s="11" t="s">
        <v>2633</v>
      </c>
      <c r="G963" s="10">
        <v>966.0</v>
      </c>
      <c r="H963" s="11">
        <v>4.0</v>
      </c>
      <c r="I963" s="12" t="str">
        <f t="shared" si="1"/>
        <v>Sambucus nigra</v>
      </c>
      <c r="J963" s="10" t="str">
        <f t="shared" si="2"/>
        <v>966 Sambucus nigra</v>
      </c>
      <c r="K963" s="10" t="str">
        <f t="shared" si="3"/>
        <v>Sauco; Saúco; Sauco de Castilla; Salbuguera; Sabuguera</v>
      </c>
      <c r="L963" s="10" t="str">
        <f t="shared" si="4"/>
        <v>966 Sauco; Saúco; Sauco de Castilla; Salbuguera; Sabuguera</v>
      </c>
      <c r="M963" s="10" t="s">
        <v>46</v>
      </c>
      <c r="N963" s="10" t="s">
        <v>36</v>
      </c>
      <c r="O963" s="10" t="s">
        <v>47</v>
      </c>
      <c r="P963" s="10" t="s">
        <v>2634</v>
      </c>
      <c r="Q963" s="17" t="s">
        <v>379</v>
      </c>
      <c r="R963" s="14"/>
      <c r="S963" s="17" t="s">
        <v>54</v>
      </c>
      <c r="T963" s="14"/>
      <c r="U963" s="14" t="s">
        <v>55</v>
      </c>
      <c r="V963" s="14"/>
      <c r="W963" s="18"/>
      <c r="X963" s="14" t="s">
        <v>41</v>
      </c>
    </row>
    <row r="964" ht="14.25" customHeight="1">
      <c r="A964" s="10" t="s">
        <v>2502</v>
      </c>
      <c r="B964" s="10" t="s">
        <v>31</v>
      </c>
      <c r="C964" s="10">
        <v>967.0</v>
      </c>
      <c r="D964" s="11" t="s">
        <v>2635</v>
      </c>
      <c r="E964" s="11" t="s">
        <v>2636</v>
      </c>
      <c r="F964" s="11" t="s">
        <v>2633</v>
      </c>
      <c r="G964" s="10">
        <v>967.0</v>
      </c>
      <c r="H964" s="11">
        <v>4.0</v>
      </c>
      <c r="I964" s="12" t="str">
        <f t="shared" si="1"/>
        <v>Sambucus peruviana</v>
      </c>
      <c r="J964" s="10" t="str">
        <f t="shared" si="2"/>
        <v>967 Sambucus peruviana</v>
      </c>
      <c r="K964" s="10" t="str">
        <f t="shared" si="3"/>
        <v>Sauco</v>
      </c>
      <c r="L964" s="10" t="str">
        <f t="shared" si="4"/>
        <v>967 Sauco</v>
      </c>
      <c r="M964" s="10" t="s">
        <v>35</v>
      </c>
      <c r="N964" s="10" t="s">
        <v>36</v>
      </c>
      <c r="O964" s="10" t="s">
        <v>47</v>
      </c>
      <c r="P964" s="10" t="s">
        <v>2634</v>
      </c>
      <c r="Q964" s="17" t="s">
        <v>612</v>
      </c>
      <c r="R964" s="14" t="s">
        <v>39</v>
      </c>
      <c r="S964" s="17" t="s">
        <v>457</v>
      </c>
      <c r="T964" s="14" t="s">
        <v>39</v>
      </c>
      <c r="U964" s="14" t="s">
        <v>55</v>
      </c>
      <c r="V964" s="14"/>
      <c r="W964" s="18"/>
      <c r="X964" s="14"/>
    </row>
    <row r="965" ht="14.25" customHeight="1">
      <c r="A965" s="10" t="s">
        <v>2502</v>
      </c>
      <c r="B965" s="10" t="s">
        <v>31</v>
      </c>
      <c r="C965" s="10">
        <v>968.0</v>
      </c>
      <c r="D965" s="11" t="s">
        <v>2637</v>
      </c>
      <c r="E965" s="11" t="s">
        <v>2638</v>
      </c>
      <c r="F965" s="11" t="s">
        <v>320</v>
      </c>
      <c r="G965" s="10">
        <v>968.0</v>
      </c>
      <c r="H965" s="10">
        <f>VLOOKUP(F965,'Generos y Familia'!$A$1:$C$623,2,FALSE)</f>
        <v>1</v>
      </c>
      <c r="I965" s="12" t="str">
        <f t="shared" si="1"/>
        <v>Sanchezia oblonga</v>
      </c>
      <c r="J965" s="10" t="str">
        <f t="shared" si="2"/>
        <v>968 Sanchezia oblonga</v>
      </c>
      <c r="K965" s="10" t="str">
        <f t="shared" si="3"/>
        <v>Espinazo; Afelandra</v>
      </c>
      <c r="L965" s="10" t="str">
        <f t="shared" si="4"/>
        <v>968 Espinazo; Afelandra</v>
      </c>
      <c r="M965" s="10" t="s">
        <v>35</v>
      </c>
      <c r="N965" s="10" t="s">
        <v>36</v>
      </c>
      <c r="O965" s="10" t="s">
        <v>47</v>
      </c>
      <c r="P965" s="10" t="s">
        <v>2639</v>
      </c>
      <c r="Q965" s="17" t="s">
        <v>153</v>
      </c>
      <c r="R965" s="14"/>
      <c r="S965" s="17" t="s">
        <v>612</v>
      </c>
      <c r="T965" s="14"/>
      <c r="U965" s="14" t="s">
        <v>55</v>
      </c>
      <c r="V965" s="14"/>
      <c r="W965" s="18"/>
      <c r="X965" s="14" t="s">
        <v>41</v>
      </c>
    </row>
    <row r="966" ht="14.25" customHeight="1">
      <c r="A966" s="10" t="s">
        <v>2502</v>
      </c>
      <c r="B966" s="10" t="s">
        <v>31</v>
      </c>
      <c r="C966" s="10">
        <v>969.0</v>
      </c>
      <c r="D966" s="11" t="s">
        <v>2640</v>
      </c>
      <c r="E966" s="11" t="s">
        <v>2641</v>
      </c>
      <c r="F966" s="11" t="s">
        <v>320</v>
      </c>
      <c r="G966" s="10">
        <v>969.0</v>
      </c>
      <c r="H966" s="10">
        <f>VLOOKUP(F966,'Generos y Familia'!$A$1:$C$623,2,FALSE)</f>
        <v>1</v>
      </c>
      <c r="I966" s="12" t="str">
        <f t="shared" si="1"/>
        <v>Sanchezia speciosa</v>
      </c>
      <c r="J966" s="10" t="str">
        <f t="shared" si="2"/>
        <v>969 Sanchezia speciosa</v>
      </c>
      <c r="K966" s="10" t="str">
        <f t="shared" si="3"/>
        <v>Cachimbo Amarillo</v>
      </c>
      <c r="L966" s="10" t="str">
        <f t="shared" si="4"/>
        <v>969 Cachimbo Amarillo</v>
      </c>
      <c r="M966" s="10" t="s">
        <v>35</v>
      </c>
      <c r="N966" s="10" t="s">
        <v>36</v>
      </c>
      <c r="O966" s="10" t="s">
        <v>47</v>
      </c>
      <c r="P966" s="10" t="s">
        <v>2639</v>
      </c>
      <c r="Q966" s="13"/>
      <c r="R966" s="13"/>
      <c r="S966" s="13"/>
      <c r="T966" s="13"/>
      <c r="U966" s="13"/>
      <c r="V966" s="13"/>
      <c r="W966" s="13"/>
      <c r="X966" s="13"/>
    </row>
    <row r="967" ht="14.25" customHeight="1">
      <c r="A967" s="10" t="s">
        <v>2502</v>
      </c>
      <c r="B967" s="10" t="s">
        <v>31</v>
      </c>
      <c r="C967" s="10">
        <v>970.0</v>
      </c>
      <c r="D967" s="11" t="s">
        <v>2642</v>
      </c>
      <c r="E967" s="11" t="s">
        <v>2643</v>
      </c>
      <c r="F967" s="11" t="s">
        <v>214</v>
      </c>
      <c r="G967" s="10">
        <v>970.0</v>
      </c>
      <c r="H967" s="10">
        <f>VLOOKUP(F967,'Generos y Familia'!$A$1:$C$623,2,FALSE)</f>
        <v>84</v>
      </c>
      <c r="I967" s="12" t="str">
        <f t="shared" si="1"/>
        <v>Sapindus saponaria</v>
      </c>
      <c r="J967" s="10" t="str">
        <f t="shared" si="2"/>
        <v>970 Sapindus saponaria</v>
      </c>
      <c r="K967" s="10" t="str">
        <f t="shared" si="3"/>
        <v>Chumbimbo; Jaboncillo; Árbol de Jabón; Jabo; Jabón; Chambimbe</v>
      </c>
      <c r="L967" s="10" t="str">
        <f t="shared" si="4"/>
        <v>970 Chumbimbo; Jaboncillo; Árbol de Jabón; Jabo; Jabón; Chambimbe</v>
      </c>
      <c r="M967" s="10" t="s">
        <v>35</v>
      </c>
      <c r="N967" s="10" t="s">
        <v>36</v>
      </c>
      <c r="O967" s="10" t="s">
        <v>37</v>
      </c>
      <c r="P967" s="10" t="s">
        <v>2644</v>
      </c>
      <c r="Q967" s="13"/>
      <c r="R967" s="13"/>
      <c r="S967" s="13"/>
      <c r="T967" s="13"/>
      <c r="U967" s="13"/>
      <c r="V967" s="13"/>
      <c r="W967" s="13"/>
      <c r="X967" s="13"/>
    </row>
    <row r="968" ht="14.25" customHeight="1">
      <c r="A968" s="10" t="s">
        <v>2502</v>
      </c>
      <c r="B968" s="10" t="s">
        <v>31</v>
      </c>
      <c r="C968" s="10">
        <v>971.0</v>
      </c>
      <c r="D968" s="11" t="s">
        <v>2645</v>
      </c>
      <c r="E968" s="11" t="s">
        <v>2646</v>
      </c>
      <c r="F968" s="11" t="s">
        <v>82</v>
      </c>
      <c r="G968" s="10">
        <v>971.0</v>
      </c>
      <c r="H968" s="10">
        <f>VLOOKUP(F968,'Generos y Familia'!$A$1:$C$623,2,FALSE)</f>
        <v>26</v>
      </c>
      <c r="I968" s="12" t="str">
        <f t="shared" si="1"/>
        <v>Sapium aucuparium</v>
      </c>
      <c r="J968" s="10" t="str">
        <f t="shared" si="2"/>
        <v>971 Sapium aucuparium</v>
      </c>
      <c r="K968" s="10" t="str">
        <f t="shared" si="3"/>
        <v>Marañon; Caucho; Ñipi</v>
      </c>
      <c r="L968" s="10" t="str">
        <f t="shared" si="4"/>
        <v>971 Marañon; Caucho; Ñipi</v>
      </c>
      <c r="M968" s="10" t="s">
        <v>46</v>
      </c>
      <c r="N968" s="10" t="s">
        <v>28</v>
      </c>
      <c r="O968" s="10" t="s">
        <v>37</v>
      </c>
      <c r="P968" s="10" t="s">
        <v>2647</v>
      </c>
      <c r="Q968" s="17" t="s">
        <v>229</v>
      </c>
      <c r="R968" s="14"/>
      <c r="S968" s="17" t="s">
        <v>290</v>
      </c>
      <c r="T968" s="14"/>
      <c r="U968" s="14" t="s">
        <v>40</v>
      </c>
      <c r="V968" s="14"/>
      <c r="W968" s="17"/>
      <c r="X968" s="14" t="s">
        <v>41</v>
      </c>
    </row>
    <row r="969" ht="14.25" customHeight="1">
      <c r="A969" s="10" t="s">
        <v>2502</v>
      </c>
      <c r="B969" s="10" t="s">
        <v>31</v>
      </c>
      <c r="C969" s="10">
        <v>972.0</v>
      </c>
      <c r="D969" s="11" t="s">
        <v>2648</v>
      </c>
      <c r="E969" s="11" t="s">
        <v>2649</v>
      </c>
      <c r="F969" s="11" t="s">
        <v>82</v>
      </c>
      <c r="G969" s="10">
        <v>972.0</v>
      </c>
      <c r="H969" s="10">
        <f>VLOOKUP(F969,'Generos y Familia'!$A$1:$C$623,2,FALSE)</f>
        <v>26</v>
      </c>
      <c r="I969" s="12" t="str">
        <f t="shared" si="1"/>
        <v>Sapium sp</v>
      </c>
      <c r="J969" s="10" t="str">
        <f t="shared" si="2"/>
        <v>972 Sapium sp</v>
      </c>
      <c r="K969" s="10" t="str">
        <f t="shared" si="3"/>
        <v>Lechudo</v>
      </c>
      <c r="L969" s="10" t="str">
        <f t="shared" si="4"/>
        <v>972 Lechudo</v>
      </c>
      <c r="M969" s="10" t="s">
        <v>46</v>
      </c>
      <c r="N969" s="10" t="s">
        <v>36</v>
      </c>
      <c r="O969" s="10" t="s">
        <v>37</v>
      </c>
      <c r="P969" s="10" t="s">
        <v>2647</v>
      </c>
      <c r="Q969" s="17" t="s">
        <v>482</v>
      </c>
      <c r="R969" s="14"/>
      <c r="S969" s="17" t="s">
        <v>2078</v>
      </c>
      <c r="T969" s="14"/>
      <c r="U969" s="14" t="s">
        <v>40</v>
      </c>
      <c r="V969" s="14"/>
      <c r="W969" s="18"/>
      <c r="X969" s="14" t="s">
        <v>41</v>
      </c>
    </row>
    <row r="970" ht="14.25" customHeight="1">
      <c r="A970" s="10" t="s">
        <v>2502</v>
      </c>
      <c r="B970" s="10" t="s">
        <v>31</v>
      </c>
      <c r="C970" s="10">
        <v>973.0</v>
      </c>
      <c r="D970" s="11" t="s">
        <v>2650</v>
      </c>
      <c r="E970" s="11" t="s">
        <v>2651</v>
      </c>
      <c r="F970" s="11" t="s">
        <v>2652</v>
      </c>
      <c r="G970" s="10">
        <v>973.0</v>
      </c>
      <c r="H970" s="10">
        <f>VLOOKUP(F970,'Generos y Familia'!$A$1:$C$623,2,FALSE)</f>
        <v>3</v>
      </c>
      <c r="I970" s="12" t="str">
        <f t="shared" si="1"/>
        <v>Saurauia sp</v>
      </c>
      <c r="J970" s="10" t="str">
        <f t="shared" si="2"/>
        <v>973 Saurauia sp</v>
      </c>
      <c r="K970" s="10" t="str">
        <f t="shared" si="3"/>
        <v>Dulomoco; Chupachupa</v>
      </c>
      <c r="L970" s="10" t="str">
        <f t="shared" si="4"/>
        <v>973 Dulomoco; Chupachupa</v>
      </c>
      <c r="M970" s="10" t="s">
        <v>35</v>
      </c>
      <c r="N970" s="10" t="s">
        <v>36</v>
      </c>
      <c r="O970" s="10" t="s">
        <v>37</v>
      </c>
      <c r="P970" s="10" t="s">
        <v>2653</v>
      </c>
      <c r="Q970" s="17" t="s">
        <v>559</v>
      </c>
      <c r="R970" s="14" t="s">
        <v>39</v>
      </c>
      <c r="S970" s="17" t="s">
        <v>379</v>
      </c>
      <c r="T970" s="14" t="s">
        <v>39</v>
      </c>
      <c r="U970" s="14" t="s">
        <v>55</v>
      </c>
      <c r="V970" s="14"/>
      <c r="W970" s="17"/>
      <c r="X970" s="14"/>
    </row>
    <row r="971" ht="14.25" customHeight="1">
      <c r="A971" s="10" t="s">
        <v>2502</v>
      </c>
      <c r="B971" s="10" t="s">
        <v>31</v>
      </c>
      <c r="C971" s="10">
        <v>974.0</v>
      </c>
      <c r="D971" s="11" t="s">
        <v>2654</v>
      </c>
      <c r="E971" s="11" t="s">
        <v>1606</v>
      </c>
      <c r="F971" s="11" t="s">
        <v>324</v>
      </c>
      <c r="G971" s="10">
        <v>974.0</v>
      </c>
      <c r="H971" s="10">
        <f>VLOOKUP(F971,'Generos y Familia'!$A$1:$C$623,2,FALSE)</f>
        <v>12</v>
      </c>
      <c r="I971" s="12" t="str">
        <f t="shared" si="1"/>
        <v>Schefflera actinophylla</v>
      </c>
      <c r="J971" s="10" t="str">
        <f t="shared" si="2"/>
        <v>974 Schefflera actinophylla</v>
      </c>
      <c r="K971" s="10" t="str">
        <f t="shared" si="3"/>
        <v>Schefflera; Cheflera; Pategallina Hojigrande</v>
      </c>
      <c r="L971" s="10" t="str">
        <f t="shared" si="4"/>
        <v>974 Schefflera; Cheflera; Pategallina Hojigrande</v>
      </c>
      <c r="M971" s="10" t="s">
        <v>46</v>
      </c>
      <c r="N971" s="10" t="s">
        <v>36</v>
      </c>
      <c r="O971" s="10" t="s">
        <v>47</v>
      </c>
      <c r="P971" s="10" t="s">
        <v>2655</v>
      </c>
      <c r="Q971" s="17" t="s">
        <v>379</v>
      </c>
      <c r="R971" s="14" t="s">
        <v>39</v>
      </c>
      <c r="S971" s="17" t="s">
        <v>106</v>
      </c>
      <c r="T971" s="14" t="s">
        <v>39</v>
      </c>
      <c r="U971" s="14" t="s">
        <v>55</v>
      </c>
      <c r="V971" s="14">
        <v>0.41</v>
      </c>
      <c r="W971" s="17"/>
      <c r="X971" s="14"/>
    </row>
    <row r="972" ht="14.25" customHeight="1">
      <c r="A972" s="10" t="s">
        <v>2502</v>
      </c>
      <c r="B972" s="10" t="s">
        <v>31</v>
      </c>
      <c r="C972" s="10">
        <v>975.0</v>
      </c>
      <c r="D972" s="11" t="s">
        <v>2656</v>
      </c>
      <c r="E972" s="11" t="s">
        <v>2657</v>
      </c>
      <c r="F972" s="11" t="s">
        <v>324</v>
      </c>
      <c r="G972" s="10">
        <v>975.0</v>
      </c>
      <c r="H972" s="10">
        <f>VLOOKUP(F972,'Generos y Familia'!$A$1:$C$623,2,FALSE)</f>
        <v>12</v>
      </c>
      <c r="I972" s="12" t="str">
        <f t="shared" si="1"/>
        <v>Schefflera arboricola</v>
      </c>
      <c r="J972" s="10" t="str">
        <f t="shared" si="2"/>
        <v>975 Schefflera arboricola</v>
      </c>
      <c r="K972" s="10" t="str">
        <f t="shared" si="3"/>
        <v>Cheflera (Arborícola); Cheflera Enana</v>
      </c>
      <c r="L972" s="10" t="str">
        <f t="shared" si="4"/>
        <v>975 Cheflera (Arborícola); Cheflera Enana</v>
      </c>
      <c r="M972" s="10" t="s">
        <v>46</v>
      </c>
      <c r="N972" s="10" t="s">
        <v>36</v>
      </c>
      <c r="O972" s="10" t="s">
        <v>47</v>
      </c>
      <c r="P972" s="10" t="s">
        <v>2655</v>
      </c>
      <c r="Q972" s="17" t="s">
        <v>612</v>
      </c>
      <c r="R972" s="14"/>
      <c r="S972" s="17" t="s">
        <v>379</v>
      </c>
      <c r="T972" s="14"/>
      <c r="U972" s="14" t="s">
        <v>40</v>
      </c>
      <c r="V972" s="14"/>
      <c r="W972" s="17"/>
      <c r="X972" s="14" t="s">
        <v>41</v>
      </c>
    </row>
    <row r="973" ht="14.25" customHeight="1">
      <c r="A973" s="10" t="s">
        <v>2502</v>
      </c>
      <c r="B973" s="10" t="s">
        <v>31</v>
      </c>
      <c r="C973" s="10">
        <v>976.0</v>
      </c>
      <c r="D973" s="11" t="s">
        <v>2658</v>
      </c>
      <c r="E973" s="11" t="s">
        <v>2659</v>
      </c>
      <c r="F973" s="11" t="s">
        <v>324</v>
      </c>
      <c r="G973" s="10">
        <v>976.0</v>
      </c>
      <c r="H973" s="10">
        <f>VLOOKUP(F973,'Generos y Familia'!$A$1:$C$623,2,FALSE)</f>
        <v>12</v>
      </c>
      <c r="I973" s="12" t="str">
        <f t="shared" si="1"/>
        <v>Schefflera elegantissima</v>
      </c>
      <c r="J973" s="10" t="str">
        <f t="shared" si="2"/>
        <v>976 Schefflera elegantissima</v>
      </c>
      <c r="K973" s="10" t="str">
        <f t="shared" si="3"/>
        <v>Falsa Aralia</v>
      </c>
      <c r="L973" s="10" t="str">
        <f t="shared" si="4"/>
        <v>976 Falsa Aralia</v>
      </c>
      <c r="M973" s="10" t="s">
        <v>46</v>
      </c>
      <c r="N973" s="10" t="s">
        <v>36</v>
      </c>
      <c r="O973" s="10" t="s">
        <v>47</v>
      </c>
      <c r="P973" s="10" t="s">
        <v>2655</v>
      </c>
      <c r="Q973" s="13"/>
      <c r="R973" s="13"/>
      <c r="S973" s="13"/>
      <c r="T973" s="13"/>
      <c r="U973" s="13"/>
      <c r="V973" s="13"/>
      <c r="W973" s="16"/>
      <c r="X973" s="13"/>
    </row>
    <row r="974" ht="14.25" customHeight="1">
      <c r="A974" s="10" t="s">
        <v>2502</v>
      </c>
      <c r="B974" s="10" t="s">
        <v>31</v>
      </c>
      <c r="C974" s="10">
        <v>977.0</v>
      </c>
      <c r="D974" s="11" t="s">
        <v>2660</v>
      </c>
      <c r="E974" s="11" t="s">
        <v>2661</v>
      </c>
      <c r="F974" s="11" t="s">
        <v>258</v>
      </c>
      <c r="G974" s="10">
        <v>977.0</v>
      </c>
      <c r="H974" s="10">
        <f>VLOOKUP(F974,'Generos y Familia'!$A$1:$C$623,2,FALSE)</f>
        <v>7</v>
      </c>
      <c r="I974" s="12" t="str">
        <f t="shared" si="1"/>
        <v>Schinus molle</v>
      </c>
      <c r="J974" s="10" t="str">
        <f t="shared" si="2"/>
        <v>977 Schinus molle</v>
      </c>
      <c r="K974" s="10" t="str">
        <f t="shared" si="3"/>
        <v>Falso Pimiento; Muelle; Pimiento</v>
      </c>
      <c r="L974" s="10" t="str">
        <f t="shared" si="4"/>
        <v>977 Falso Pimiento; Muelle; Pimiento</v>
      </c>
      <c r="M974" s="10" t="s">
        <v>46</v>
      </c>
      <c r="N974" s="10" t="s">
        <v>36</v>
      </c>
      <c r="O974" s="10" t="s">
        <v>37</v>
      </c>
      <c r="P974" s="10" t="s">
        <v>2662</v>
      </c>
      <c r="Q974" s="13"/>
      <c r="R974" s="13"/>
      <c r="S974" s="13"/>
      <c r="T974" s="13"/>
      <c r="U974" s="13"/>
      <c r="V974" s="13"/>
      <c r="W974" s="16"/>
      <c r="X974" s="13"/>
    </row>
    <row r="975" ht="14.25" customHeight="1">
      <c r="A975" s="10" t="s">
        <v>2502</v>
      </c>
      <c r="B975" s="10" t="s">
        <v>31</v>
      </c>
      <c r="C975" s="10">
        <v>978.0</v>
      </c>
      <c r="D975" s="11" t="s">
        <v>2663</v>
      </c>
      <c r="E975" s="11" t="s">
        <v>2664</v>
      </c>
      <c r="F975" s="11" t="s">
        <v>258</v>
      </c>
      <c r="G975" s="10">
        <v>978.0</v>
      </c>
      <c r="H975" s="10">
        <f>VLOOKUP(F975,'Generos y Familia'!$A$1:$C$623,2,FALSE)</f>
        <v>7</v>
      </c>
      <c r="I975" s="12" t="str">
        <f t="shared" si="1"/>
        <v>Schinus terebinthifolia</v>
      </c>
      <c r="J975" s="10" t="str">
        <f t="shared" si="2"/>
        <v>978 Schinus terebinthifolia</v>
      </c>
      <c r="K975" s="10" t="str">
        <f t="shared" si="3"/>
        <v>Falso Pimiento; Pimiento; Terebinto; Pimineto Negro; Turibinto</v>
      </c>
      <c r="L975" s="10" t="str">
        <f t="shared" si="4"/>
        <v>978 Falso Pimiento; Pimiento; Terebinto; Pimineto Negro; Turibinto</v>
      </c>
      <c r="M975" s="10" t="s">
        <v>35</v>
      </c>
      <c r="N975" s="10" t="s">
        <v>36</v>
      </c>
      <c r="O975" s="10" t="s">
        <v>47</v>
      </c>
      <c r="P975" s="10" t="s">
        <v>2662</v>
      </c>
      <c r="Q975" s="17" t="s">
        <v>379</v>
      </c>
      <c r="R975" s="14"/>
      <c r="S975" s="17" t="s">
        <v>290</v>
      </c>
      <c r="T975" s="14"/>
      <c r="U975" s="14" t="s">
        <v>55</v>
      </c>
      <c r="V975" s="14"/>
      <c r="W975" s="17"/>
      <c r="X975" s="14" t="s">
        <v>41</v>
      </c>
    </row>
    <row r="976" ht="14.25" customHeight="1">
      <c r="A976" s="10" t="s">
        <v>2502</v>
      </c>
      <c r="B976" s="10" t="s">
        <v>31</v>
      </c>
      <c r="C976" s="10">
        <v>979.0</v>
      </c>
      <c r="D976" s="11" t="s">
        <v>2665</v>
      </c>
      <c r="E976" s="11" t="s">
        <v>2666</v>
      </c>
      <c r="F976" s="11" t="s">
        <v>34</v>
      </c>
      <c r="G976" s="10">
        <v>979.0</v>
      </c>
      <c r="H976" s="10">
        <f>VLOOKUP(F976,'Generos y Familia'!$A$1:$C$623,2,FALSE)</f>
        <v>27</v>
      </c>
      <c r="I976" s="12" t="str">
        <f t="shared" si="1"/>
        <v>Schizolobium parahyba</v>
      </c>
      <c r="J976" s="10" t="str">
        <f t="shared" si="2"/>
        <v>979 Schizolobium parahyba</v>
      </c>
      <c r="K976" s="10" t="str">
        <f t="shared" si="3"/>
        <v>Tambor; Tambolero; Tamborero; Frijolillo; Arenillas; Chingalé Tamborero</v>
      </c>
      <c r="L976" s="10" t="str">
        <f t="shared" si="4"/>
        <v>979 Tambor; Tambolero; Tamborero; Frijolillo; Arenillas; Chingalé Tamborero</v>
      </c>
      <c r="M976" s="10" t="s">
        <v>35</v>
      </c>
      <c r="N976" s="10" t="s">
        <v>36</v>
      </c>
      <c r="O976" s="10" t="s">
        <v>37</v>
      </c>
      <c r="P976" s="10" t="s">
        <v>2667</v>
      </c>
      <c r="Q976" s="13"/>
      <c r="R976" s="13"/>
      <c r="S976" s="13"/>
      <c r="T976" s="13"/>
      <c r="U976" s="13"/>
      <c r="V976" s="13"/>
      <c r="W976" s="16"/>
      <c r="X976" s="13"/>
    </row>
    <row r="977" ht="14.25" customHeight="1">
      <c r="A977" s="10" t="s">
        <v>2502</v>
      </c>
      <c r="B977" s="10" t="s">
        <v>31</v>
      </c>
      <c r="C977" s="10">
        <v>980.0</v>
      </c>
      <c r="D977" s="11" t="s">
        <v>2668</v>
      </c>
      <c r="E977" s="11" t="s">
        <v>2669</v>
      </c>
      <c r="F977" s="11" t="s">
        <v>34</v>
      </c>
      <c r="G977" s="10">
        <v>980.0</v>
      </c>
      <c r="H977" s="10">
        <f>VLOOKUP(F977,'Generos y Familia'!$A$1:$C$623,2,FALSE)</f>
        <v>27</v>
      </c>
      <c r="I977" s="12" t="str">
        <f t="shared" si="1"/>
        <v>Senna alata</v>
      </c>
      <c r="J977" s="10" t="str">
        <f t="shared" si="2"/>
        <v>980 Senna alata</v>
      </c>
      <c r="K977" s="10" t="str">
        <f t="shared" si="3"/>
        <v>Alcaparro; Babacú; Martinable; Frisolito; Cacaona; Jagua</v>
      </c>
      <c r="L977" s="10" t="str">
        <f t="shared" si="4"/>
        <v>980 Alcaparro; Babacú; Martinable; Frisolito; Cacaona; Jagua</v>
      </c>
      <c r="M977" s="10" t="s">
        <v>35</v>
      </c>
      <c r="N977" s="10" t="s">
        <v>36</v>
      </c>
      <c r="O977" s="10" t="s">
        <v>47</v>
      </c>
      <c r="P977" s="10" t="s">
        <v>782</v>
      </c>
      <c r="Q977" s="17" t="s">
        <v>347</v>
      </c>
      <c r="R977" s="14"/>
      <c r="S977" s="17" t="s">
        <v>145</v>
      </c>
      <c r="T977" s="14"/>
      <c r="U977" s="14" t="s">
        <v>55</v>
      </c>
      <c r="V977" s="14"/>
      <c r="W977" s="18"/>
      <c r="X977" s="14" t="s">
        <v>41</v>
      </c>
    </row>
    <row r="978" ht="14.25" customHeight="1">
      <c r="A978" s="10" t="s">
        <v>2502</v>
      </c>
      <c r="B978" s="10" t="s">
        <v>31</v>
      </c>
      <c r="C978" s="10">
        <v>981.0</v>
      </c>
      <c r="D978" s="11" t="s">
        <v>2670</v>
      </c>
      <c r="E978" s="11" t="s">
        <v>2671</v>
      </c>
      <c r="F978" s="11" t="s">
        <v>34</v>
      </c>
      <c r="G978" s="10">
        <v>981.0</v>
      </c>
      <c r="H978" s="10">
        <f>VLOOKUP(F978,'Generos y Familia'!$A$1:$C$623,2,FALSE)</f>
        <v>27</v>
      </c>
      <c r="I978" s="12" t="str">
        <f t="shared" si="1"/>
        <v>Senna bicapsularis</v>
      </c>
      <c r="J978" s="10" t="str">
        <f t="shared" si="2"/>
        <v>981 Senna bicapsularis</v>
      </c>
      <c r="K978" s="10" t="str">
        <f t="shared" si="3"/>
        <v>Bombito; Cuchillito; Platanito; Chivato; Ahitera</v>
      </c>
      <c r="L978" s="10" t="str">
        <f t="shared" si="4"/>
        <v>981 Bombito; Cuchillito; Platanito; Chivato; Ahitera</v>
      </c>
      <c r="M978" s="10" t="s">
        <v>35</v>
      </c>
      <c r="N978" s="10" t="s">
        <v>36</v>
      </c>
      <c r="O978" s="10" t="s">
        <v>47</v>
      </c>
      <c r="P978" s="10" t="s">
        <v>782</v>
      </c>
      <c r="Q978" s="13"/>
      <c r="R978" s="13"/>
      <c r="S978" s="13"/>
      <c r="T978" s="13"/>
      <c r="U978" s="13"/>
      <c r="V978" s="13"/>
      <c r="W978" s="13"/>
      <c r="X978" s="13"/>
    </row>
    <row r="979" ht="14.25" customHeight="1">
      <c r="A979" s="10" t="s">
        <v>2502</v>
      </c>
      <c r="B979" s="10" t="s">
        <v>31</v>
      </c>
      <c r="C979" s="10">
        <v>982.0</v>
      </c>
      <c r="D979" s="11" t="s">
        <v>2672</v>
      </c>
      <c r="E979" s="11" t="s">
        <v>2673</v>
      </c>
      <c r="F979" s="11" t="s">
        <v>34</v>
      </c>
      <c r="G979" s="10">
        <v>982.0</v>
      </c>
      <c r="H979" s="10">
        <f>VLOOKUP(F979,'Generos y Familia'!$A$1:$C$623,2,FALSE)</f>
        <v>27</v>
      </c>
      <c r="I979" s="12" t="str">
        <f t="shared" si="1"/>
        <v>Senna corymbosa</v>
      </c>
      <c r="J979" s="10" t="str">
        <f t="shared" si="2"/>
        <v>982 Senna corymbosa</v>
      </c>
      <c r="K979" s="10" t="str">
        <f t="shared" si="3"/>
        <v>Sen del Campo</v>
      </c>
      <c r="L979" s="10" t="str">
        <f t="shared" si="4"/>
        <v>982 Sen del Campo</v>
      </c>
      <c r="M979" s="10" t="s">
        <v>46</v>
      </c>
      <c r="N979" s="10" t="s">
        <v>36</v>
      </c>
      <c r="O979" s="10" t="s">
        <v>47</v>
      </c>
      <c r="P979" s="10" t="s">
        <v>782</v>
      </c>
      <c r="Q979" s="13"/>
      <c r="R979" s="13"/>
      <c r="S979" s="13"/>
      <c r="T979" s="13"/>
      <c r="U979" s="13"/>
      <c r="V979" s="13"/>
      <c r="W979" s="13"/>
      <c r="X979" s="13"/>
    </row>
    <row r="980" ht="14.25" customHeight="1">
      <c r="A980" s="10" t="s">
        <v>2502</v>
      </c>
      <c r="B980" s="10" t="s">
        <v>31</v>
      </c>
      <c r="C980" s="10">
        <v>983.0</v>
      </c>
      <c r="D980" s="11" t="s">
        <v>2674</v>
      </c>
      <c r="E980" s="11" t="s">
        <v>2675</v>
      </c>
      <c r="F980" s="11" t="s">
        <v>34</v>
      </c>
      <c r="G980" s="10">
        <v>983.0</v>
      </c>
      <c r="H980" s="10">
        <f>VLOOKUP(F980,'Generos y Familia'!$A$1:$C$623,2,FALSE)</f>
        <v>27</v>
      </c>
      <c r="I980" s="12" t="str">
        <f t="shared" si="1"/>
        <v>Senna occidentalis</v>
      </c>
      <c r="J980" s="10" t="str">
        <f t="shared" si="2"/>
        <v>983 Senna occidentalis</v>
      </c>
      <c r="K980" s="10" t="str">
        <f t="shared" si="3"/>
        <v>Potra; Frijolato; Bicho</v>
      </c>
      <c r="L980" s="10" t="str">
        <f t="shared" si="4"/>
        <v>983 Potra; Frijolato; Bicho</v>
      </c>
      <c r="M980" s="10" t="s">
        <v>46</v>
      </c>
      <c r="N980" s="10" t="s">
        <v>36</v>
      </c>
      <c r="O980" s="10" t="s">
        <v>47</v>
      </c>
      <c r="P980" s="10" t="s">
        <v>782</v>
      </c>
      <c r="Q980" s="17" t="s">
        <v>421</v>
      </c>
      <c r="R980" s="14"/>
      <c r="S980" s="17" t="s">
        <v>347</v>
      </c>
      <c r="T980" s="14"/>
      <c r="U980" s="14" t="s">
        <v>55</v>
      </c>
      <c r="V980" s="14"/>
      <c r="W980" s="17"/>
      <c r="X980" s="14" t="s">
        <v>41</v>
      </c>
    </row>
    <row r="981" ht="14.25" customHeight="1">
      <c r="A981" s="10" t="s">
        <v>2502</v>
      </c>
      <c r="B981" s="10" t="s">
        <v>31</v>
      </c>
      <c r="C981" s="10">
        <v>984.0</v>
      </c>
      <c r="D981" s="11" t="s">
        <v>2676</v>
      </c>
      <c r="E981" s="11" t="s">
        <v>2677</v>
      </c>
      <c r="F981" s="11" t="s">
        <v>34</v>
      </c>
      <c r="G981" s="10">
        <v>984.0</v>
      </c>
      <c r="H981" s="10">
        <f>VLOOKUP(F981,'Generos y Familia'!$A$1:$C$623,2,FALSE)</f>
        <v>27</v>
      </c>
      <c r="I981" s="12" t="str">
        <f t="shared" si="1"/>
        <v>Senna pistaciifolia</v>
      </c>
      <c r="J981" s="10" t="str">
        <f t="shared" si="2"/>
        <v>984 Senna pistaciifolia</v>
      </c>
      <c r="K981" s="10" t="str">
        <f t="shared" si="3"/>
        <v>Alcaparro; Palo Bonito; Pichuelo; Galvis; Cucaracho; Frutillo</v>
      </c>
      <c r="L981" s="10" t="str">
        <f t="shared" si="4"/>
        <v>984 Alcaparro; Palo Bonito; Pichuelo; Galvis; Cucaracho; Frutillo</v>
      </c>
      <c r="M981" s="10" t="s">
        <v>35</v>
      </c>
      <c r="N981" s="10" t="s">
        <v>36</v>
      </c>
      <c r="O981" s="10" t="s">
        <v>37</v>
      </c>
      <c r="P981" s="10" t="s">
        <v>782</v>
      </c>
      <c r="Q981" s="17" t="s">
        <v>145</v>
      </c>
      <c r="R981" s="14" t="s">
        <v>39</v>
      </c>
      <c r="S981" s="17" t="s">
        <v>442</v>
      </c>
      <c r="T981" s="14" t="s">
        <v>39</v>
      </c>
      <c r="U981" s="14" t="s">
        <v>73</v>
      </c>
      <c r="V981" s="14"/>
      <c r="W981" s="17"/>
      <c r="X981" s="14"/>
    </row>
    <row r="982" ht="14.25" customHeight="1">
      <c r="A982" s="10" t="s">
        <v>2502</v>
      </c>
      <c r="B982" s="10" t="s">
        <v>63</v>
      </c>
      <c r="C982" s="10">
        <v>985.0</v>
      </c>
      <c r="D982" s="11" t="s">
        <v>2678</v>
      </c>
      <c r="E982" s="11" t="s">
        <v>2679</v>
      </c>
      <c r="F982" s="11" t="s">
        <v>34</v>
      </c>
      <c r="G982" s="10">
        <v>985.0</v>
      </c>
      <c r="H982" s="10">
        <f>VLOOKUP(F982,'Generos y Familia'!$A$1:$C$623,2,FALSE)</f>
        <v>27</v>
      </c>
      <c r="I982" s="12" t="str">
        <f t="shared" si="1"/>
        <v>Senna polyphylla</v>
      </c>
      <c r="J982" s="10" t="str">
        <f t="shared" si="2"/>
        <v>985 Senna polyphylla</v>
      </c>
      <c r="K982" s="10" t="str">
        <f t="shared" si="3"/>
        <v>Hawaii</v>
      </c>
      <c r="L982" s="10" t="str">
        <f t="shared" si="4"/>
        <v>985 Hawaii</v>
      </c>
      <c r="M982" s="10" t="s">
        <v>35</v>
      </c>
      <c r="N982" s="10" t="s">
        <v>36</v>
      </c>
      <c r="O982" s="10" t="s">
        <v>47</v>
      </c>
      <c r="P982" s="10" t="s">
        <v>782</v>
      </c>
      <c r="Q982" s="13"/>
      <c r="R982" s="13"/>
      <c r="S982" s="13"/>
      <c r="T982" s="13"/>
      <c r="U982" s="13"/>
      <c r="V982" s="13"/>
      <c r="W982" s="13"/>
      <c r="X982" s="13"/>
    </row>
    <row r="983" ht="14.25" customHeight="1">
      <c r="A983" s="10" t="s">
        <v>2502</v>
      </c>
      <c r="B983" s="10" t="s">
        <v>31</v>
      </c>
      <c r="C983" s="10">
        <v>986.0</v>
      </c>
      <c r="D983" s="11" t="s">
        <v>2680</v>
      </c>
      <c r="E983" s="11" t="s">
        <v>2681</v>
      </c>
      <c r="F983" s="11" t="s">
        <v>34</v>
      </c>
      <c r="G983" s="10">
        <v>986.0</v>
      </c>
      <c r="H983" s="10">
        <f>VLOOKUP(F983,'Generos y Familia'!$A$1:$C$623,2,FALSE)</f>
        <v>27</v>
      </c>
      <c r="I983" s="12" t="str">
        <f t="shared" si="1"/>
        <v>Senna reticulata</v>
      </c>
      <c r="J983" s="10" t="str">
        <f t="shared" si="2"/>
        <v>986 Senna reticulata</v>
      </c>
      <c r="K983" s="10" t="str">
        <f t="shared" si="3"/>
        <v>Dorancé; Floramarillo; Bajagua; Galvis; Majagüito; Dorancel</v>
      </c>
      <c r="L983" s="10" t="str">
        <f t="shared" si="4"/>
        <v>986 Dorancé; Floramarillo; Bajagua; Galvis; Majagüito; Dorancel</v>
      </c>
      <c r="M983" s="10" t="s">
        <v>35</v>
      </c>
      <c r="N983" s="10" t="s">
        <v>36</v>
      </c>
      <c r="O983" s="10" t="s">
        <v>47</v>
      </c>
      <c r="P983" s="10" t="s">
        <v>782</v>
      </c>
      <c r="Q983" s="17" t="s">
        <v>153</v>
      </c>
      <c r="R983" s="14"/>
      <c r="S983" s="17" t="s">
        <v>379</v>
      </c>
      <c r="T983" s="14"/>
      <c r="U983" s="14" t="s">
        <v>40</v>
      </c>
      <c r="V983" s="14"/>
      <c r="W983" s="17"/>
      <c r="X983" s="14" t="s">
        <v>41</v>
      </c>
    </row>
    <row r="984" ht="14.25" customHeight="1">
      <c r="A984" s="10" t="s">
        <v>2502</v>
      </c>
      <c r="B984" s="10" t="s">
        <v>31</v>
      </c>
      <c r="C984" s="10">
        <v>987.0</v>
      </c>
      <c r="D984" s="11" t="s">
        <v>2682</v>
      </c>
      <c r="E984" s="11" t="s">
        <v>2683</v>
      </c>
      <c r="F984" s="11" t="s">
        <v>34</v>
      </c>
      <c r="G984" s="10">
        <v>987.0</v>
      </c>
      <c r="H984" s="10">
        <f>VLOOKUP(F984,'Generos y Familia'!$A$1:$C$623,2,FALSE)</f>
        <v>27</v>
      </c>
      <c r="I984" s="12" t="str">
        <f t="shared" si="1"/>
        <v>Senna septemtrionalis</v>
      </c>
      <c r="J984" s="10" t="str">
        <f t="shared" si="2"/>
        <v>987 Senna septemtrionalis</v>
      </c>
      <c r="K984" s="10" t="str">
        <f t="shared" si="3"/>
        <v>Alcaparro</v>
      </c>
      <c r="L984" s="10" t="str">
        <f t="shared" si="4"/>
        <v>987 Alcaparro</v>
      </c>
      <c r="M984" s="10" t="s">
        <v>46</v>
      </c>
      <c r="N984" s="10" t="s">
        <v>36</v>
      </c>
      <c r="O984" s="10" t="s">
        <v>47</v>
      </c>
      <c r="P984" s="10" t="s">
        <v>782</v>
      </c>
      <c r="Q984" s="17" t="s">
        <v>153</v>
      </c>
      <c r="R984" s="14"/>
      <c r="S984" s="17" t="s">
        <v>379</v>
      </c>
      <c r="T984" s="14"/>
      <c r="U984" s="14" t="s">
        <v>55</v>
      </c>
      <c r="V984" s="14"/>
      <c r="W984" s="17"/>
      <c r="X984" s="14" t="s">
        <v>41</v>
      </c>
    </row>
    <row r="985" ht="14.25" customHeight="1">
      <c r="A985" s="10" t="s">
        <v>2502</v>
      </c>
      <c r="B985" s="10" t="s">
        <v>31</v>
      </c>
      <c r="C985" s="10">
        <v>988.0</v>
      </c>
      <c r="D985" s="11" t="s">
        <v>2684</v>
      </c>
      <c r="E985" s="11" t="s">
        <v>2685</v>
      </c>
      <c r="F985" s="11" t="s">
        <v>34</v>
      </c>
      <c r="G985" s="10">
        <v>988.0</v>
      </c>
      <c r="H985" s="10">
        <f>VLOOKUP(F985,'Generos y Familia'!$A$1:$C$623,2,FALSE)</f>
        <v>27</v>
      </c>
      <c r="I985" s="12" t="str">
        <f t="shared" si="1"/>
        <v>Senna siamea</v>
      </c>
      <c r="J985" s="10" t="str">
        <f t="shared" si="2"/>
        <v>988 Senna siamea</v>
      </c>
      <c r="K985" s="10" t="str">
        <f t="shared" si="3"/>
        <v>Acacia Siamea; Abeto; Acacio Santandereano; Alcaparro; Acacia; Carmín</v>
      </c>
      <c r="L985" s="10" t="str">
        <f t="shared" si="4"/>
        <v>988 Acacia Siamea; Abeto; Acacio Santandereano; Alcaparro; Acacia; Carmín</v>
      </c>
      <c r="M985" s="10" t="s">
        <v>46</v>
      </c>
      <c r="N985" s="10" t="s">
        <v>36</v>
      </c>
      <c r="O985" s="10" t="s">
        <v>37</v>
      </c>
      <c r="P985" s="10" t="s">
        <v>782</v>
      </c>
      <c r="Q985" s="17" t="s">
        <v>229</v>
      </c>
      <c r="R985" s="14" t="s">
        <v>39</v>
      </c>
      <c r="S985" s="17" t="s">
        <v>54</v>
      </c>
      <c r="T985" s="14" t="s">
        <v>39</v>
      </c>
      <c r="U985" s="14" t="s">
        <v>73</v>
      </c>
      <c r="V985" s="14"/>
      <c r="W985" s="17"/>
      <c r="X985" s="14"/>
    </row>
    <row r="986" ht="14.25" customHeight="1">
      <c r="A986" s="10" t="s">
        <v>2502</v>
      </c>
      <c r="B986" s="10" t="s">
        <v>31</v>
      </c>
      <c r="C986" s="10">
        <v>989.0</v>
      </c>
      <c r="D986" s="11" t="s">
        <v>2686</v>
      </c>
      <c r="E986" s="11" t="s">
        <v>59</v>
      </c>
      <c r="F986" s="11" t="s">
        <v>34</v>
      </c>
      <c r="G986" s="10">
        <v>989.0</v>
      </c>
      <c r="H986" s="10">
        <f>VLOOKUP(F986,'Generos y Familia'!$A$1:$C$623,2,FALSE)</f>
        <v>27</v>
      </c>
      <c r="I986" s="12" t="str">
        <f t="shared" si="1"/>
        <v>Senna sp</v>
      </c>
      <c r="J986" s="10" t="str">
        <f t="shared" si="2"/>
        <v>989 Senna sp</v>
      </c>
      <c r="K986" s="10" t="str">
        <f t="shared" si="3"/>
        <v>Acacia</v>
      </c>
      <c r="L986" s="10" t="str">
        <f t="shared" si="4"/>
        <v>989 Acacia</v>
      </c>
      <c r="M986" s="10" t="s">
        <v>35</v>
      </c>
      <c r="N986" s="10" t="s">
        <v>36</v>
      </c>
      <c r="O986" s="10" t="s">
        <v>47</v>
      </c>
      <c r="P986" s="10" t="s">
        <v>782</v>
      </c>
      <c r="Q986" s="17" t="s">
        <v>612</v>
      </c>
      <c r="R986" s="14"/>
      <c r="S986" s="17" t="s">
        <v>145</v>
      </c>
      <c r="T986" s="14"/>
      <c r="U986" s="14" t="s">
        <v>40</v>
      </c>
      <c r="V986" s="14"/>
      <c r="W986" s="17"/>
      <c r="X986" s="14" t="s">
        <v>41</v>
      </c>
    </row>
    <row r="987" ht="14.25" customHeight="1">
      <c r="A987" s="10" t="s">
        <v>2502</v>
      </c>
      <c r="B987" s="10" t="s">
        <v>31</v>
      </c>
      <c r="C987" s="10">
        <v>990.0</v>
      </c>
      <c r="D987" s="11" t="s">
        <v>2687</v>
      </c>
      <c r="E987" s="11" t="s">
        <v>775</v>
      </c>
      <c r="F987" s="11" t="s">
        <v>34</v>
      </c>
      <c r="G987" s="10">
        <v>990.0</v>
      </c>
      <c r="H987" s="10">
        <f>VLOOKUP(F987,'Generos y Familia'!$A$1:$C$623,2,FALSE)</f>
        <v>27</v>
      </c>
      <c r="I987" s="12" t="str">
        <f t="shared" si="1"/>
        <v>Senna surattensis</v>
      </c>
      <c r="J987" s="10" t="str">
        <f t="shared" si="2"/>
        <v>990 Senna surattensis</v>
      </c>
      <c r="K987" s="10" t="str">
        <f t="shared" si="3"/>
        <v>Cassia</v>
      </c>
      <c r="L987" s="10" t="str">
        <f t="shared" si="4"/>
        <v>990 Cassia</v>
      </c>
      <c r="M987" s="10" t="s">
        <v>46</v>
      </c>
      <c r="N987" s="10" t="s">
        <v>36</v>
      </c>
      <c r="O987" s="10" t="s">
        <v>37</v>
      </c>
      <c r="P987" s="10" t="s">
        <v>782</v>
      </c>
      <c r="Q987" s="13"/>
      <c r="R987" s="13"/>
      <c r="S987" s="13"/>
      <c r="T987" s="13"/>
      <c r="U987" s="13"/>
      <c r="V987" s="13"/>
      <c r="W987" s="13"/>
      <c r="X987" s="13"/>
    </row>
    <row r="988" ht="14.25" customHeight="1">
      <c r="A988" s="10" t="s">
        <v>2502</v>
      </c>
      <c r="B988" s="10" t="s">
        <v>31</v>
      </c>
      <c r="C988" s="10">
        <v>991.0</v>
      </c>
      <c r="D988" s="11" t="s">
        <v>2688</v>
      </c>
      <c r="E988" s="11" t="s">
        <v>2689</v>
      </c>
      <c r="F988" s="11" t="s">
        <v>34</v>
      </c>
      <c r="G988" s="10">
        <v>991.0</v>
      </c>
      <c r="H988" s="10">
        <f>VLOOKUP(F988,'Generos y Familia'!$A$1:$C$623,2,FALSE)</f>
        <v>27</v>
      </c>
      <c r="I988" s="12" t="str">
        <f t="shared" si="1"/>
        <v>Sesbania grandiflora</v>
      </c>
      <c r="J988" s="10" t="str">
        <f t="shared" si="2"/>
        <v>991 Sesbania grandiflora</v>
      </c>
      <c r="K988" s="10" t="str">
        <f t="shared" si="3"/>
        <v>Cantagallo Blanco; Gallito; Pirigallo; Sesbania; Agatí</v>
      </c>
      <c r="L988" s="10" t="str">
        <f t="shared" si="4"/>
        <v>991 Cantagallo Blanco; Gallito; Pirigallo; Sesbania; Agatí</v>
      </c>
      <c r="M988" s="10" t="s">
        <v>46</v>
      </c>
      <c r="N988" s="10" t="s">
        <v>36</v>
      </c>
      <c r="O988" s="10" t="s">
        <v>47</v>
      </c>
      <c r="P988" s="10" t="s">
        <v>2690</v>
      </c>
      <c r="Q988" s="13"/>
      <c r="R988" s="13"/>
      <c r="S988" s="13"/>
      <c r="T988" s="13"/>
      <c r="U988" s="13"/>
      <c r="V988" s="13"/>
      <c r="W988" s="13"/>
      <c r="X988" s="13"/>
    </row>
    <row r="989" ht="14.25" customHeight="1">
      <c r="A989" s="10" t="s">
        <v>2502</v>
      </c>
      <c r="B989" s="10" t="s">
        <v>31</v>
      </c>
      <c r="C989" s="10">
        <v>992.0</v>
      </c>
      <c r="D989" s="11" t="s">
        <v>2691</v>
      </c>
      <c r="E989" s="11" t="s">
        <v>2692</v>
      </c>
      <c r="F989" s="11" t="s">
        <v>45</v>
      </c>
      <c r="G989" s="10">
        <v>992.0</v>
      </c>
      <c r="H989" s="10">
        <f>VLOOKUP(F989,'Generos y Familia'!$A$1:$C$623,2,FALSE)</f>
        <v>40</v>
      </c>
      <c r="I989" s="12" t="str">
        <f t="shared" si="1"/>
        <v>Sida rhombifolia</v>
      </c>
      <c r="J989" s="10" t="str">
        <f t="shared" si="2"/>
        <v>992 Sida rhombifolia</v>
      </c>
      <c r="K989" s="10" t="str">
        <f t="shared" si="3"/>
        <v>Escobilla; Escobadura; Malva de Escoba; Malva de Puerco Y Malva Prieta</v>
      </c>
      <c r="L989" s="10" t="str">
        <f t="shared" si="4"/>
        <v>992 Escobilla; Escobadura; Malva de Escoba; Malva de Puerco Y Malva Prieta</v>
      </c>
      <c r="M989" s="10" t="s">
        <v>46</v>
      </c>
      <c r="N989" s="10" t="s">
        <v>36</v>
      </c>
      <c r="O989" s="10" t="s">
        <v>47</v>
      </c>
      <c r="P989" s="10" t="s">
        <v>2693</v>
      </c>
      <c r="Q989" s="13"/>
      <c r="R989" s="13"/>
      <c r="S989" s="13"/>
      <c r="T989" s="13"/>
      <c r="U989" s="13"/>
      <c r="V989" s="13"/>
      <c r="W989" s="13"/>
      <c r="X989" s="13"/>
    </row>
    <row r="990" ht="14.25" customHeight="1">
      <c r="A990" s="10" t="s">
        <v>2502</v>
      </c>
      <c r="B990" s="10" t="s">
        <v>31</v>
      </c>
      <c r="C990" s="10">
        <v>993.0</v>
      </c>
      <c r="D990" s="11" t="s">
        <v>2694</v>
      </c>
      <c r="E990" s="11" t="s">
        <v>2695</v>
      </c>
      <c r="F990" s="11" t="s">
        <v>2696</v>
      </c>
      <c r="G990" s="10">
        <v>993.0</v>
      </c>
      <c r="H990" s="10">
        <f>VLOOKUP(F990,'Generos y Familia'!$A$1:$C$623,2,FALSE)</f>
        <v>87</v>
      </c>
      <c r="I990" s="12" t="str">
        <f t="shared" si="1"/>
        <v>Simarouba amara</v>
      </c>
      <c r="J990" s="10" t="str">
        <f t="shared" si="2"/>
        <v>993 Simarouba amara</v>
      </c>
      <c r="K990" s="10" t="str">
        <f t="shared" si="3"/>
        <v>Amargo; Cedrillo; Aceituno; Amargo; Caratero; Chapul</v>
      </c>
      <c r="L990" s="10" t="str">
        <f t="shared" si="4"/>
        <v>993 Amargo; Cedrillo; Aceituno; Amargo; Caratero; Chapul</v>
      </c>
      <c r="M990" s="10" t="s">
        <v>35</v>
      </c>
      <c r="N990" s="10" t="s">
        <v>36</v>
      </c>
      <c r="O990" s="10" t="s">
        <v>37</v>
      </c>
      <c r="P990" s="10" t="s">
        <v>2697</v>
      </c>
      <c r="Q990" s="13"/>
      <c r="R990" s="13"/>
      <c r="S990" s="13"/>
      <c r="T990" s="13"/>
      <c r="U990" s="13"/>
      <c r="V990" s="13"/>
      <c r="W990" s="16"/>
      <c r="X990" s="13"/>
    </row>
    <row r="991" ht="14.25" customHeight="1">
      <c r="A991" s="10" t="s">
        <v>2502</v>
      </c>
      <c r="B991" s="10" t="s">
        <v>31</v>
      </c>
      <c r="C991" s="10">
        <v>994.0</v>
      </c>
      <c r="D991" s="11" t="s">
        <v>2698</v>
      </c>
      <c r="E991" s="11" t="s">
        <v>2699</v>
      </c>
      <c r="F991" s="11" t="s">
        <v>2700</v>
      </c>
      <c r="G991" s="10">
        <v>994.0</v>
      </c>
      <c r="H991" s="10">
        <f>VLOOKUP(F991,'Generos y Familia'!$A$1:$C$623,2,FALSE)</f>
        <v>88</v>
      </c>
      <c r="I991" s="12" t="str">
        <f t="shared" si="1"/>
        <v>Siparuna cuspidata</v>
      </c>
      <c r="J991" s="10" t="str">
        <f t="shared" si="2"/>
        <v>994 Siparuna cuspidata</v>
      </c>
      <c r="K991" s="10" t="str">
        <f t="shared" si="3"/>
        <v>Cofalillo; Hoja de Pasmo; Limoncillo</v>
      </c>
      <c r="L991" s="10" t="str">
        <f t="shared" si="4"/>
        <v>994 Cofalillo; Hoja de Pasmo; Limoncillo</v>
      </c>
      <c r="M991" s="10" t="s">
        <v>46</v>
      </c>
      <c r="N991" s="10" t="s">
        <v>36</v>
      </c>
      <c r="O991" s="10" t="s">
        <v>37</v>
      </c>
      <c r="P991" s="10" t="s">
        <v>2701</v>
      </c>
      <c r="Q991" s="13"/>
      <c r="R991" s="13"/>
      <c r="S991" s="13"/>
      <c r="T991" s="13"/>
      <c r="U991" s="13"/>
      <c r="V991" s="13"/>
      <c r="W991" s="16"/>
      <c r="X991" s="13"/>
    </row>
    <row r="992" ht="14.25" customHeight="1">
      <c r="A992" s="10" t="s">
        <v>2502</v>
      </c>
      <c r="B992" s="10" t="s">
        <v>31</v>
      </c>
      <c r="C992" s="10">
        <v>995.0</v>
      </c>
      <c r="D992" s="11" t="s">
        <v>2702</v>
      </c>
      <c r="E992" s="11" t="s">
        <v>2703</v>
      </c>
      <c r="F992" s="11" t="s">
        <v>1309</v>
      </c>
      <c r="G992" s="10">
        <v>995.0</v>
      </c>
      <c r="H992" s="10">
        <f>VLOOKUP(F992,'Generos y Familia'!$A$1:$C$623,2,FALSE)</f>
        <v>22</v>
      </c>
      <c r="I992" s="12" t="str">
        <f t="shared" si="1"/>
        <v>Sloanea zuliaensis</v>
      </c>
      <c r="J992" s="10" t="str">
        <f t="shared" si="2"/>
        <v>995 Sloanea zuliaensis</v>
      </c>
      <c r="K992" s="10" t="str">
        <f t="shared" si="3"/>
        <v>Cacao Montano</v>
      </c>
      <c r="L992" s="10" t="str">
        <f t="shared" si="4"/>
        <v>995 Cacao Montano</v>
      </c>
      <c r="M992" s="10" t="s">
        <v>35</v>
      </c>
      <c r="N992" s="10" t="s">
        <v>36</v>
      </c>
      <c r="O992" s="10" t="s">
        <v>37</v>
      </c>
      <c r="P992" s="10" t="s">
        <v>2704</v>
      </c>
      <c r="Q992" s="13"/>
      <c r="R992" s="13"/>
      <c r="S992" s="13"/>
      <c r="T992" s="13"/>
      <c r="U992" s="13"/>
      <c r="V992" s="13"/>
      <c r="W992" s="16"/>
      <c r="X992" s="13"/>
    </row>
    <row r="993" ht="14.25" customHeight="1">
      <c r="A993" s="10" t="s">
        <v>2502</v>
      </c>
      <c r="B993" s="10" t="s">
        <v>31</v>
      </c>
      <c r="C993" s="10">
        <v>996.0</v>
      </c>
      <c r="D993" s="11" t="s">
        <v>2705</v>
      </c>
      <c r="E993" s="11" t="s">
        <v>2706</v>
      </c>
      <c r="F993" s="11" t="s">
        <v>116</v>
      </c>
      <c r="G993" s="10">
        <v>996.0</v>
      </c>
      <c r="H993" s="10">
        <f>VLOOKUP(F993,'Generos y Familia'!$A$1:$C$623,2,FALSE)</f>
        <v>14</v>
      </c>
      <c r="I993" s="12" t="str">
        <f t="shared" si="1"/>
        <v>Socratea exorrhiza</v>
      </c>
      <c r="J993" s="10" t="str">
        <f t="shared" si="2"/>
        <v>996 Socratea exorrhiza</v>
      </c>
      <c r="K993" s="10" t="str">
        <f t="shared" si="3"/>
        <v>Zancona; Palma Mulata; Chuapo; Araco; Pachúa Zancona; Pona Lisa</v>
      </c>
      <c r="L993" s="10" t="str">
        <f t="shared" si="4"/>
        <v>996 Zancona; Palma Mulata; Chuapo; Araco; Pachúa Zancona; Pona Lisa</v>
      </c>
      <c r="M993" s="10" t="s">
        <v>35</v>
      </c>
      <c r="N993" s="10" t="s">
        <v>36</v>
      </c>
      <c r="O993" s="10" t="s">
        <v>117</v>
      </c>
      <c r="P993" s="10" t="s">
        <v>2707</v>
      </c>
      <c r="Q993" s="13"/>
      <c r="R993" s="13"/>
      <c r="S993" s="13"/>
      <c r="T993" s="13"/>
      <c r="U993" s="13"/>
      <c r="V993" s="13"/>
      <c r="W993" s="16"/>
      <c r="X993" s="13"/>
    </row>
    <row r="994" ht="14.25" customHeight="1">
      <c r="A994" s="10" t="s">
        <v>2502</v>
      </c>
      <c r="B994" s="10" t="s">
        <v>31</v>
      </c>
      <c r="C994" s="10">
        <v>997.0</v>
      </c>
      <c r="D994" s="11" t="s">
        <v>2708</v>
      </c>
      <c r="E994" s="11" t="s">
        <v>209</v>
      </c>
      <c r="F994" s="11" t="s">
        <v>103</v>
      </c>
      <c r="G994" s="10">
        <v>997.0</v>
      </c>
      <c r="H994" s="10">
        <f>VLOOKUP(F994,'Generos y Familia'!$A$1:$C$623,2,FALSE)</f>
        <v>89</v>
      </c>
      <c r="I994" s="12" t="str">
        <f t="shared" si="1"/>
        <v>Solandra grandiflora</v>
      </c>
      <c r="J994" s="10" t="str">
        <f t="shared" si="2"/>
        <v>997 Solandra grandiflora</v>
      </c>
      <c r="K994" s="10" t="str">
        <f t="shared" si="3"/>
        <v>Copa de Oro</v>
      </c>
      <c r="L994" s="10" t="str">
        <f t="shared" si="4"/>
        <v>997 Copa de Oro</v>
      </c>
      <c r="M994" s="10" t="s">
        <v>46</v>
      </c>
      <c r="N994" s="10" t="s">
        <v>36</v>
      </c>
      <c r="O994" s="10" t="s">
        <v>47</v>
      </c>
      <c r="P994" s="10" t="s">
        <v>2709</v>
      </c>
      <c r="Q994" s="13"/>
      <c r="R994" s="13"/>
      <c r="S994" s="13"/>
      <c r="T994" s="13"/>
      <c r="U994" s="13"/>
      <c r="V994" s="13"/>
      <c r="W994" s="13"/>
      <c r="X994" s="13"/>
    </row>
    <row r="995" ht="14.25" customHeight="1">
      <c r="A995" s="10" t="s">
        <v>2502</v>
      </c>
      <c r="B995" s="10" t="s">
        <v>31</v>
      </c>
      <c r="C995" s="10">
        <v>998.0</v>
      </c>
      <c r="D995" s="11" t="s">
        <v>2710</v>
      </c>
      <c r="E995" s="11" t="s">
        <v>209</v>
      </c>
      <c r="F995" s="11" t="s">
        <v>103</v>
      </c>
      <c r="G995" s="10">
        <v>998.0</v>
      </c>
      <c r="H995" s="10">
        <f>VLOOKUP(F995,'Generos y Familia'!$A$1:$C$623,2,FALSE)</f>
        <v>89</v>
      </c>
      <c r="I995" s="12" t="str">
        <f t="shared" si="1"/>
        <v>Solandra maxima</v>
      </c>
      <c r="J995" s="10" t="str">
        <f t="shared" si="2"/>
        <v>998 Solandra maxima</v>
      </c>
      <c r="K995" s="10" t="str">
        <f t="shared" si="3"/>
        <v>Copa de Oro</v>
      </c>
      <c r="L995" s="10" t="str">
        <f t="shared" si="4"/>
        <v>998 Copa de Oro</v>
      </c>
      <c r="M995" s="10" t="s">
        <v>46</v>
      </c>
      <c r="N995" s="10" t="s">
        <v>36</v>
      </c>
      <c r="O995" s="10" t="s">
        <v>47</v>
      </c>
      <c r="P995" s="10" t="s">
        <v>2709</v>
      </c>
      <c r="Q995" s="17" t="s">
        <v>145</v>
      </c>
      <c r="R995" s="14"/>
      <c r="S995" s="17" t="s">
        <v>290</v>
      </c>
      <c r="T995" s="14"/>
      <c r="U995" s="14" t="s">
        <v>40</v>
      </c>
      <c r="V995" s="14"/>
      <c r="W995" s="18"/>
      <c r="X995" s="14" t="s">
        <v>41</v>
      </c>
    </row>
    <row r="996" ht="14.25" customHeight="1">
      <c r="A996" s="10" t="s">
        <v>2502</v>
      </c>
      <c r="B996" s="10" t="s">
        <v>31</v>
      </c>
      <c r="C996" s="10">
        <v>999.0</v>
      </c>
      <c r="D996" s="11" t="s">
        <v>2711</v>
      </c>
      <c r="E996" s="11" t="s">
        <v>2712</v>
      </c>
      <c r="F996" s="11" t="s">
        <v>103</v>
      </c>
      <c r="G996" s="10">
        <v>999.0</v>
      </c>
      <c r="H996" s="10">
        <f>VLOOKUP(F996,'Generos y Familia'!$A$1:$C$623,2,FALSE)</f>
        <v>89</v>
      </c>
      <c r="I996" s="12" t="str">
        <f t="shared" si="1"/>
        <v>Solanum betaceum</v>
      </c>
      <c r="J996" s="10" t="str">
        <f t="shared" si="2"/>
        <v>999 Solanum betaceum</v>
      </c>
      <c r="K996" s="10" t="str">
        <f t="shared" si="3"/>
        <v>Tomate de Árbol; Pepino de Árbol ; Tamarillo ; Tomate ; Tomate de Montaña ; Tomate de Monte</v>
      </c>
      <c r="L996" s="10" t="str">
        <f t="shared" si="4"/>
        <v>999 Tomate de Árbol; Pepino de Árbol ; Tamarillo ; Tomate ; Tomate de Montaña ; Tomate de Monte</v>
      </c>
      <c r="M996" s="10" t="s">
        <v>35</v>
      </c>
      <c r="N996" s="10" t="s">
        <v>36</v>
      </c>
      <c r="O996" s="10" t="s">
        <v>47</v>
      </c>
      <c r="P996" s="10" t="s">
        <v>2713</v>
      </c>
      <c r="Q996" s="17" t="s">
        <v>153</v>
      </c>
      <c r="R996" s="14" t="s">
        <v>53</v>
      </c>
      <c r="S996" s="17" t="s">
        <v>229</v>
      </c>
      <c r="T996" s="14"/>
      <c r="U996" s="14" t="s">
        <v>55</v>
      </c>
      <c r="V996" s="14"/>
      <c r="W996" s="17"/>
      <c r="X996" s="14" t="s">
        <v>41</v>
      </c>
    </row>
    <row r="997" ht="14.25" customHeight="1">
      <c r="A997" s="10" t="s">
        <v>2502</v>
      </c>
      <c r="B997" s="10" t="s">
        <v>31</v>
      </c>
      <c r="C997" s="10">
        <v>1000.0</v>
      </c>
      <c r="D997" s="11" t="s">
        <v>2714</v>
      </c>
      <c r="E997" s="11" t="s">
        <v>2715</v>
      </c>
      <c r="F997" s="11" t="s">
        <v>103</v>
      </c>
      <c r="G997" s="10">
        <v>1000.0</v>
      </c>
      <c r="H997" s="10">
        <f>VLOOKUP(F997,'Generos y Familia'!$A$1:$C$623,2,FALSE)</f>
        <v>89</v>
      </c>
      <c r="I997" s="12" t="str">
        <f t="shared" si="1"/>
        <v>Solanum macranthum</v>
      </c>
      <c r="J997" s="10" t="str">
        <f t="shared" si="2"/>
        <v>1000 Solanum macranthum</v>
      </c>
      <c r="K997" s="10" t="str">
        <f t="shared" si="3"/>
        <v>Lulo de Ciudad; Lulo Ornamental; Arbol de las Papas</v>
      </c>
      <c r="L997" s="10" t="str">
        <f t="shared" si="4"/>
        <v>1000 Lulo de Ciudad; Lulo Ornamental; Arbol de las Papas</v>
      </c>
      <c r="M997" s="10" t="s">
        <v>46</v>
      </c>
      <c r="N997" s="10" t="s">
        <v>36</v>
      </c>
      <c r="O997" s="10" t="s">
        <v>47</v>
      </c>
      <c r="P997" s="10" t="s">
        <v>2713</v>
      </c>
      <c r="Q997" s="13"/>
      <c r="R997" s="13"/>
      <c r="S997" s="13"/>
      <c r="T997" s="13"/>
      <c r="U997" s="13"/>
      <c r="V997" s="13"/>
      <c r="W997" s="16"/>
      <c r="X997" s="13"/>
    </row>
    <row r="998" ht="14.25" customHeight="1">
      <c r="A998" s="10" t="s">
        <v>2502</v>
      </c>
      <c r="B998" s="10" t="s">
        <v>31</v>
      </c>
      <c r="C998" s="10">
        <v>1001.0</v>
      </c>
      <c r="D998" s="11" t="s">
        <v>2716</v>
      </c>
      <c r="E998" s="11" t="s">
        <v>2717</v>
      </c>
      <c r="F998" s="11" t="s">
        <v>103</v>
      </c>
      <c r="G998" s="10">
        <v>1001.0</v>
      </c>
      <c r="H998" s="10">
        <f>VLOOKUP(F998,'Generos y Familia'!$A$1:$C$623,2,FALSE)</f>
        <v>89</v>
      </c>
      <c r="I998" s="12" t="str">
        <f t="shared" si="1"/>
        <v>Solanum mammosum</v>
      </c>
      <c r="J998" s="10" t="str">
        <f t="shared" si="2"/>
        <v>1001 Solanum mammosum</v>
      </c>
      <c r="K998" s="10" t="str">
        <f t="shared" si="3"/>
        <v>Lulo de Perro; Friegaplatos; Matacucharachas</v>
      </c>
      <c r="L998" s="10" t="str">
        <f t="shared" si="4"/>
        <v>1001 Lulo de Perro; Friegaplatos; Matacucharachas</v>
      </c>
      <c r="M998" s="10" t="s">
        <v>35</v>
      </c>
      <c r="N998" s="10" t="s">
        <v>36</v>
      </c>
      <c r="O998" s="10" t="s">
        <v>47</v>
      </c>
      <c r="P998" s="10" t="s">
        <v>2713</v>
      </c>
      <c r="Q998" s="13"/>
      <c r="R998" s="13"/>
      <c r="S998" s="13"/>
      <c r="T998" s="13"/>
      <c r="U998" s="13"/>
      <c r="V998" s="13"/>
      <c r="W998" s="13"/>
      <c r="X998" s="13"/>
    </row>
    <row r="999" ht="14.25" customHeight="1">
      <c r="A999" s="10" t="s">
        <v>2502</v>
      </c>
      <c r="B999" s="10" t="s">
        <v>31</v>
      </c>
      <c r="C999" s="10">
        <v>1002.0</v>
      </c>
      <c r="D999" s="11" t="s">
        <v>2718</v>
      </c>
      <c r="E999" s="11" t="s">
        <v>2719</v>
      </c>
      <c r="F999" s="11" t="s">
        <v>103</v>
      </c>
      <c r="G999" s="10">
        <v>1002.0</v>
      </c>
      <c r="H999" s="10">
        <f>VLOOKUP(F999,'Generos y Familia'!$A$1:$C$623,2,FALSE)</f>
        <v>89</v>
      </c>
      <c r="I999" s="12" t="str">
        <f t="shared" si="1"/>
        <v>Solanum mauritianum</v>
      </c>
      <c r="J999" s="10" t="str">
        <f t="shared" si="2"/>
        <v>1002 Solanum mauritianum</v>
      </c>
      <c r="K999" s="10" t="str">
        <f t="shared" si="3"/>
        <v>Tabaquillo; Fona de Porca</v>
      </c>
      <c r="L999" s="10" t="str">
        <f t="shared" si="4"/>
        <v>1002 Tabaquillo; Fona de Porca</v>
      </c>
      <c r="M999" s="10" t="s">
        <v>46</v>
      </c>
      <c r="N999" s="10" t="s">
        <v>36</v>
      </c>
      <c r="O999" s="10" t="s">
        <v>47</v>
      </c>
      <c r="P999" s="10" t="s">
        <v>2713</v>
      </c>
      <c r="Q999" s="17" t="s">
        <v>612</v>
      </c>
      <c r="R999" s="14"/>
      <c r="S999" s="17" t="s">
        <v>229</v>
      </c>
      <c r="T999" s="14"/>
      <c r="U999" s="14" t="s">
        <v>55</v>
      </c>
      <c r="V999" s="14"/>
      <c r="W999" s="17"/>
      <c r="X999" s="14" t="s">
        <v>41</v>
      </c>
    </row>
    <row r="1000" ht="14.25" customHeight="1">
      <c r="A1000" s="10" t="s">
        <v>2502</v>
      </c>
      <c r="B1000" s="10" t="s">
        <v>31</v>
      </c>
      <c r="C1000" s="10">
        <v>1003.0</v>
      </c>
      <c r="D1000" s="11" t="s">
        <v>2720</v>
      </c>
      <c r="E1000" s="11" t="s">
        <v>2721</v>
      </c>
      <c r="F1000" s="11" t="s">
        <v>103</v>
      </c>
      <c r="G1000" s="10">
        <v>1003.0</v>
      </c>
      <c r="H1000" s="10">
        <f>VLOOKUP(F1000,'Generos y Familia'!$A$1:$C$623,2,FALSE)</f>
        <v>89</v>
      </c>
      <c r="I1000" s="12" t="str">
        <f t="shared" si="1"/>
        <v>Solanum oblongifolium</v>
      </c>
      <c r="J1000" s="10" t="str">
        <f t="shared" si="2"/>
        <v>1003 Solanum oblongifolium</v>
      </c>
      <c r="K1000" s="10" t="str">
        <f t="shared" si="3"/>
        <v>Borrachero; Borrachero Chiquito; Borrachero Cimarrón; Bodoquillo; Cucubo; Tinto</v>
      </c>
      <c r="L1000" s="10" t="str">
        <f t="shared" si="4"/>
        <v>1003 Borrachero; Borrachero Chiquito; Borrachero Cimarrón; Bodoquillo; Cucubo; Tinto</v>
      </c>
      <c r="M1000" s="10" t="s">
        <v>35</v>
      </c>
      <c r="N1000" s="10" t="s">
        <v>36</v>
      </c>
      <c r="O1000" s="10" t="s">
        <v>47</v>
      </c>
      <c r="P1000" s="10" t="s">
        <v>2713</v>
      </c>
      <c r="Q1000" s="17" t="s">
        <v>153</v>
      </c>
      <c r="R1000" s="14" t="s">
        <v>53</v>
      </c>
      <c r="S1000" s="17" t="s">
        <v>347</v>
      </c>
      <c r="T1000" s="14"/>
      <c r="U1000" s="14" t="s">
        <v>40</v>
      </c>
      <c r="V1000" s="14"/>
      <c r="W1000" s="17"/>
      <c r="X1000" s="14" t="s">
        <v>41</v>
      </c>
    </row>
    <row r="1001" ht="14.25" customHeight="1">
      <c r="A1001" s="10" t="s">
        <v>2502</v>
      </c>
      <c r="B1001" s="10" t="s">
        <v>31</v>
      </c>
      <c r="C1001" s="10">
        <v>1004.0</v>
      </c>
      <c r="D1001" s="11" t="s">
        <v>2722</v>
      </c>
      <c r="E1001" s="11" t="s">
        <v>2723</v>
      </c>
      <c r="F1001" s="11" t="s">
        <v>103</v>
      </c>
      <c r="G1001" s="10">
        <v>1004.0</v>
      </c>
      <c r="H1001" s="10">
        <f>VLOOKUP(F1001,'Generos y Familia'!$A$1:$C$623,2,FALSE)</f>
        <v>89</v>
      </c>
      <c r="I1001" s="12" t="str">
        <f t="shared" si="1"/>
        <v>Solanum quitoense</v>
      </c>
      <c r="J1001" s="10" t="str">
        <f t="shared" si="2"/>
        <v>1004 Solanum quitoense</v>
      </c>
      <c r="K1001" s="10" t="str">
        <f t="shared" si="3"/>
        <v>Lulo; Lulo de Castilla; Lulo de Perro; Lulo Morado; Lulo Pequeño; Bombolo</v>
      </c>
      <c r="L1001" s="10" t="str">
        <f t="shared" si="4"/>
        <v>1004 Lulo; Lulo de Castilla; Lulo de Perro; Lulo Morado; Lulo Pequeño; Bombolo</v>
      </c>
      <c r="M1001" s="10" t="s">
        <v>35</v>
      </c>
      <c r="N1001" s="10" t="s">
        <v>36</v>
      </c>
      <c r="O1001" s="10" t="s">
        <v>47</v>
      </c>
      <c r="P1001" s="10" t="s">
        <v>2713</v>
      </c>
      <c r="Q1001" s="17" t="s">
        <v>421</v>
      </c>
      <c r="R1001" s="14" t="s">
        <v>53</v>
      </c>
      <c r="S1001" s="17" t="s">
        <v>347</v>
      </c>
      <c r="T1001" s="14"/>
      <c r="U1001" s="14" t="s">
        <v>55</v>
      </c>
      <c r="V1001" s="14"/>
      <c r="W1001" s="18"/>
      <c r="X1001" s="14" t="s">
        <v>41</v>
      </c>
    </row>
    <row r="1002" ht="14.25" customHeight="1">
      <c r="A1002" s="10" t="s">
        <v>2502</v>
      </c>
      <c r="B1002" s="10" t="s">
        <v>31</v>
      </c>
      <c r="C1002" s="10">
        <v>1005.0</v>
      </c>
      <c r="D1002" s="11" t="s">
        <v>2724</v>
      </c>
      <c r="E1002" s="11" t="s">
        <v>2725</v>
      </c>
      <c r="F1002" s="11" t="s">
        <v>103</v>
      </c>
      <c r="G1002" s="10">
        <v>1005.0</v>
      </c>
      <c r="H1002" s="10">
        <f>VLOOKUP(F1002,'Generos y Familia'!$A$1:$C$623,2,FALSE)</f>
        <v>89</v>
      </c>
      <c r="I1002" s="12" t="str">
        <f t="shared" si="1"/>
        <v>Solanum rovirosanum</v>
      </c>
      <c r="J1002" s="10" t="str">
        <f t="shared" si="2"/>
        <v>1005 Solanum rovirosanum</v>
      </c>
      <c r="K1002" s="10" t="str">
        <f t="shared" si="3"/>
        <v>Indioviejo</v>
      </c>
      <c r="L1002" s="10" t="str">
        <f t="shared" si="4"/>
        <v>1005 Indioviejo</v>
      </c>
      <c r="M1002" s="10" t="s">
        <v>35</v>
      </c>
      <c r="N1002" s="10" t="s">
        <v>36</v>
      </c>
      <c r="O1002" s="10"/>
      <c r="P1002" s="10" t="s">
        <v>2713</v>
      </c>
      <c r="Q1002" s="13"/>
      <c r="R1002" s="13"/>
      <c r="S1002" s="13"/>
      <c r="T1002" s="13"/>
      <c r="U1002" s="13"/>
      <c r="V1002" s="13"/>
      <c r="W1002" s="16"/>
      <c r="X1002" s="13"/>
    </row>
    <row r="1003" ht="14.25" customHeight="1">
      <c r="A1003" s="10" t="s">
        <v>2502</v>
      </c>
      <c r="B1003" s="10" t="s">
        <v>31</v>
      </c>
      <c r="C1003" s="10">
        <v>1006.0</v>
      </c>
      <c r="D1003" s="11" t="s">
        <v>2726</v>
      </c>
      <c r="E1003" s="11" t="s">
        <v>2727</v>
      </c>
      <c r="F1003" s="11" t="s">
        <v>103</v>
      </c>
      <c r="G1003" s="10">
        <v>1006.0</v>
      </c>
      <c r="H1003" s="10">
        <f>VLOOKUP(F1003,'Generos y Familia'!$A$1:$C$623,2,FALSE)</f>
        <v>89</v>
      </c>
      <c r="I1003" s="12" t="str">
        <f t="shared" si="1"/>
        <v>Solanum rudepannum</v>
      </c>
      <c r="J1003" s="10" t="str">
        <f t="shared" si="2"/>
        <v>1006 Solanum rudepannum</v>
      </c>
      <c r="K1003" s="10" t="str">
        <f t="shared" si="3"/>
        <v>Sacalaestaca; Sacaestaca; Friegaplatos; Limpiaplato; Mancatigre</v>
      </c>
      <c r="L1003" s="10" t="str">
        <f t="shared" si="4"/>
        <v>1006 Sacalaestaca; Sacaestaca; Friegaplatos; Limpiaplato; Mancatigre</v>
      </c>
      <c r="M1003" s="10" t="s">
        <v>35</v>
      </c>
      <c r="N1003" s="10" t="s">
        <v>36</v>
      </c>
      <c r="O1003" s="10" t="s">
        <v>47</v>
      </c>
      <c r="P1003" s="10" t="s">
        <v>2713</v>
      </c>
      <c r="Q1003" s="13"/>
      <c r="R1003" s="13"/>
      <c r="S1003" s="13"/>
      <c r="T1003" s="13"/>
      <c r="U1003" s="13"/>
      <c r="V1003" s="13"/>
      <c r="W1003" s="16"/>
      <c r="X1003" s="13"/>
    </row>
    <row r="1004" ht="14.25" customHeight="1">
      <c r="A1004" s="10" t="s">
        <v>2502</v>
      </c>
      <c r="B1004" s="10" t="s">
        <v>31</v>
      </c>
      <c r="C1004" s="10">
        <v>1007.0</v>
      </c>
      <c r="D1004" s="11" t="s">
        <v>2728</v>
      </c>
      <c r="E1004" s="11" t="s">
        <v>2713</v>
      </c>
      <c r="F1004" s="11" t="s">
        <v>103</v>
      </c>
      <c r="G1004" s="10">
        <v>1007.0</v>
      </c>
      <c r="H1004" s="10">
        <f>VLOOKUP(F1004,'Generos y Familia'!$A$1:$C$623,2,FALSE)</f>
        <v>89</v>
      </c>
      <c r="I1004" s="12" t="str">
        <f t="shared" si="1"/>
        <v>Solanum sp</v>
      </c>
      <c r="J1004" s="10" t="str">
        <f t="shared" si="2"/>
        <v>1007 Solanum sp</v>
      </c>
      <c r="K1004" s="10" t="str">
        <f t="shared" si="3"/>
        <v>Solanum</v>
      </c>
      <c r="L1004" s="10" t="str">
        <f t="shared" si="4"/>
        <v>1007 Solanum</v>
      </c>
      <c r="M1004" s="10" t="s">
        <v>35</v>
      </c>
      <c r="N1004" s="10" t="s">
        <v>36</v>
      </c>
      <c r="O1004" s="10" t="s">
        <v>47</v>
      </c>
      <c r="P1004" s="10" t="s">
        <v>2713</v>
      </c>
      <c r="Q1004" s="17" t="s">
        <v>612</v>
      </c>
      <c r="R1004" s="14"/>
      <c r="S1004" s="17" t="s">
        <v>70</v>
      </c>
      <c r="T1004" s="14"/>
      <c r="U1004" s="14" t="s">
        <v>40</v>
      </c>
      <c r="V1004" s="14"/>
      <c r="W1004" s="18"/>
      <c r="X1004" s="14" t="s">
        <v>41</v>
      </c>
    </row>
    <row r="1005" ht="14.25" customHeight="1">
      <c r="A1005" s="10" t="s">
        <v>2502</v>
      </c>
      <c r="B1005" s="10" t="s">
        <v>31</v>
      </c>
      <c r="C1005" s="10">
        <v>1008.0</v>
      </c>
      <c r="D1005" s="11" t="s">
        <v>2729</v>
      </c>
      <c r="E1005" s="11" t="s">
        <v>2730</v>
      </c>
      <c r="F1005" s="11" t="s">
        <v>103</v>
      </c>
      <c r="G1005" s="10">
        <v>1008.0</v>
      </c>
      <c r="H1005" s="10">
        <f>VLOOKUP(F1005,'Generos y Familia'!$A$1:$C$623,2,FALSE)</f>
        <v>89</v>
      </c>
      <c r="I1005" s="12" t="str">
        <f t="shared" si="1"/>
        <v>Solanum sycophanta</v>
      </c>
      <c r="J1005" s="10" t="str">
        <f t="shared" si="2"/>
        <v>1008 Solanum sycophanta</v>
      </c>
      <c r="K1005" s="10" t="str">
        <f t="shared" si="3"/>
        <v>Cujarco; Cucubo; Cujaco; Almanegra; Lulo; Tachuelo</v>
      </c>
      <c r="L1005" s="10" t="str">
        <f t="shared" si="4"/>
        <v>1008 Cujarco; Cucubo; Cujaco; Almanegra; Lulo; Tachuelo</v>
      </c>
      <c r="M1005" s="10" t="s">
        <v>35</v>
      </c>
      <c r="N1005" s="10" t="s">
        <v>36</v>
      </c>
      <c r="O1005" s="10" t="s">
        <v>47</v>
      </c>
      <c r="P1005" s="10" t="s">
        <v>2713</v>
      </c>
      <c r="Q1005" s="13"/>
      <c r="R1005" s="13"/>
      <c r="S1005" s="13"/>
      <c r="T1005" s="13"/>
      <c r="U1005" s="13"/>
      <c r="V1005" s="13"/>
      <c r="W1005" s="16"/>
      <c r="X1005" s="13"/>
    </row>
    <row r="1006" ht="14.25" customHeight="1">
      <c r="A1006" s="10" t="s">
        <v>2502</v>
      </c>
      <c r="B1006" s="10" t="s">
        <v>31</v>
      </c>
      <c r="C1006" s="10">
        <v>1009.0</v>
      </c>
      <c r="D1006" s="11" t="s">
        <v>2731</v>
      </c>
      <c r="E1006" s="11" t="s">
        <v>2732</v>
      </c>
      <c r="F1006" s="11" t="s">
        <v>103</v>
      </c>
      <c r="G1006" s="10">
        <v>1009.0</v>
      </c>
      <c r="H1006" s="10">
        <f>VLOOKUP(F1006,'Generos y Familia'!$A$1:$C$623,2,FALSE)</f>
        <v>89</v>
      </c>
      <c r="I1006" s="12" t="str">
        <f t="shared" si="1"/>
        <v>Solanum torvum</v>
      </c>
      <c r="J1006" s="10" t="str">
        <f t="shared" si="2"/>
        <v>1009 Solanum torvum</v>
      </c>
      <c r="K1006" s="10" t="str">
        <f t="shared" si="3"/>
        <v>Friegaplatos; Cujaca; Berenjenita Cimarrona; Frutillo</v>
      </c>
      <c r="L1006" s="10" t="str">
        <f t="shared" si="4"/>
        <v>1009 Friegaplatos; Cujaca; Berenjenita Cimarrona; Frutillo</v>
      </c>
      <c r="M1006" s="10" t="s">
        <v>35</v>
      </c>
      <c r="N1006" s="10" t="s">
        <v>36</v>
      </c>
      <c r="O1006" s="10" t="s">
        <v>47</v>
      </c>
      <c r="P1006" s="10" t="s">
        <v>2713</v>
      </c>
      <c r="Q1006" s="17" t="s">
        <v>632</v>
      </c>
      <c r="R1006" s="14"/>
      <c r="S1006" s="17" t="s">
        <v>145</v>
      </c>
      <c r="T1006" s="14"/>
      <c r="U1006" s="14" t="s">
        <v>55</v>
      </c>
      <c r="V1006" s="14"/>
      <c r="W1006" s="17"/>
      <c r="X1006" s="14" t="s">
        <v>41</v>
      </c>
    </row>
    <row r="1007" ht="14.25" customHeight="1">
      <c r="A1007" s="10" t="s">
        <v>2502</v>
      </c>
      <c r="B1007" s="10" t="s">
        <v>31</v>
      </c>
      <c r="C1007" s="10">
        <v>1010.0</v>
      </c>
      <c r="D1007" s="11" t="s">
        <v>2733</v>
      </c>
      <c r="E1007" s="11" t="s">
        <v>2734</v>
      </c>
      <c r="F1007" s="11" t="s">
        <v>103</v>
      </c>
      <c r="G1007" s="10">
        <v>1010.0</v>
      </c>
      <c r="H1007" s="10">
        <f>VLOOKUP(F1007,'Generos y Familia'!$A$1:$C$623,2,FALSE)</f>
        <v>89</v>
      </c>
      <c r="I1007" s="12" t="str">
        <f t="shared" si="1"/>
        <v>Solanum umbellatum</v>
      </c>
      <c r="J1007" s="10" t="str">
        <f t="shared" si="2"/>
        <v>1010 Solanum umbellatum</v>
      </c>
      <c r="K1007" s="10" t="str">
        <f t="shared" si="3"/>
        <v>Chucho Lanudo; Pepo; Borrachero</v>
      </c>
      <c r="L1007" s="10" t="str">
        <f t="shared" si="4"/>
        <v>1010 Chucho Lanudo; Pepo; Borrachero</v>
      </c>
      <c r="M1007" s="10" t="s">
        <v>35</v>
      </c>
      <c r="N1007" s="10" t="s">
        <v>36</v>
      </c>
      <c r="O1007" s="10" t="s">
        <v>47</v>
      </c>
      <c r="P1007" s="10" t="s">
        <v>2713</v>
      </c>
      <c r="Q1007" s="17" t="s">
        <v>153</v>
      </c>
      <c r="R1007" s="14"/>
      <c r="S1007" s="17" t="s">
        <v>379</v>
      </c>
      <c r="T1007" s="14"/>
      <c r="U1007" s="14" t="s">
        <v>40</v>
      </c>
      <c r="V1007" s="14"/>
      <c r="W1007" s="17"/>
      <c r="X1007" s="14" t="s">
        <v>41</v>
      </c>
    </row>
    <row r="1008" ht="14.25" customHeight="1">
      <c r="A1008" s="10" t="s">
        <v>2502</v>
      </c>
      <c r="B1008" s="10" t="s">
        <v>31</v>
      </c>
      <c r="C1008" s="10">
        <v>1011.0</v>
      </c>
      <c r="D1008" s="11" t="s">
        <v>2735</v>
      </c>
      <c r="E1008" s="11" t="s">
        <v>2736</v>
      </c>
      <c r="F1008" s="11" t="s">
        <v>103</v>
      </c>
      <c r="G1008" s="10">
        <v>1011.0</v>
      </c>
      <c r="H1008" s="10">
        <f>VLOOKUP(F1008,'Generos y Familia'!$A$1:$C$623,2,FALSE)</f>
        <v>89</v>
      </c>
      <c r="I1008" s="12" t="str">
        <f t="shared" si="1"/>
        <v>Solanum wrightii</v>
      </c>
      <c r="J1008" s="10" t="str">
        <f t="shared" si="2"/>
        <v>1011 Solanum wrightii</v>
      </c>
      <c r="K1008" s="10" t="str">
        <f t="shared" si="3"/>
        <v>Tachuelo; Lulo</v>
      </c>
      <c r="L1008" s="10" t="str">
        <f t="shared" si="4"/>
        <v>1011 Tachuelo; Lulo</v>
      </c>
      <c r="M1008" s="10" t="s">
        <v>35</v>
      </c>
      <c r="N1008" s="10" t="s">
        <v>36</v>
      </c>
      <c r="O1008" s="10" t="s">
        <v>37</v>
      </c>
      <c r="P1008" s="10" t="s">
        <v>2713</v>
      </c>
      <c r="Q1008" s="13"/>
      <c r="R1008" s="13"/>
      <c r="S1008" s="13"/>
      <c r="T1008" s="13"/>
      <c r="U1008" s="13"/>
      <c r="V1008" s="13"/>
      <c r="W1008" s="13"/>
      <c r="X1008" s="13"/>
    </row>
    <row r="1009" ht="14.25" customHeight="1">
      <c r="A1009" s="10" t="s">
        <v>2502</v>
      </c>
      <c r="B1009" s="10" t="s">
        <v>31</v>
      </c>
      <c r="C1009" s="10">
        <v>1012.0</v>
      </c>
      <c r="D1009" s="11" t="s">
        <v>2737</v>
      </c>
      <c r="E1009" s="11" t="s">
        <v>2738</v>
      </c>
      <c r="F1009" s="11" t="s">
        <v>596</v>
      </c>
      <c r="G1009" s="10">
        <v>1012.0</v>
      </c>
      <c r="H1009" s="10">
        <f>VLOOKUP(F1009,'Generos y Familia'!$A$1:$C$623,2,FALSE)</f>
        <v>39</v>
      </c>
      <c r="I1009" s="12" t="str">
        <f t="shared" si="1"/>
        <v>Spachea herbert-smithii</v>
      </c>
      <c r="J1009" s="10" t="str">
        <f t="shared" si="2"/>
        <v>1012 Spachea herbert-smithii</v>
      </c>
      <c r="K1009" s="10" t="str">
        <f t="shared" si="3"/>
        <v>Espaquea</v>
      </c>
      <c r="L1009" s="10" t="str">
        <f t="shared" si="4"/>
        <v>1012 Espaquea</v>
      </c>
      <c r="M1009" s="10" t="s">
        <v>35</v>
      </c>
      <c r="N1009" s="10" t="s">
        <v>36</v>
      </c>
      <c r="O1009" s="10" t="s">
        <v>37</v>
      </c>
      <c r="P1009" s="10" t="s">
        <v>2739</v>
      </c>
      <c r="Q1009" s="13"/>
      <c r="R1009" s="13"/>
      <c r="S1009" s="13"/>
      <c r="T1009" s="13"/>
      <c r="U1009" s="13"/>
      <c r="V1009" s="13"/>
      <c r="W1009" s="13"/>
      <c r="X1009" s="13"/>
    </row>
    <row r="1010" ht="14.25" customHeight="1">
      <c r="A1010" s="10" t="s">
        <v>2502</v>
      </c>
      <c r="B1010" s="10" t="s">
        <v>31</v>
      </c>
      <c r="C1010" s="10">
        <v>1013.0</v>
      </c>
      <c r="D1010" s="11" t="s">
        <v>2740</v>
      </c>
      <c r="E1010" s="11" t="s">
        <v>2741</v>
      </c>
      <c r="F1010" s="11" t="s">
        <v>248</v>
      </c>
      <c r="G1010" s="10">
        <v>1013.0</v>
      </c>
      <c r="H1010" s="10">
        <f>VLOOKUP(F1010,'Generos y Familia'!$A$1:$C$623,2,FALSE)</f>
        <v>20</v>
      </c>
      <c r="I1010" s="12" t="str">
        <f t="shared" si="1"/>
        <v>Spathodea campanulata</v>
      </c>
      <c r="J1010" s="10" t="str">
        <f t="shared" si="2"/>
        <v>1013 Spathodea campanulata</v>
      </c>
      <c r="K1010" s="10" t="str">
        <f t="shared" si="3"/>
        <v>Tulipán Africano; Tulipán; Miona; Rosa China; Barquitos</v>
      </c>
      <c r="L1010" s="10" t="str">
        <f t="shared" si="4"/>
        <v>1013 Tulipán Africano; Tulipán; Miona; Rosa China; Barquitos</v>
      </c>
      <c r="M1010" s="10" t="s">
        <v>46</v>
      </c>
      <c r="N1010" s="10" t="s">
        <v>36</v>
      </c>
      <c r="O1010" s="10" t="s">
        <v>37</v>
      </c>
      <c r="P1010" s="10" t="s">
        <v>2742</v>
      </c>
      <c r="Q1010" s="17" t="s">
        <v>145</v>
      </c>
      <c r="R1010" s="14" t="s">
        <v>39</v>
      </c>
      <c r="S1010" s="17" t="s">
        <v>70</v>
      </c>
      <c r="T1010" s="14" t="s">
        <v>39</v>
      </c>
      <c r="U1010" s="14" t="s">
        <v>55</v>
      </c>
      <c r="V1010" s="14">
        <v>0.35</v>
      </c>
      <c r="W1010" s="17"/>
      <c r="X1010" s="14"/>
    </row>
    <row r="1011" ht="14.25" customHeight="1">
      <c r="A1011" s="10" t="s">
        <v>2502</v>
      </c>
      <c r="B1011" s="10" t="s">
        <v>31</v>
      </c>
      <c r="C1011" s="10">
        <v>1014.0</v>
      </c>
      <c r="D1011" s="11" t="s">
        <v>2743</v>
      </c>
      <c r="E1011" s="11" t="s">
        <v>2744</v>
      </c>
      <c r="F1011" s="11" t="s">
        <v>45</v>
      </c>
      <c r="G1011" s="10">
        <v>1014.0</v>
      </c>
      <c r="H1011" s="10">
        <f>VLOOKUP(F1011,'Generos y Familia'!$A$1:$C$623,2,FALSE)</f>
        <v>40</v>
      </c>
      <c r="I1011" s="12" t="str">
        <f t="shared" si="1"/>
        <v>Spirotheca rosea</v>
      </c>
      <c r="J1011" s="10" t="str">
        <f t="shared" si="2"/>
        <v>1014 Spirotheca rosea</v>
      </c>
      <c r="K1011" s="10" t="str">
        <f t="shared" si="3"/>
        <v>Ceiba Tierra Fria</v>
      </c>
      <c r="L1011" s="10" t="str">
        <f t="shared" si="4"/>
        <v>1014 Ceiba Tierra Fria</v>
      </c>
      <c r="M1011" s="10" t="s">
        <v>35</v>
      </c>
      <c r="N1011" s="10" t="s">
        <v>36</v>
      </c>
      <c r="O1011" s="10" t="s">
        <v>37</v>
      </c>
      <c r="P1011" s="10" t="s">
        <v>2745</v>
      </c>
      <c r="Q1011" s="17" t="s">
        <v>106</v>
      </c>
      <c r="R1011" s="14" t="s">
        <v>53</v>
      </c>
      <c r="S1011" s="17" t="s">
        <v>347</v>
      </c>
      <c r="T1011" s="14"/>
      <c r="U1011" s="14" t="s">
        <v>55</v>
      </c>
      <c r="V1011" s="14"/>
      <c r="W1011" s="17"/>
      <c r="X1011" s="14" t="s">
        <v>41</v>
      </c>
    </row>
    <row r="1012" ht="14.25" customHeight="1">
      <c r="A1012" s="10" t="s">
        <v>2502</v>
      </c>
      <c r="B1012" s="10" t="s">
        <v>31</v>
      </c>
      <c r="C1012" s="10">
        <v>1015.0</v>
      </c>
      <c r="D1012" s="11" t="s">
        <v>2746</v>
      </c>
      <c r="E1012" s="11" t="s">
        <v>2747</v>
      </c>
      <c r="F1012" s="11" t="s">
        <v>45</v>
      </c>
      <c r="G1012" s="10">
        <v>1015.0</v>
      </c>
      <c r="H1012" s="10">
        <f>VLOOKUP(F1012,'Generos y Familia'!$A$1:$C$623,2,FALSE)</f>
        <v>40</v>
      </c>
      <c r="I1012" s="12" t="str">
        <f t="shared" si="1"/>
        <v>Spirotheca sp</v>
      </c>
      <c r="J1012" s="10" t="str">
        <f t="shared" si="2"/>
        <v>1015 Spirotheca sp</v>
      </c>
      <c r="K1012" s="10" t="str">
        <f t="shared" si="3"/>
        <v>Espiroteca</v>
      </c>
      <c r="L1012" s="10" t="str">
        <f t="shared" si="4"/>
        <v>1015 Espiroteca</v>
      </c>
      <c r="M1012" s="10" t="s">
        <v>35</v>
      </c>
      <c r="N1012" s="10" t="s">
        <v>36</v>
      </c>
      <c r="O1012" s="10" t="s">
        <v>37</v>
      </c>
      <c r="P1012" s="10" t="s">
        <v>2745</v>
      </c>
      <c r="Q1012" s="13"/>
      <c r="R1012" s="13"/>
      <c r="S1012" s="13"/>
      <c r="T1012" s="13"/>
      <c r="U1012" s="13"/>
      <c r="V1012" s="13"/>
      <c r="W1012" s="13"/>
      <c r="X1012" s="13"/>
    </row>
    <row r="1013" ht="14.25" customHeight="1">
      <c r="A1013" s="10" t="s">
        <v>2502</v>
      </c>
      <c r="B1013" s="10" t="s">
        <v>31</v>
      </c>
      <c r="C1013" s="10">
        <v>1016.0</v>
      </c>
      <c r="D1013" s="11" t="s">
        <v>2748</v>
      </c>
      <c r="E1013" s="11" t="s">
        <v>2749</v>
      </c>
      <c r="F1013" s="11" t="s">
        <v>258</v>
      </c>
      <c r="G1013" s="10">
        <v>1016.0</v>
      </c>
      <c r="H1013" s="10">
        <f>VLOOKUP(F1013,'Generos y Familia'!$A$1:$C$623,2,FALSE)</f>
        <v>7</v>
      </c>
      <c r="I1013" s="12" t="str">
        <f t="shared" si="1"/>
        <v>Spondias dulcis</v>
      </c>
      <c r="J1013" s="10" t="str">
        <f t="shared" si="2"/>
        <v>1016 Spondias dulcis</v>
      </c>
      <c r="K1013" s="10" t="str">
        <f t="shared" si="3"/>
        <v>Cancharana; Canyarana; Canllarana; Cancharama; Ciruelo Dulce; Hobo</v>
      </c>
      <c r="L1013" s="10" t="str">
        <f t="shared" si="4"/>
        <v>1016 Cancharana; Canyarana; Canllarana; Cancharama; Ciruelo Dulce; Hobo</v>
      </c>
      <c r="M1013" s="10" t="s">
        <v>46</v>
      </c>
      <c r="N1013" s="10" t="s">
        <v>36</v>
      </c>
      <c r="O1013" s="10" t="s">
        <v>37</v>
      </c>
      <c r="P1013" s="10" t="s">
        <v>2750</v>
      </c>
      <c r="Q1013" s="13"/>
      <c r="R1013" s="13"/>
      <c r="S1013" s="13"/>
      <c r="T1013" s="13"/>
      <c r="U1013" s="13"/>
      <c r="V1013" s="13"/>
      <c r="W1013" s="13"/>
      <c r="X1013" s="13"/>
    </row>
    <row r="1014" ht="14.25" customHeight="1">
      <c r="A1014" s="10" t="s">
        <v>2502</v>
      </c>
      <c r="B1014" s="10" t="s">
        <v>31</v>
      </c>
      <c r="C1014" s="10">
        <v>1017.0</v>
      </c>
      <c r="D1014" s="11" t="s">
        <v>2751</v>
      </c>
      <c r="E1014" s="11" t="s">
        <v>2752</v>
      </c>
      <c r="F1014" s="11" t="s">
        <v>258</v>
      </c>
      <c r="G1014" s="10">
        <v>1017.0</v>
      </c>
      <c r="H1014" s="10">
        <f>VLOOKUP(F1014,'Generos y Familia'!$A$1:$C$623,2,FALSE)</f>
        <v>7</v>
      </c>
      <c r="I1014" s="12" t="str">
        <f t="shared" si="1"/>
        <v>Spondias mombin</v>
      </c>
      <c r="J1014" s="10" t="str">
        <f t="shared" si="2"/>
        <v>1017 Spondias mombin</v>
      </c>
      <c r="K1014" s="10" t="str">
        <f t="shared" si="3"/>
        <v>Hobo; Jobo; Ubo; Uvo; Hobo Arisco; Ciruelo</v>
      </c>
      <c r="L1014" s="10" t="str">
        <f t="shared" si="4"/>
        <v>1017 Hobo; Jobo; Ubo; Uvo; Hobo Arisco; Ciruelo</v>
      </c>
      <c r="M1014" s="10" t="s">
        <v>35</v>
      </c>
      <c r="N1014" s="10" t="s">
        <v>36</v>
      </c>
      <c r="O1014" s="10" t="s">
        <v>37</v>
      </c>
      <c r="P1014" s="10" t="s">
        <v>2750</v>
      </c>
      <c r="Q1014" s="13"/>
      <c r="R1014" s="13"/>
      <c r="S1014" s="13"/>
      <c r="T1014" s="13"/>
      <c r="U1014" s="13"/>
      <c r="V1014" s="13"/>
      <c r="W1014" s="13"/>
      <c r="X1014" s="13"/>
    </row>
    <row r="1015" ht="14.25" customHeight="1">
      <c r="A1015" s="10" t="s">
        <v>2502</v>
      </c>
      <c r="B1015" s="10" t="s">
        <v>31</v>
      </c>
      <c r="C1015" s="10">
        <v>1018.0</v>
      </c>
      <c r="D1015" s="11" t="s">
        <v>2753</v>
      </c>
      <c r="E1015" s="11" t="s">
        <v>2754</v>
      </c>
      <c r="F1015" s="11" t="s">
        <v>258</v>
      </c>
      <c r="G1015" s="10">
        <v>1018.0</v>
      </c>
      <c r="H1015" s="10">
        <f>VLOOKUP(F1015,'Generos y Familia'!$A$1:$C$623,2,FALSE)</f>
        <v>7</v>
      </c>
      <c r="I1015" s="12" t="str">
        <f t="shared" si="1"/>
        <v>Spondias purpurea</v>
      </c>
      <c r="J1015" s="10" t="str">
        <f t="shared" si="2"/>
        <v>1018 Spondias purpurea</v>
      </c>
      <c r="K1015" s="10" t="str">
        <f t="shared" si="3"/>
        <v>Ciruelo; Cirgüelo; Ciruela; Ciruela Calentana; Ciruelo Blanco</v>
      </c>
      <c r="L1015" s="10" t="str">
        <f t="shared" si="4"/>
        <v>1018 Ciruelo; Cirgüelo; Ciruela; Ciruela Calentana; Ciruelo Blanco</v>
      </c>
      <c r="M1015" s="10" t="s">
        <v>35</v>
      </c>
      <c r="N1015" s="10" t="s">
        <v>36</v>
      </c>
      <c r="O1015" s="10" t="s">
        <v>37</v>
      </c>
      <c r="P1015" s="10" t="s">
        <v>2750</v>
      </c>
      <c r="Q1015" s="13"/>
      <c r="R1015" s="13"/>
      <c r="S1015" s="13"/>
      <c r="T1015" s="13"/>
      <c r="U1015" s="13"/>
      <c r="V1015" s="13"/>
      <c r="W1015" s="13"/>
      <c r="X1015" s="13"/>
    </row>
    <row r="1016" ht="14.25" customHeight="1">
      <c r="A1016" s="10" t="s">
        <v>2502</v>
      </c>
      <c r="B1016" s="10" t="s">
        <v>31</v>
      </c>
      <c r="C1016" s="10">
        <v>1019.0</v>
      </c>
      <c r="D1016" s="11" t="s">
        <v>2755</v>
      </c>
      <c r="E1016" s="11" t="s">
        <v>2756</v>
      </c>
      <c r="F1016" s="11" t="s">
        <v>227</v>
      </c>
      <c r="G1016" s="10">
        <v>1019.0</v>
      </c>
      <c r="H1016" s="10">
        <f>VLOOKUP(F1016,'Generos y Familia'!$A$1:$C$623,2,FALSE)</f>
        <v>96</v>
      </c>
      <c r="I1016" s="12" t="str">
        <f t="shared" si="1"/>
        <v>Stachytarpheta frantzii</v>
      </c>
      <c r="J1016" s="10" t="str">
        <f t="shared" si="2"/>
        <v>1019 Stachytarpheta frantzii</v>
      </c>
      <c r="K1016" s="10" t="str">
        <f t="shared" si="3"/>
        <v>Verbena Lila</v>
      </c>
      <c r="L1016" s="10" t="str">
        <f t="shared" si="4"/>
        <v>1019 Verbena Lila</v>
      </c>
      <c r="M1016" s="10" t="s">
        <v>35</v>
      </c>
      <c r="N1016" s="10" t="s">
        <v>36</v>
      </c>
      <c r="O1016" s="10" t="s">
        <v>47</v>
      </c>
      <c r="P1016" s="10" t="s">
        <v>2757</v>
      </c>
      <c r="Q1016" s="13"/>
      <c r="R1016" s="13"/>
      <c r="S1016" s="13"/>
      <c r="T1016" s="13"/>
      <c r="U1016" s="13"/>
      <c r="V1016" s="13"/>
      <c r="W1016" s="13"/>
      <c r="X1016" s="13"/>
    </row>
    <row r="1017" ht="14.25" customHeight="1">
      <c r="A1017" s="10" t="s">
        <v>2502</v>
      </c>
      <c r="B1017" s="10" t="s">
        <v>31</v>
      </c>
      <c r="C1017" s="10">
        <v>1020.0</v>
      </c>
      <c r="D1017" s="11" t="s">
        <v>2758</v>
      </c>
      <c r="E1017" s="11" t="s">
        <v>2759</v>
      </c>
      <c r="F1017" s="11" t="s">
        <v>227</v>
      </c>
      <c r="G1017" s="10">
        <v>1020.0</v>
      </c>
      <c r="H1017" s="10">
        <f>VLOOKUP(F1017,'Generos y Familia'!$A$1:$C$623,2,FALSE)</f>
        <v>96</v>
      </c>
      <c r="I1017" s="12" t="str">
        <f t="shared" si="1"/>
        <v>Stachytarpheta mutabilis</v>
      </c>
      <c r="J1017" s="10" t="str">
        <f t="shared" si="2"/>
        <v>1020 Stachytarpheta mutabilis</v>
      </c>
      <c r="K1017" s="10" t="str">
        <f t="shared" si="3"/>
        <v>Mora de Terciopelo; Hierba de Serpiente</v>
      </c>
      <c r="L1017" s="10" t="str">
        <f t="shared" si="4"/>
        <v>1020 Mora de Terciopelo; Hierba de Serpiente</v>
      </c>
      <c r="M1017" s="10" t="s">
        <v>35</v>
      </c>
      <c r="N1017" s="10" t="s">
        <v>36</v>
      </c>
      <c r="O1017" s="10" t="s">
        <v>47</v>
      </c>
      <c r="P1017" s="10" t="s">
        <v>2757</v>
      </c>
      <c r="Q1017" s="13"/>
      <c r="R1017" s="13"/>
      <c r="S1017" s="13"/>
      <c r="T1017" s="13"/>
      <c r="U1017" s="13"/>
      <c r="V1017" s="13"/>
      <c r="W1017" s="13"/>
      <c r="X1017" s="13"/>
    </row>
    <row r="1018" ht="14.25" customHeight="1">
      <c r="A1018" s="10" t="s">
        <v>2502</v>
      </c>
      <c r="B1018" s="10" t="s">
        <v>31</v>
      </c>
      <c r="C1018" s="10">
        <v>1021.0</v>
      </c>
      <c r="D1018" s="11" t="s">
        <v>2760</v>
      </c>
      <c r="E1018" s="11" t="s">
        <v>2761</v>
      </c>
      <c r="F1018" s="11" t="s">
        <v>227</v>
      </c>
      <c r="G1018" s="10">
        <v>1021.0</v>
      </c>
      <c r="H1018" s="10">
        <f>VLOOKUP(F1018,'Generos y Familia'!$A$1:$C$623,2,FALSE)</f>
        <v>96</v>
      </c>
      <c r="I1018" s="12" t="str">
        <f t="shared" si="1"/>
        <v>Stachytarpheta jamaicensis</v>
      </c>
      <c r="J1018" s="10" t="str">
        <f t="shared" si="2"/>
        <v>1021 Stachytarpheta jamaicensis</v>
      </c>
      <c r="K1018" s="10" t="str">
        <f t="shared" si="3"/>
        <v>Verbena Azul</v>
      </c>
      <c r="L1018" s="10" t="str">
        <f t="shared" si="4"/>
        <v>1021 Verbena Azul</v>
      </c>
      <c r="M1018" s="10" t="s">
        <v>46</v>
      </c>
      <c r="N1018" s="10" t="s">
        <v>36</v>
      </c>
      <c r="O1018" s="10" t="s">
        <v>47</v>
      </c>
      <c r="P1018" s="10" t="s">
        <v>2757</v>
      </c>
      <c r="Q1018" s="17" t="s">
        <v>70</v>
      </c>
      <c r="R1018" s="14" t="s">
        <v>39</v>
      </c>
      <c r="S1018" s="17" t="s">
        <v>347</v>
      </c>
      <c r="T1018" s="14"/>
      <c r="U1018" s="14" t="s">
        <v>55</v>
      </c>
      <c r="V1018" s="14"/>
      <c r="W1018" s="18"/>
      <c r="X1018" s="14" t="s">
        <v>41</v>
      </c>
    </row>
    <row r="1019" ht="14.25" customHeight="1">
      <c r="A1019" s="10" t="s">
        <v>2502</v>
      </c>
      <c r="B1019" s="10" t="s">
        <v>31</v>
      </c>
      <c r="C1019" s="10">
        <v>1022.0</v>
      </c>
      <c r="D1019" s="11" t="s">
        <v>2762</v>
      </c>
      <c r="E1019" s="11" t="s">
        <v>2763</v>
      </c>
      <c r="F1019" s="11" t="s">
        <v>206</v>
      </c>
      <c r="G1019" s="10">
        <v>1022.0</v>
      </c>
      <c r="H1019" s="10">
        <f>VLOOKUP(F1019,'Generos y Familia'!$A$1:$C$623,2,FALSE)</f>
        <v>9</v>
      </c>
      <c r="I1019" s="12" t="str">
        <f t="shared" si="1"/>
        <v>Stemmadenia litoralis</v>
      </c>
      <c r="J1019" s="10" t="str">
        <f t="shared" si="2"/>
        <v>1022 Stemmadenia litoralis</v>
      </c>
      <c r="K1019" s="10" t="str">
        <f t="shared" si="3"/>
        <v>Azuceno; Huevos de Perro; Cojon de Gato; Jazmín; Estremadelio</v>
      </c>
      <c r="L1019" s="10" t="str">
        <f t="shared" si="4"/>
        <v>1022 Azuceno; Huevos de Perro; Cojon de Gato; Jazmín; Estremadelio</v>
      </c>
      <c r="M1019" s="10" t="s">
        <v>35</v>
      </c>
      <c r="N1019" s="10" t="s">
        <v>36</v>
      </c>
      <c r="O1019" s="10" t="s">
        <v>47</v>
      </c>
      <c r="P1019" s="10" t="s">
        <v>2764</v>
      </c>
      <c r="Q1019" s="13"/>
      <c r="R1019" s="13"/>
      <c r="S1019" s="13"/>
      <c r="T1019" s="13"/>
      <c r="U1019" s="13"/>
      <c r="V1019" s="13"/>
      <c r="W1019" s="13"/>
      <c r="X1019" s="13"/>
    </row>
    <row r="1020" ht="14.25" customHeight="1">
      <c r="A1020" s="10" t="s">
        <v>2502</v>
      </c>
      <c r="B1020" s="10" t="s">
        <v>31</v>
      </c>
      <c r="C1020" s="10">
        <v>1023.0</v>
      </c>
      <c r="D1020" s="11" t="s">
        <v>2765</v>
      </c>
      <c r="E1020" s="11" t="s">
        <v>2766</v>
      </c>
      <c r="F1020" s="11" t="s">
        <v>45</v>
      </c>
      <c r="G1020" s="10">
        <v>1023.0</v>
      </c>
      <c r="H1020" s="10">
        <f>VLOOKUP(F1020,'Generos y Familia'!$A$1:$C$623,2,FALSE)</f>
        <v>40</v>
      </c>
      <c r="I1020" s="12" t="str">
        <f t="shared" si="1"/>
        <v>Sterculia apetala</v>
      </c>
      <c r="J1020" s="10" t="str">
        <f t="shared" si="2"/>
        <v>1023 Sterculia apetala</v>
      </c>
      <c r="K1020" s="10" t="str">
        <f t="shared" si="3"/>
        <v>Camajón; Piñón; Camajonduro; Camajorú; Camajurú; Camajón Duro</v>
      </c>
      <c r="L1020" s="10" t="str">
        <f t="shared" si="4"/>
        <v>1023 Camajón; Piñón; Camajonduro; Camajorú; Camajurú; Camajón Duro</v>
      </c>
      <c r="M1020" s="10" t="s">
        <v>35</v>
      </c>
      <c r="N1020" s="10" t="s">
        <v>36</v>
      </c>
      <c r="O1020" s="10" t="s">
        <v>37</v>
      </c>
      <c r="P1020" s="10" t="s">
        <v>2767</v>
      </c>
      <c r="Q1020" s="13"/>
      <c r="R1020" s="13"/>
      <c r="S1020" s="13"/>
      <c r="T1020" s="13"/>
      <c r="U1020" s="13"/>
      <c r="V1020" s="13"/>
      <c r="W1020" s="13"/>
      <c r="X1020" s="13"/>
    </row>
    <row r="1021" ht="14.25" customHeight="1">
      <c r="A1021" s="10" t="s">
        <v>2502</v>
      </c>
      <c r="B1021" s="10" t="s">
        <v>31</v>
      </c>
      <c r="C1021" s="10">
        <v>1024.0</v>
      </c>
      <c r="D1021" s="11" t="s">
        <v>2768</v>
      </c>
      <c r="E1021" s="11" t="s">
        <v>2769</v>
      </c>
      <c r="F1021" s="11" t="s">
        <v>34</v>
      </c>
      <c r="G1021" s="10">
        <v>1024.0</v>
      </c>
      <c r="H1021" s="10">
        <f>VLOOKUP(F1021,'Generos y Familia'!$A$1:$C$623,2,FALSE)</f>
        <v>27</v>
      </c>
      <c r="I1021" s="12" t="str">
        <f t="shared" si="1"/>
        <v>Stryphnodendron sp</v>
      </c>
      <c r="J1021" s="10" t="str">
        <f t="shared" si="2"/>
        <v>1024 Stryphnodendron sp</v>
      </c>
      <c r="K1021" s="10" t="str">
        <f t="shared" si="3"/>
        <v>Barbatimao</v>
      </c>
      <c r="L1021" s="10" t="str">
        <f t="shared" si="4"/>
        <v>1024 Barbatimao</v>
      </c>
      <c r="M1021" s="10" t="s">
        <v>35</v>
      </c>
      <c r="N1021" s="10"/>
      <c r="O1021" s="10"/>
      <c r="P1021" s="10" t="s">
        <v>2770</v>
      </c>
      <c r="Q1021" s="13"/>
      <c r="R1021" s="13"/>
      <c r="S1021" s="13"/>
      <c r="T1021" s="13"/>
      <c r="U1021" s="13"/>
      <c r="V1021" s="13"/>
      <c r="W1021" s="13"/>
      <c r="X1021" s="13"/>
    </row>
    <row r="1022" ht="14.25" customHeight="1">
      <c r="A1022" s="10" t="s">
        <v>2502</v>
      </c>
      <c r="B1022" s="10" t="s">
        <v>31</v>
      </c>
      <c r="C1022" s="10">
        <v>1025.0</v>
      </c>
      <c r="D1022" s="11" t="s">
        <v>2771</v>
      </c>
      <c r="E1022" s="11" t="s">
        <v>2772</v>
      </c>
      <c r="F1022" s="11" t="s">
        <v>132</v>
      </c>
      <c r="G1022" s="10">
        <v>1025.0</v>
      </c>
      <c r="H1022" s="10">
        <f>VLOOKUP(F1022,'Generos y Familia'!$A$1:$C$623,2,FALSE)</f>
        <v>74</v>
      </c>
      <c r="I1022" s="12" t="str">
        <f t="shared" si="1"/>
        <v>Stylogyne sp</v>
      </c>
      <c r="J1022" s="10" t="str">
        <f t="shared" si="2"/>
        <v>1025 Stylogyne sp</v>
      </c>
      <c r="K1022" s="10" t="str">
        <f t="shared" si="3"/>
        <v>Chuchillo</v>
      </c>
      <c r="L1022" s="10" t="str">
        <f t="shared" si="4"/>
        <v>1025 Chuchillo</v>
      </c>
      <c r="M1022" s="10" t="s">
        <v>35</v>
      </c>
      <c r="N1022" s="10"/>
      <c r="O1022" s="10"/>
      <c r="P1022" s="10" t="s">
        <v>2773</v>
      </c>
      <c r="Q1022" s="13"/>
      <c r="R1022" s="13"/>
      <c r="S1022" s="13"/>
      <c r="T1022" s="13"/>
      <c r="U1022" s="13"/>
      <c r="V1022" s="13"/>
      <c r="W1022" s="16"/>
      <c r="X1022" s="13"/>
    </row>
    <row r="1023" ht="14.25" customHeight="1">
      <c r="A1023" s="10" t="s">
        <v>2502</v>
      </c>
      <c r="B1023" s="10" t="s">
        <v>31</v>
      </c>
      <c r="C1023" s="10">
        <v>1026.0</v>
      </c>
      <c r="D1023" s="11" t="s">
        <v>2774</v>
      </c>
      <c r="E1023" s="11" t="s">
        <v>2775</v>
      </c>
      <c r="F1023" s="11" t="s">
        <v>34</v>
      </c>
      <c r="G1023" s="10">
        <v>1026.0</v>
      </c>
      <c r="H1023" s="10">
        <f>VLOOKUP(F1023,'Generos y Familia'!$A$1:$C$623,2,FALSE)</f>
        <v>27</v>
      </c>
      <c r="I1023" s="12" t="str">
        <f t="shared" si="1"/>
        <v>Swartzia macrophylla</v>
      </c>
      <c r="J1023" s="10" t="str">
        <f t="shared" si="2"/>
        <v>1026 Swartzia macrophylla</v>
      </c>
      <c r="K1023" s="10" t="str">
        <f t="shared" si="3"/>
        <v>Mucuna; Guacharaco; Rumbo; Macuná; Mucuná</v>
      </c>
      <c r="L1023" s="10" t="str">
        <f t="shared" si="4"/>
        <v>1026 Mucuna; Guacharaco; Rumbo; Macuná; Mucuná</v>
      </c>
      <c r="M1023" s="10" t="s">
        <v>35</v>
      </c>
      <c r="N1023" s="10" t="s">
        <v>36</v>
      </c>
      <c r="O1023" s="10" t="s">
        <v>37</v>
      </c>
      <c r="P1023" s="10" t="s">
        <v>2776</v>
      </c>
      <c r="Q1023" s="13"/>
      <c r="R1023" s="13"/>
      <c r="S1023" s="13"/>
      <c r="T1023" s="13"/>
      <c r="U1023" s="13"/>
      <c r="V1023" s="13"/>
      <c r="W1023" s="16"/>
      <c r="X1023" s="13"/>
    </row>
    <row r="1024" ht="14.25" customHeight="1">
      <c r="A1024" s="10" t="s">
        <v>2502</v>
      </c>
      <c r="B1024" s="10" t="s">
        <v>31</v>
      </c>
      <c r="C1024" s="10">
        <v>1027.0</v>
      </c>
      <c r="D1024" s="11" t="s">
        <v>2777</v>
      </c>
      <c r="E1024" s="11" t="s">
        <v>2778</v>
      </c>
      <c r="F1024" s="11" t="s">
        <v>34</v>
      </c>
      <c r="G1024" s="10">
        <v>1027.0</v>
      </c>
      <c r="H1024" s="10">
        <f>VLOOKUP(F1024,'Generos y Familia'!$A$1:$C$623,2,FALSE)</f>
        <v>27</v>
      </c>
      <c r="I1024" s="12" t="str">
        <f t="shared" si="1"/>
        <v>Swartzia oraria</v>
      </c>
      <c r="J1024" s="10" t="str">
        <f t="shared" si="2"/>
        <v>1027 Swartzia oraria</v>
      </c>
      <c r="K1024" s="10" t="str">
        <f t="shared" si="3"/>
        <v>Fresno; Frijolillo; Costillo; Latigo</v>
      </c>
      <c r="L1024" s="10" t="str">
        <f t="shared" si="4"/>
        <v>1027 Fresno; Frijolillo; Costillo; Latigo</v>
      </c>
      <c r="M1024" s="10" t="s">
        <v>35</v>
      </c>
      <c r="N1024" s="10" t="s">
        <v>36</v>
      </c>
      <c r="O1024" s="10" t="s">
        <v>37</v>
      </c>
      <c r="P1024" s="10" t="s">
        <v>2776</v>
      </c>
      <c r="Q1024" s="13"/>
      <c r="R1024" s="13"/>
      <c r="S1024" s="13"/>
      <c r="T1024" s="13"/>
      <c r="U1024" s="13"/>
      <c r="V1024" s="13"/>
      <c r="W1024" s="16"/>
      <c r="X1024" s="13"/>
    </row>
    <row r="1025" ht="14.25" customHeight="1">
      <c r="A1025" s="10" t="s">
        <v>2502</v>
      </c>
      <c r="B1025" s="10" t="s">
        <v>31</v>
      </c>
      <c r="C1025" s="10">
        <v>1028.0</v>
      </c>
      <c r="D1025" s="11" t="s">
        <v>2779</v>
      </c>
      <c r="E1025" s="11" t="s">
        <v>2780</v>
      </c>
      <c r="F1025" s="11" t="s">
        <v>34</v>
      </c>
      <c r="G1025" s="10">
        <v>1028.0</v>
      </c>
      <c r="H1025" s="10">
        <f>VLOOKUP(F1025,'Generos y Familia'!$A$1:$C$623,2,FALSE)</f>
        <v>27</v>
      </c>
      <c r="I1025" s="12" t="str">
        <f t="shared" si="1"/>
        <v>Swartzia robiniifolia</v>
      </c>
      <c r="J1025" s="10" t="str">
        <f t="shared" si="2"/>
        <v>1028 Swartzia robiniifolia</v>
      </c>
      <c r="K1025" s="10" t="str">
        <f t="shared" si="3"/>
        <v>Cucharo; Frijolillo</v>
      </c>
      <c r="L1025" s="10" t="str">
        <f t="shared" si="4"/>
        <v>1028 Cucharo; Frijolillo</v>
      </c>
      <c r="M1025" s="10" t="s">
        <v>35</v>
      </c>
      <c r="N1025" s="10" t="s">
        <v>36</v>
      </c>
      <c r="O1025" s="10" t="s">
        <v>37</v>
      </c>
      <c r="P1025" s="10" t="s">
        <v>2776</v>
      </c>
      <c r="Q1025" s="13"/>
      <c r="R1025" s="13"/>
      <c r="S1025" s="13"/>
      <c r="T1025" s="13"/>
      <c r="U1025" s="13"/>
      <c r="V1025" s="13"/>
      <c r="W1025" s="13"/>
      <c r="X1025" s="13"/>
    </row>
    <row r="1026" ht="14.25" customHeight="1">
      <c r="A1026" s="10" t="s">
        <v>2502</v>
      </c>
      <c r="B1026" s="10" t="s">
        <v>31</v>
      </c>
      <c r="C1026" s="10">
        <v>1029.0</v>
      </c>
      <c r="D1026" s="11" t="s">
        <v>2781</v>
      </c>
      <c r="E1026" s="11" t="s">
        <v>2782</v>
      </c>
      <c r="F1026" s="11" t="s">
        <v>34</v>
      </c>
      <c r="G1026" s="10">
        <v>1029.0</v>
      </c>
      <c r="H1026" s="10">
        <f>VLOOKUP(F1026,'Generos y Familia'!$A$1:$C$623,2,FALSE)</f>
        <v>27</v>
      </c>
      <c r="I1026" s="12" t="str">
        <f t="shared" si="1"/>
        <v>Swartzia sp</v>
      </c>
      <c r="J1026" s="10" t="str">
        <f t="shared" si="2"/>
        <v>1029 Swartzia sp</v>
      </c>
      <c r="K1026" s="10" t="str">
        <f t="shared" si="3"/>
        <v>Cucharo; Frijolillo (A otra sp de genero)</v>
      </c>
      <c r="L1026" s="10" t="str">
        <f t="shared" si="4"/>
        <v>1029 Cucharo; Frijolillo (A otra sp de genero)</v>
      </c>
      <c r="M1026" s="10" t="s">
        <v>35</v>
      </c>
      <c r="N1026" s="10"/>
      <c r="O1026" s="10"/>
      <c r="P1026" s="10" t="s">
        <v>2776</v>
      </c>
      <c r="Q1026" s="13"/>
      <c r="R1026" s="13"/>
      <c r="S1026" s="13"/>
      <c r="T1026" s="13"/>
      <c r="U1026" s="13"/>
      <c r="V1026" s="13"/>
      <c r="W1026" s="13"/>
      <c r="X1026" s="13"/>
    </row>
    <row r="1027" ht="14.25" customHeight="1">
      <c r="A1027" s="10" t="s">
        <v>2502</v>
      </c>
      <c r="B1027" s="10" t="s">
        <v>31</v>
      </c>
      <c r="C1027" s="10">
        <v>1030.0</v>
      </c>
      <c r="D1027" s="11" t="s">
        <v>2783</v>
      </c>
      <c r="E1027" s="11" t="s">
        <v>2784</v>
      </c>
      <c r="F1027" s="11" t="s">
        <v>411</v>
      </c>
      <c r="G1027" s="10">
        <v>1030.0</v>
      </c>
      <c r="H1027" s="10">
        <f>VLOOKUP(F1027,'Generos y Familia'!$A$1:$C$623,2,FALSE)</f>
        <v>42</v>
      </c>
      <c r="I1027" s="12" t="str">
        <f t="shared" si="1"/>
        <v>Swietenia macrophylla</v>
      </c>
      <c r="J1027" s="10" t="str">
        <f t="shared" si="2"/>
        <v>1030 Swietenia macrophylla</v>
      </c>
      <c r="K1027" s="10" t="str">
        <f t="shared" si="3"/>
        <v>Caoba; Caobo; Caoba Americana; Cedro Caoba; Palo Santo</v>
      </c>
      <c r="L1027" s="10" t="str">
        <f t="shared" si="4"/>
        <v>1030 Caoba; Caobo; Caoba Americana; Cedro Caoba; Palo Santo</v>
      </c>
      <c r="M1027" s="10" t="s">
        <v>35</v>
      </c>
      <c r="N1027" s="10" t="s">
        <v>36</v>
      </c>
      <c r="O1027" s="10" t="s">
        <v>37</v>
      </c>
      <c r="P1027" s="10" t="s">
        <v>2785</v>
      </c>
      <c r="Q1027" s="13"/>
      <c r="R1027" s="13"/>
      <c r="S1027" s="13"/>
      <c r="T1027" s="13"/>
      <c r="U1027" s="13"/>
      <c r="V1027" s="13"/>
      <c r="W1027" s="13"/>
      <c r="X1027" s="13"/>
    </row>
    <row r="1028" ht="14.25" customHeight="1">
      <c r="A1028" s="10" t="s">
        <v>2502</v>
      </c>
      <c r="B1028" s="10" t="s">
        <v>31</v>
      </c>
      <c r="C1028" s="10">
        <v>1031.0</v>
      </c>
      <c r="D1028" s="11" t="s">
        <v>2786</v>
      </c>
      <c r="E1028" s="11" t="s">
        <v>2787</v>
      </c>
      <c r="F1028" s="11" t="s">
        <v>411</v>
      </c>
      <c r="G1028" s="10">
        <v>1031.0</v>
      </c>
      <c r="H1028" s="10">
        <f>VLOOKUP(F1028,'Generos y Familia'!$A$1:$C$623,2,FALSE)</f>
        <v>42</v>
      </c>
      <c r="I1028" s="12" t="str">
        <f t="shared" si="1"/>
        <v>Swietenia mahagoni</v>
      </c>
      <c r="J1028" s="10" t="str">
        <f t="shared" si="2"/>
        <v>1031 Swietenia mahagoni</v>
      </c>
      <c r="K1028" s="10" t="str">
        <f t="shared" si="3"/>
        <v>Caoba Dominicana; Caoba; Caobo; Caoba Americana; Caobo Cubano; Caoba de Santo Domingo</v>
      </c>
      <c r="L1028" s="10" t="str">
        <f t="shared" si="4"/>
        <v>1031 Caoba Dominicana; Caoba; Caobo; Caoba Americana; Caobo Cubano; Caoba de Santo Domingo</v>
      </c>
      <c r="M1028" s="10" t="s">
        <v>46</v>
      </c>
      <c r="N1028" s="10" t="s">
        <v>36</v>
      </c>
      <c r="O1028" s="10" t="s">
        <v>37</v>
      </c>
      <c r="P1028" s="10" t="s">
        <v>2785</v>
      </c>
      <c r="Q1028" s="13"/>
      <c r="R1028" s="13"/>
      <c r="S1028" s="13"/>
      <c r="T1028" s="13"/>
      <c r="U1028" s="13"/>
      <c r="V1028" s="13"/>
      <c r="W1028" s="13"/>
      <c r="X1028" s="13"/>
    </row>
    <row r="1029" ht="14.25" customHeight="1">
      <c r="A1029" s="10" t="s">
        <v>2502</v>
      </c>
      <c r="B1029" s="10" t="s">
        <v>31</v>
      </c>
      <c r="C1029" s="10">
        <v>1032.0</v>
      </c>
      <c r="D1029" s="11" t="s">
        <v>2788</v>
      </c>
      <c r="E1029" s="11" t="s">
        <v>2789</v>
      </c>
      <c r="F1029" s="11" t="s">
        <v>769</v>
      </c>
      <c r="G1029" s="10">
        <v>1032.0</v>
      </c>
      <c r="H1029" s="10">
        <f>VLOOKUP(F1029,'Generos y Familia'!$A$1:$C$623,2,FALSE)</f>
        <v>80</v>
      </c>
      <c r="I1029" s="12" t="str">
        <f t="shared" si="1"/>
        <v>Swinglea glutinosa</v>
      </c>
      <c r="J1029" s="10" t="str">
        <f t="shared" si="2"/>
        <v>1032 Swinglea glutinosa</v>
      </c>
      <c r="K1029" s="10" t="str">
        <f t="shared" si="3"/>
        <v>Limonacho; Limoncillo; Limón Swinglia; Limón Suingla</v>
      </c>
      <c r="L1029" s="10" t="str">
        <f t="shared" si="4"/>
        <v>1032 Limonacho; Limoncillo; Limón Swinglia; Limón Suingla</v>
      </c>
      <c r="M1029" s="10" t="s">
        <v>46</v>
      </c>
      <c r="N1029" s="10" t="s">
        <v>36</v>
      </c>
      <c r="O1029" s="10" t="s">
        <v>37</v>
      </c>
      <c r="P1029" s="10" t="s">
        <v>2790</v>
      </c>
      <c r="Q1029" s="13"/>
      <c r="R1029" s="13"/>
      <c r="S1029" s="13"/>
      <c r="T1029" s="13"/>
      <c r="U1029" s="13"/>
      <c r="V1029" s="13"/>
      <c r="W1029" s="13"/>
      <c r="X1029" s="13"/>
    </row>
    <row r="1030" ht="14.25" customHeight="1">
      <c r="A1030" s="10" t="s">
        <v>2502</v>
      </c>
      <c r="B1030" s="10" t="s">
        <v>31</v>
      </c>
      <c r="C1030" s="10">
        <v>1033.0</v>
      </c>
      <c r="D1030" s="11" t="s">
        <v>2791</v>
      </c>
      <c r="E1030" s="11" t="s">
        <v>2792</v>
      </c>
      <c r="F1030" s="11" t="s">
        <v>116</v>
      </c>
      <c r="G1030" s="10">
        <v>1033.0</v>
      </c>
      <c r="H1030" s="10">
        <f>VLOOKUP(F1030,'Generos y Familia'!$A$1:$C$623,2,FALSE)</f>
        <v>14</v>
      </c>
      <c r="I1030" s="12" t="str">
        <f t="shared" si="1"/>
        <v>Syagrus romanzoffiana</v>
      </c>
      <c r="J1030" s="10" t="str">
        <f t="shared" si="2"/>
        <v>1033 Syagrus romanzoffiana</v>
      </c>
      <c r="K1030" s="10" t="str">
        <f t="shared" si="3"/>
        <v>Palma de Azúcar; Palma Reina; Coco Plumoso</v>
      </c>
      <c r="L1030" s="10" t="str">
        <f t="shared" si="4"/>
        <v>1033 Palma de Azúcar; Palma Reina; Coco Plumoso</v>
      </c>
      <c r="M1030" s="10" t="s">
        <v>46</v>
      </c>
      <c r="N1030" s="10" t="s">
        <v>36</v>
      </c>
      <c r="O1030" s="10" t="s">
        <v>117</v>
      </c>
      <c r="P1030" s="10" t="s">
        <v>2793</v>
      </c>
      <c r="Q1030" s="17" t="s">
        <v>448</v>
      </c>
      <c r="R1030" s="14" t="s">
        <v>39</v>
      </c>
      <c r="S1030" s="17" t="s">
        <v>290</v>
      </c>
      <c r="T1030" s="14" t="s">
        <v>39</v>
      </c>
      <c r="U1030" s="14" t="s">
        <v>73</v>
      </c>
      <c r="V1030" s="14"/>
      <c r="W1030" s="17"/>
      <c r="X1030" s="14"/>
    </row>
    <row r="1031" ht="14.25" customHeight="1">
      <c r="A1031" s="10" t="s">
        <v>2502</v>
      </c>
      <c r="B1031" s="10" t="s">
        <v>31</v>
      </c>
      <c r="C1031" s="10">
        <v>1034.0</v>
      </c>
      <c r="D1031" s="11" t="s">
        <v>2794</v>
      </c>
      <c r="E1031" s="11" t="s">
        <v>2795</v>
      </c>
      <c r="F1031" s="11" t="s">
        <v>116</v>
      </c>
      <c r="G1031" s="10">
        <v>1034.0</v>
      </c>
      <c r="H1031" s="10">
        <f>VLOOKUP(F1031,'Generos y Familia'!$A$1:$C$623,2,FALSE)</f>
        <v>14</v>
      </c>
      <c r="I1031" s="12" t="str">
        <f t="shared" si="1"/>
        <v>Syagrus sancona</v>
      </c>
      <c r="J1031" s="10" t="str">
        <f t="shared" si="2"/>
        <v>1034 Syagrus sancona</v>
      </c>
      <c r="K1031" s="10" t="str">
        <f t="shared" si="3"/>
        <v>Palma Sancona; Sarare; Zancona; Quirache; Saray; Palma de Sarare</v>
      </c>
      <c r="L1031" s="10" t="str">
        <f t="shared" si="4"/>
        <v>1034 Palma Sancona; Sarare; Zancona; Quirache; Saray; Palma de Sarare</v>
      </c>
      <c r="M1031" s="10" t="s">
        <v>35</v>
      </c>
      <c r="N1031" s="10" t="s">
        <v>36</v>
      </c>
      <c r="O1031" s="10" t="s">
        <v>117</v>
      </c>
      <c r="P1031" s="10" t="s">
        <v>2793</v>
      </c>
      <c r="Q1031" s="17" t="s">
        <v>54</v>
      </c>
      <c r="R1031" s="14" t="s">
        <v>39</v>
      </c>
      <c r="S1031" s="17" t="s">
        <v>106</v>
      </c>
      <c r="T1031" s="14" t="s">
        <v>39</v>
      </c>
      <c r="U1031" s="14" t="s">
        <v>55</v>
      </c>
      <c r="V1031" s="14"/>
      <c r="W1031" s="17"/>
      <c r="X1031" s="14"/>
    </row>
    <row r="1032" ht="14.25" customHeight="1">
      <c r="A1032" s="10" t="s">
        <v>2502</v>
      </c>
      <c r="B1032" s="10" t="s">
        <v>31</v>
      </c>
      <c r="C1032" s="10">
        <v>1035.0</v>
      </c>
      <c r="D1032" s="11" t="s">
        <v>2796</v>
      </c>
      <c r="E1032" s="11" t="s">
        <v>2797</v>
      </c>
      <c r="F1032" s="11" t="s">
        <v>116</v>
      </c>
      <c r="G1032" s="10">
        <v>1035.0</v>
      </c>
      <c r="H1032" s="10">
        <f>VLOOKUP(F1032,'Generos y Familia'!$A$1:$C$623,2,FALSE)</f>
        <v>14</v>
      </c>
      <c r="I1032" s="12" t="str">
        <f t="shared" si="1"/>
        <v>Synechanthus fibrosus</v>
      </c>
      <c r="J1032" s="10" t="str">
        <f t="shared" si="2"/>
        <v>1035 Synechanthus fibrosus</v>
      </c>
      <c r="K1032" s="10" t="str">
        <f t="shared" si="3"/>
        <v>Falso Camedor; Corosilla</v>
      </c>
      <c r="L1032" s="10" t="str">
        <f t="shared" si="4"/>
        <v>1035 Falso Camedor; Corosilla</v>
      </c>
      <c r="M1032" s="10" t="s">
        <v>46</v>
      </c>
      <c r="N1032" s="10" t="s">
        <v>36</v>
      </c>
      <c r="O1032" s="10" t="s">
        <v>117</v>
      </c>
      <c r="P1032" s="10" t="s">
        <v>2798</v>
      </c>
      <c r="Q1032" s="13"/>
      <c r="R1032" s="13"/>
      <c r="S1032" s="13"/>
      <c r="T1032" s="13"/>
      <c r="U1032" s="13"/>
      <c r="V1032" s="13"/>
      <c r="W1032" s="13"/>
      <c r="X1032" s="13"/>
    </row>
    <row r="1033" ht="14.25" customHeight="1">
      <c r="A1033" s="10" t="s">
        <v>2502</v>
      </c>
      <c r="B1033" s="10" t="s">
        <v>31</v>
      </c>
      <c r="C1033" s="10">
        <v>1036.0</v>
      </c>
      <c r="D1033" s="11" t="s">
        <v>2799</v>
      </c>
      <c r="E1033" s="11" t="s">
        <v>2800</v>
      </c>
      <c r="F1033" s="11" t="s">
        <v>918</v>
      </c>
      <c r="G1033" s="10">
        <v>1036.0</v>
      </c>
      <c r="H1033" s="10">
        <f>VLOOKUP(F1033,'Generos y Familia'!$A$1:$C$623,2,FALSE)</f>
        <v>85</v>
      </c>
      <c r="I1033" s="12" t="str">
        <f t="shared" si="1"/>
        <v>Synsepalum dulcificum</v>
      </c>
      <c r="J1033" s="10" t="str">
        <f t="shared" si="2"/>
        <v>1036 Synsepalum dulcificum</v>
      </c>
      <c r="K1033" s="10" t="str">
        <f t="shared" si="3"/>
        <v>Fruta Milagrosa</v>
      </c>
      <c r="L1033" s="10" t="str">
        <f t="shared" si="4"/>
        <v>1036 Fruta Milagrosa</v>
      </c>
      <c r="M1033" s="10" t="s">
        <v>46</v>
      </c>
      <c r="N1033" s="10" t="s">
        <v>36</v>
      </c>
      <c r="O1033" s="10" t="s">
        <v>47</v>
      </c>
      <c r="P1033" s="10" t="s">
        <v>2801</v>
      </c>
      <c r="Q1033" s="13"/>
      <c r="R1033" s="13"/>
      <c r="S1033" s="13"/>
      <c r="T1033" s="13"/>
      <c r="U1033" s="13"/>
      <c r="V1033" s="13"/>
      <c r="W1033" s="13"/>
      <c r="X1033" s="13"/>
    </row>
    <row r="1034" ht="14.25" customHeight="1">
      <c r="A1034" s="10" t="s">
        <v>2502</v>
      </c>
      <c r="B1034" s="10" t="s">
        <v>31</v>
      </c>
      <c r="C1034" s="10">
        <v>1037.0</v>
      </c>
      <c r="D1034" s="11" t="s">
        <v>2802</v>
      </c>
      <c r="E1034" s="11" t="s">
        <v>2803</v>
      </c>
      <c r="F1034" s="11" t="s">
        <v>95</v>
      </c>
      <c r="G1034" s="10">
        <v>1037.0</v>
      </c>
      <c r="H1034" s="10">
        <f>VLOOKUP(F1034,'Generos y Familia'!$A$1:$C$623,2,FALSE)</f>
        <v>49</v>
      </c>
      <c r="I1034" s="12" t="str">
        <f t="shared" si="1"/>
        <v>Syzygium cumini</v>
      </c>
      <c r="J1034" s="10" t="str">
        <f t="shared" si="2"/>
        <v>1037 Syzygium cumini</v>
      </c>
      <c r="K1034" s="10" t="str">
        <f t="shared" si="3"/>
        <v>Aceituno Dulce; Aceituno; Uva; Uvito; Jambolán; Aceituna</v>
      </c>
      <c r="L1034" s="10" t="str">
        <f t="shared" si="4"/>
        <v>1037 Aceituno Dulce; Aceituno; Uva; Uvito; Jambolán; Aceituna</v>
      </c>
      <c r="M1034" s="10" t="s">
        <v>46</v>
      </c>
      <c r="N1034" s="10" t="s">
        <v>36</v>
      </c>
      <c r="O1034" s="10" t="s">
        <v>37</v>
      </c>
      <c r="P1034" s="10" t="s">
        <v>2804</v>
      </c>
      <c r="Q1034" s="17" t="s">
        <v>229</v>
      </c>
      <c r="R1034" s="14" t="s">
        <v>39</v>
      </c>
      <c r="S1034" s="17" t="s">
        <v>70</v>
      </c>
      <c r="T1034" s="14" t="s">
        <v>39</v>
      </c>
      <c r="U1034" s="14" t="s">
        <v>55</v>
      </c>
      <c r="V1034" s="14"/>
      <c r="W1034" s="17"/>
      <c r="X1034" s="14"/>
    </row>
    <row r="1035" ht="14.25" customHeight="1">
      <c r="A1035" s="10" t="s">
        <v>2502</v>
      </c>
      <c r="B1035" s="10" t="s">
        <v>31</v>
      </c>
      <c r="C1035" s="10">
        <v>1038.0</v>
      </c>
      <c r="D1035" s="11" t="s">
        <v>2805</v>
      </c>
      <c r="E1035" s="11" t="s">
        <v>2806</v>
      </c>
      <c r="F1035" s="11" t="s">
        <v>95</v>
      </c>
      <c r="G1035" s="10">
        <v>1038.0</v>
      </c>
      <c r="H1035" s="10">
        <f>VLOOKUP(F1035,'Generos y Familia'!$A$1:$C$623,2,FALSE)</f>
        <v>49</v>
      </c>
      <c r="I1035" s="12" t="str">
        <f t="shared" si="1"/>
        <v>Syzygium jambos</v>
      </c>
      <c r="J1035" s="10" t="str">
        <f t="shared" si="2"/>
        <v>1038 Syzygium jambos</v>
      </c>
      <c r="K1035" s="10" t="str">
        <f t="shared" si="3"/>
        <v>Pomo; Pomarroso; Pomarrosa; Pomarrosa Común; Pomorroso; Pomorroso de Castilla</v>
      </c>
      <c r="L1035" s="10" t="str">
        <f t="shared" si="4"/>
        <v>1038 Pomo; Pomarroso; Pomarrosa; Pomarrosa Común; Pomorroso; Pomorroso de Castilla</v>
      </c>
      <c r="M1035" s="10" t="s">
        <v>46</v>
      </c>
      <c r="N1035" s="10" t="s">
        <v>36</v>
      </c>
      <c r="O1035" s="10" t="s">
        <v>37</v>
      </c>
      <c r="P1035" s="10" t="s">
        <v>2804</v>
      </c>
      <c r="Q1035" s="17" t="s">
        <v>338</v>
      </c>
      <c r="R1035" s="14" t="s">
        <v>39</v>
      </c>
      <c r="S1035" s="17" t="s">
        <v>54</v>
      </c>
      <c r="T1035" s="14" t="s">
        <v>39</v>
      </c>
      <c r="U1035" s="14" t="s">
        <v>40</v>
      </c>
      <c r="V1035" s="14">
        <v>0.7</v>
      </c>
      <c r="W1035" s="17"/>
      <c r="X1035" s="14"/>
    </row>
    <row r="1036" ht="14.25" customHeight="1">
      <c r="A1036" s="10" t="s">
        <v>2502</v>
      </c>
      <c r="B1036" s="10" t="s">
        <v>31</v>
      </c>
      <c r="C1036" s="10">
        <v>1039.0</v>
      </c>
      <c r="D1036" s="11" t="s">
        <v>2807</v>
      </c>
      <c r="E1036" s="11" t="s">
        <v>2808</v>
      </c>
      <c r="F1036" s="11" t="s">
        <v>95</v>
      </c>
      <c r="G1036" s="10">
        <v>1039.0</v>
      </c>
      <c r="H1036" s="10">
        <f>VLOOKUP(F1036,'Generos y Familia'!$A$1:$C$623,2,FALSE)</f>
        <v>49</v>
      </c>
      <c r="I1036" s="12" t="str">
        <f t="shared" si="1"/>
        <v>Syzygium malaccense</v>
      </c>
      <c r="J1036" s="10" t="str">
        <f t="shared" si="2"/>
        <v>1039 Syzygium malaccense</v>
      </c>
      <c r="K1036" s="10" t="str">
        <f t="shared" si="3"/>
        <v>Pero de Agua; Pomarroso; Pomarroso Brasilero; Pomarroso Brasileño; Pomarrosa del Brasil; Pera de Malaca</v>
      </c>
      <c r="L1036" s="10" t="str">
        <f t="shared" si="4"/>
        <v>1039 Pero de Agua; Pomarroso; Pomarroso Brasilero; Pomarroso Brasileño; Pomarrosa del Brasil; Pera de Malaca</v>
      </c>
      <c r="M1036" s="10" t="s">
        <v>46</v>
      </c>
      <c r="N1036" s="10" t="s">
        <v>36</v>
      </c>
      <c r="O1036" s="10" t="s">
        <v>37</v>
      </c>
      <c r="P1036" s="10" t="s">
        <v>2804</v>
      </c>
      <c r="Q1036" s="17" t="s">
        <v>145</v>
      </c>
      <c r="R1036" s="14" t="s">
        <v>39</v>
      </c>
      <c r="S1036" s="17" t="s">
        <v>290</v>
      </c>
      <c r="T1036" s="14" t="s">
        <v>39</v>
      </c>
      <c r="U1036" s="14" t="s">
        <v>55</v>
      </c>
      <c r="V1036" s="14">
        <v>0.56</v>
      </c>
      <c r="W1036" s="17"/>
      <c r="X1036" s="14"/>
    </row>
    <row r="1037" ht="14.25" customHeight="1">
      <c r="A1037" s="10" t="s">
        <v>2502</v>
      </c>
      <c r="B1037" s="10" t="s">
        <v>31</v>
      </c>
      <c r="C1037" s="10">
        <v>1040.0</v>
      </c>
      <c r="D1037" s="11" t="s">
        <v>2809</v>
      </c>
      <c r="E1037" s="11" t="s">
        <v>1385</v>
      </c>
      <c r="F1037" s="11" t="s">
        <v>95</v>
      </c>
      <c r="G1037" s="10">
        <v>1040.0</v>
      </c>
      <c r="H1037" s="10">
        <f>VLOOKUP(F1037,'Generos y Familia'!$A$1:$C$623,2,FALSE)</f>
        <v>49</v>
      </c>
      <c r="I1037" s="12" t="str">
        <f t="shared" si="1"/>
        <v>Syzygium paniculata</v>
      </c>
      <c r="J1037" s="10" t="str">
        <f t="shared" si="2"/>
        <v>1040 Syzygium paniculata</v>
      </c>
      <c r="K1037" s="10" t="str">
        <f t="shared" si="3"/>
        <v>Eugenia</v>
      </c>
      <c r="L1037" s="10" t="str">
        <f t="shared" si="4"/>
        <v>1040 Eugenia</v>
      </c>
      <c r="M1037" s="10" t="s">
        <v>46</v>
      </c>
      <c r="N1037" s="10" t="s">
        <v>36</v>
      </c>
      <c r="O1037" s="10" t="s">
        <v>37</v>
      </c>
      <c r="P1037" s="10" t="s">
        <v>2804</v>
      </c>
      <c r="Q1037" s="17" t="s">
        <v>379</v>
      </c>
      <c r="R1037" s="14"/>
      <c r="S1037" s="17" t="s">
        <v>442</v>
      </c>
      <c r="T1037" s="14"/>
      <c r="U1037" s="14" t="s">
        <v>40</v>
      </c>
      <c r="V1037" s="14"/>
      <c r="W1037" s="17"/>
      <c r="X1037" s="14" t="s">
        <v>41</v>
      </c>
    </row>
    <row r="1038" ht="14.25" customHeight="1">
      <c r="A1038" s="10" t="s">
        <v>2502</v>
      </c>
      <c r="B1038" s="10" t="s">
        <v>31</v>
      </c>
      <c r="C1038" s="10">
        <v>1041.0</v>
      </c>
      <c r="D1038" s="11" t="s">
        <v>2810</v>
      </c>
      <c r="E1038" s="11" t="s">
        <v>2804</v>
      </c>
      <c r="F1038" s="11" t="s">
        <v>95</v>
      </c>
      <c r="G1038" s="10">
        <v>1041.0</v>
      </c>
      <c r="H1038" s="10">
        <f>VLOOKUP(F1038,'Generos y Familia'!$A$1:$C$623,2,FALSE)</f>
        <v>49</v>
      </c>
      <c r="I1038" s="12" t="str">
        <f t="shared" si="1"/>
        <v>Syzygium sp</v>
      </c>
      <c r="J1038" s="10" t="str">
        <f t="shared" si="2"/>
        <v>1041 Syzygium sp</v>
      </c>
      <c r="K1038" s="10" t="str">
        <f t="shared" si="3"/>
        <v>Syzygium</v>
      </c>
      <c r="L1038" s="10" t="str">
        <f t="shared" si="4"/>
        <v>1041 Syzygium</v>
      </c>
      <c r="M1038" s="10" t="s">
        <v>46</v>
      </c>
      <c r="N1038" s="10" t="s">
        <v>36</v>
      </c>
      <c r="O1038" s="10" t="s">
        <v>37</v>
      </c>
      <c r="P1038" s="10" t="s">
        <v>2804</v>
      </c>
      <c r="Q1038" s="17" t="s">
        <v>2811</v>
      </c>
      <c r="R1038" s="14"/>
      <c r="S1038" s="17" t="s">
        <v>2359</v>
      </c>
      <c r="T1038" s="14"/>
      <c r="U1038" s="14" t="s">
        <v>40</v>
      </c>
      <c r="V1038" s="14"/>
      <c r="W1038" s="17"/>
      <c r="X1038" s="14" t="s">
        <v>41</v>
      </c>
    </row>
    <row r="1039" ht="14.25" customHeight="1">
      <c r="A1039" s="10" t="s">
        <v>2502</v>
      </c>
      <c r="B1039" s="10" t="s">
        <v>31</v>
      </c>
      <c r="C1039" s="10">
        <v>1042.0</v>
      </c>
      <c r="D1039" s="11" t="s">
        <v>2812</v>
      </c>
      <c r="E1039" s="11" t="s">
        <v>2813</v>
      </c>
      <c r="F1039" s="11" t="s">
        <v>248</v>
      </c>
      <c r="G1039" s="10">
        <v>1042.0</v>
      </c>
      <c r="H1039" s="10">
        <f>VLOOKUP(F1039,'Generos y Familia'!$A$1:$C$623,2,FALSE)</f>
        <v>20</v>
      </c>
      <c r="I1039" s="12" t="str">
        <f t="shared" si="1"/>
        <v>Tabebuia billbergii</v>
      </c>
      <c r="J1039" s="10" t="str">
        <f t="shared" si="2"/>
        <v>1042 Tabebuia billbergii</v>
      </c>
      <c r="K1039" s="10" t="str">
        <f t="shared" si="3"/>
        <v>Polvillo; Coralibre; Cañaguate Blanco</v>
      </c>
      <c r="L1039" s="10" t="str">
        <f t="shared" si="4"/>
        <v>1042 Polvillo; Coralibre; Cañaguate Blanco</v>
      </c>
      <c r="M1039" s="10" t="s">
        <v>46</v>
      </c>
      <c r="N1039" s="10" t="s">
        <v>36</v>
      </c>
      <c r="O1039" s="10" t="s">
        <v>37</v>
      </c>
      <c r="P1039" s="10" t="s">
        <v>2814</v>
      </c>
      <c r="Q1039" s="13"/>
      <c r="R1039" s="13"/>
      <c r="S1039" s="13"/>
      <c r="T1039" s="13"/>
      <c r="U1039" s="13"/>
      <c r="V1039" s="13"/>
      <c r="W1039" s="13"/>
      <c r="X1039" s="13"/>
    </row>
    <row r="1040" ht="14.25" customHeight="1">
      <c r="A1040" s="10" t="s">
        <v>2502</v>
      </c>
      <c r="B1040" s="10" t="s">
        <v>31</v>
      </c>
      <c r="C1040" s="10">
        <v>1043.0</v>
      </c>
      <c r="D1040" s="11" t="s">
        <v>2815</v>
      </c>
      <c r="E1040" s="11" t="s">
        <v>2816</v>
      </c>
      <c r="F1040" s="11" t="s">
        <v>248</v>
      </c>
      <c r="G1040" s="10">
        <v>1043.0</v>
      </c>
      <c r="H1040" s="10">
        <f>VLOOKUP(F1040,'Generos y Familia'!$A$1:$C$623,2,FALSE)</f>
        <v>20</v>
      </c>
      <c r="I1040" s="12" t="str">
        <f t="shared" si="1"/>
        <v>Tabebuia chrysea</v>
      </c>
      <c r="J1040" s="10" t="str">
        <f t="shared" si="2"/>
        <v>1043 Tabebuia chrysea</v>
      </c>
      <c r="K1040" s="10" t="str">
        <f t="shared" si="3"/>
        <v>Roble Amarillo; Cañaguate; Guayacán; Alumbre</v>
      </c>
      <c r="L1040" s="10" t="str">
        <f t="shared" si="4"/>
        <v>1043 Roble Amarillo; Cañaguate; Guayacán; Alumbre</v>
      </c>
      <c r="M1040" s="10" t="s">
        <v>35</v>
      </c>
      <c r="N1040" s="10" t="s">
        <v>36</v>
      </c>
      <c r="O1040" s="10" t="s">
        <v>37</v>
      </c>
      <c r="P1040" s="10" t="s">
        <v>2814</v>
      </c>
      <c r="Q1040" s="13"/>
      <c r="R1040" s="13"/>
      <c r="S1040" s="13"/>
      <c r="T1040" s="13"/>
      <c r="U1040" s="13"/>
      <c r="V1040" s="13"/>
      <c r="W1040" s="13"/>
      <c r="X1040" s="13"/>
    </row>
    <row r="1041" ht="14.25" customHeight="1">
      <c r="A1041" s="10" t="s">
        <v>2502</v>
      </c>
      <c r="B1041" s="10" t="s">
        <v>31</v>
      </c>
      <c r="C1041" s="10">
        <v>1044.0</v>
      </c>
      <c r="D1041" s="11" t="s">
        <v>2817</v>
      </c>
      <c r="E1041" s="11" t="s">
        <v>2818</v>
      </c>
      <c r="F1041" s="11" t="s">
        <v>248</v>
      </c>
      <c r="G1041" s="10">
        <v>1044.0</v>
      </c>
      <c r="H1041" s="10">
        <f>VLOOKUP(F1041,'Generos y Familia'!$A$1:$C$623,2,FALSE)</f>
        <v>20</v>
      </c>
      <c r="I1041" s="12" t="str">
        <f t="shared" si="1"/>
        <v>Tabebuia chrysotricha</v>
      </c>
      <c r="J1041" s="10" t="str">
        <f t="shared" si="2"/>
        <v>1044 Tabebuia chrysotricha</v>
      </c>
      <c r="K1041" s="10" t="str">
        <f t="shared" si="3"/>
        <v>Guayacan Peludo</v>
      </c>
      <c r="L1041" s="10" t="str">
        <f t="shared" si="4"/>
        <v>1044 Guayacan Peludo</v>
      </c>
      <c r="M1041" s="10" t="s">
        <v>46</v>
      </c>
      <c r="N1041" s="10" t="s">
        <v>36</v>
      </c>
      <c r="O1041" s="10" t="s">
        <v>37</v>
      </c>
      <c r="P1041" s="10" t="s">
        <v>2814</v>
      </c>
      <c r="Q1041" s="13"/>
      <c r="R1041" s="13"/>
      <c r="S1041" s="13"/>
      <c r="T1041" s="13"/>
      <c r="U1041" s="13"/>
      <c r="V1041" s="13"/>
      <c r="W1041" s="13"/>
      <c r="X1041" s="13"/>
    </row>
    <row r="1042" ht="14.25" customHeight="1">
      <c r="A1042" s="10" t="s">
        <v>2502</v>
      </c>
      <c r="B1042" s="10" t="s">
        <v>31</v>
      </c>
      <c r="C1042" s="10">
        <v>1045.0</v>
      </c>
      <c r="D1042" s="11" t="s">
        <v>2819</v>
      </c>
      <c r="E1042" s="11" t="s">
        <v>2820</v>
      </c>
      <c r="F1042" s="11" t="s">
        <v>248</v>
      </c>
      <c r="G1042" s="10">
        <v>1045.0</v>
      </c>
      <c r="H1042" s="10">
        <f>VLOOKUP(F1042,'Generos y Familia'!$A$1:$C$623,2,FALSE)</f>
        <v>20</v>
      </c>
      <c r="I1042" s="12" t="str">
        <f t="shared" si="1"/>
        <v>Tabebuia impetiginosa</v>
      </c>
      <c r="J1042" s="10" t="str">
        <f t="shared" si="2"/>
        <v>1045 Tabebuia impetiginosa</v>
      </c>
      <c r="K1042" s="10" t="str">
        <f t="shared" si="3"/>
        <v>Lapacho Rosado; Corazonfino; Cañaguate Morado</v>
      </c>
      <c r="L1042" s="10" t="str">
        <f t="shared" si="4"/>
        <v>1045 Lapacho Rosado; Corazonfino; Cañaguate Morado</v>
      </c>
      <c r="M1042" s="10" t="s">
        <v>46</v>
      </c>
      <c r="N1042" s="10" t="s">
        <v>36</v>
      </c>
      <c r="O1042" s="10" t="s">
        <v>37</v>
      </c>
      <c r="P1042" s="10" t="s">
        <v>2814</v>
      </c>
      <c r="Q1042" s="13"/>
      <c r="R1042" s="13"/>
      <c r="S1042" s="13"/>
      <c r="T1042" s="13"/>
      <c r="U1042" s="13"/>
      <c r="V1042" s="13"/>
      <c r="W1042" s="13"/>
      <c r="X1042" s="13"/>
    </row>
    <row r="1043" ht="14.25" customHeight="1">
      <c r="A1043" s="10" t="s">
        <v>2502</v>
      </c>
      <c r="B1043" s="10" t="s">
        <v>31</v>
      </c>
      <c r="C1043" s="10">
        <v>1046.0</v>
      </c>
      <c r="D1043" s="11" t="s">
        <v>2821</v>
      </c>
      <c r="E1043" s="11" t="s">
        <v>2822</v>
      </c>
      <c r="F1043" s="11" t="s">
        <v>248</v>
      </c>
      <c r="G1043" s="10">
        <v>1046.0</v>
      </c>
      <c r="H1043" s="10">
        <f>VLOOKUP(F1043,'Generos y Familia'!$A$1:$C$623,2,FALSE)</f>
        <v>20</v>
      </c>
      <c r="I1043" s="12" t="str">
        <f t="shared" si="1"/>
        <v>Tabebuia ochracea</v>
      </c>
      <c r="J1043" s="10" t="str">
        <f t="shared" si="2"/>
        <v>1046 Tabebuia ochracea</v>
      </c>
      <c r="K1043" s="10" t="str">
        <f t="shared" si="3"/>
        <v>Guayacán; Chicalá; Floramarillo; Guayacán Polvillo; Guayacán Amarillo</v>
      </c>
      <c r="L1043" s="10" t="str">
        <f t="shared" si="4"/>
        <v>1046 Guayacán; Chicalá; Floramarillo; Guayacán Polvillo; Guayacán Amarillo</v>
      </c>
      <c r="M1043" s="10" t="s">
        <v>35</v>
      </c>
      <c r="N1043" s="10" t="s">
        <v>36</v>
      </c>
      <c r="O1043" s="10" t="s">
        <v>37</v>
      </c>
      <c r="P1043" s="10" t="s">
        <v>2814</v>
      </c>
      <c r="Q1043" s="13"/>
      <c r="R1043" s="13"/>
      <c r="S1043" s="13"/>
      <c r="T1043" s="13"/>
      <c r="U1043" s="13"/>
      <c r="V1043" s="13"/>
      <c r="W1043" s="13"/>
      <c r="X1043" s="13"/>
    </row>
    <row r="1044" ht="14.25" customHeight="1">
      <c r="A1044" s="10" t="s">
        <v>2502</v>
      </c>
      <c r="B1044" s="10" t="s">
        <v>31</v>
      </c>
      <c r="C1044" s="10">
        <v>1047.0</v>
      </c>
      <c r="D1044" s="11" t="s">
        <v>2823</v>
      </c>
      <c r="E1044" s="11" t="s">
        <v>2824</v>
      </c>
      <c r="F1044" s="11" t="s">
        <v>248</v>
      </c>
      <c r="G1044" s="10">
        <v>1047.0</v>
      </c>
      <c r="H1044" s="10">
        <f>VLOOKUP(F1044,'Generos y Familia'!$A$1:$C$623,2,FALSE)</f>
        <v>20</v>
      </c>
      <c r="I1044" s="12" t="str">
        <f t="shared" si="1"/>
        <v>Tabebuia pallida</v>
      </c>
      <c r="J1044" s="10" t="str">
        <f t="shared" si="2"/>
        <v>1047 Tabebuia pallida</v>
      </c>
      <c r="K1044" s="10" t="str">
        <f t="shared" si="3"/>
        <v>Cáliz de Papel; Roble Merrill</v>
      </c>
      <c r="L1044" s="10" t="str">
        <f t="shared" si="4"/>
        <v>1047 Cáliz de Papel; Roble Merrill</v>
      </c>
      <c r="M1044" s="10" t="s">
        <v>46</v>
      </c>
      <c r="N1044" s="10" t="s">
        <v>36</v>
      </c>
      <c r="O1044" s="10" t="s">
        <v>37</v>
      </c>
      <c r="P1044" s="10" t="s">
        <v>2814</v>
      </c>
      <c r="Q1044" s="13"/>
      <c r="R1044" s="13"/>
      <c r="S1044" s="13"/>
      <c r="T1044" s="13"/>
      <c r="U1044" s="13"/>
      <c r="V1044" s="13"/>
      <c r="W1044" s="13"/>
      <c r="X1044" s="13"/>
    </row>
    <row r="1045" ht="14.25" customHeight="1">
      <c r="A1045" s="10" t="s">
        <v>2502</v>
      </c>
      <c r="B1045" s="10" t="s">
        <v>31</v>
      </c>
      <c r="C1045" s="10">
        <v>1048.0</v>
      </c>
      <c r="D1045" s="11" t="s">
        <v>2825</v>
      </c>
      <c r="E1045" s="11" t="s">
        <v>2826</v>
      </c>
      <c r="F1045" s="11" t="s">
        <v>248</v>
      </c>
      <c r="G1045" s="10">
        <v>1048.0</v>
      </c>
      <c r="H1045" s="10">
        <f>VLOOKUP(F1045,'Generos y Familia'!$A$1:$C$623,2,FALSE)</f>
        <v>20</v>
      </c>
      <c r="I1045" s="12" t="str">
        <f t="shared" si="1"/>
        <v>Tabebuia rosea</v>
      </c>
      <c r="J1045" s="10" t="str">
        <f t="shared" si="2"/>
        <v>1048 Tabebuia rosea</v>
      </c>
      <c r="K1045" s="10" t="str">
        <f t="shared" si="3"/>
        <v>Apamate; Guayacán Rosado; Ocobo; Roble; Guayacán; Guayacán Morado</v>
      </c>
      <c r="L1045" s="10" t="str">
        <f t="shared" si="4"/>
        <v>1048 Apamate; Guayacán Rosado; Ocobo; Roble; Guayacán; Guayacán Morado</v>
      </c>
      <c r="M1045" s="10" t="s">
        <v>35</v>
      </c>
      <c r="N1045" s="10" t="s">
        <v>36</v>
      </c>
      <c r="O1045" s="10" t="s">
        <v>37</v>
      </c>
      <c r="P1045" s="10" t="s">
        <v>2814</v>
      </c>
      <c r="Q1045" s="17" t="s">
        <v>442</v>
      </c>
      <c r="R1045" s="14" t="s">
        <v>39</v>
      </c>
      <c r="S1045" s="17" t="s">
        <v>821</v>
      </c>
      <c r="T1045" s="14" t="s">
        <v>39</v>
      </c>
      <c r="U1045" s="14" t="s">
        <v>55</v>
      </c>
      <c r="V1045" s="14">
        <v>0.54</v>
      </c>
      <c r="W1045" s="17"/>
      <c r="X1045" s="14"/>
    </row>
    <row r="1046" ht="14.25" customHeight="1">
      <c r="A1046" s="10" t="s">
        <v>2502</v>
      </c>
      <c r="B1046" s="10" t="s">
        <v>31</v>
      </c>
      <c r="C1046" s="10">
        <v>1049.0</v>
      </c>
      <c r="D1046" s="11" t="s">
        <v>2827</v>
      </c>
      <c r="E1046" s="11" t="s">
        <v>2828</v>
      </c>
      <c r="F1046" s="11" t="s">
        <v>248</v>
      </c>
      <c r="G1046" s="10">
        <v>1049.0</v>
      </c>
      <c r="H1046" s="10">
        <f>VLOOKUP(F1046,'Generos y Familia'!$A$1:$C$623,2,FALSE)</f>
        <v>20</v>
      </c>
      <c r="I1046" s="12" t="str">
        <f t="shared" si="1"/>
        <v>Tabebuia sp</v>
      </c>
      <c r="J1046" s="10" t="str">
        <f t="shared" si="2"/>
        <v>1049 Tabebuia sp</v>
      </c>
      <c r="K1046" s="10" t="str">
        <f t="shared" si="3"/>
        <v>Guayacán Enano</v>
      </c>
      <c r="L1046" s="10" t="str">
        <f t="shared" si="4"/>
        <v>1049 Guayacán Enano</v>
      </c>
      <c r="M1046" s="10" t="s">
        <v>46</v>
      </c>
      <c r="N1046" s="10" t="s">
        <v>36</v>
      </c>
      <c r="O1046" s="10" t="s">
        <v>37</v>
      </c>
      <c r="P1046" s="10" t="s">
        <v>2814</v>
      </c>
      <c r="Q1046" s="17" t="s">
        <v>2829</v>
      </c>
      <c r="R1046" s="14"/>
      <c r="S1046" s="17" t="s">
        <v>2830</v>
      </c>
      <c r="T1046" s="14"/>
      <c r="U1046" s="14" t="s">
        <v>40</v>
      </c>
      <c r="V1046" s="14"/>
      <c r="W1046" s="18"/>
      <c r="X1046" s="14" t="s">
        <v>41</v>
      </c>
    </row>
    <row r="1047" ht="14.25" customHeight="1">
      <c r="A1047" s="10" t="s">
        <v>2502</v>
      </c>
      <c r="B1047" s="10" t="s">
        <v>63</v>
      </c>
      <c r="C1047" s="10">
        <v>1050.0</v>
      </c>
      <c r="D1047" s="11" t="s">
        <v>2831</v>
      </c>
      <c r="E1047" s="11" t="s">
        <v>2832</v>
      </c>
      <c r="F1047" s="11" t="s">
        <v>206</v>
      </c>
      <c r="G1047" s="10">
        <v>1050.0</v>
      </c>
      <c r="H1047" s="10">
        <f>VLOOKUP(F1047,'Generos y Familia'!$A$1:$C$623,2,FALSE)</f>
        <v>9</v>
      </c>
      <c r="I1047" s="12" t="str">
        <f t="shared" si="1"/>
        <v>Tabernaemontana amygdalifolia</v>
      </c>
      <c r="J1047" s="10" t="str">
        <f t="shared" si="2"/>
        <v>1050 Tabernaemontana amygdalifolia</v>
      </c>
      <c r="K1047" s="10" t="str">
        <f t="shared" si="3"/>
        <v>Cojon de Frayle; Lirio Macho; Jazmín del Monte</v>
      </c>
      <c r="L1047" s="10" t="str">
        <f t="shared" si="4"/>
        <v>1050 Cojon de Frayle; Lirio Macho; Jazmín del Monte</v>
      </c>
      <c r="M1047" s="10" t="s">
        <v>35</v>
      </c>
      <c r="N1047" s="10" t="s">
        <v>36</v>
      </c>
      <c r="O1047" s="10" t="s">
        <v>37</v>
      </c>
      <c r="P1047" s="10" t="s">
        <v>2833</v>
      </c>
      <c r="Q1047" s="13"/>
      <c r="R1047" s="13"/>
      <c r="S1047" s="13"/>
      <c r="T1047" s="13"/>
      <c r="U1047" s="13"/>
      <c r="V1047" s="13"/>
      <c r="W1047" s="13"/>
      <c r="X1047" s="13"/>
    </row>
    <row r="1048" ht="14.25" customHeight="1">
      <c r="A1048" s="10" t="s">
        <v>2502</v>
      </c>
      <c r="B1048" s="10" t="s">
        <v>31</v>
      </c>
      <c r="C1048" s="10">
        <v>1051.0</v>
      </c>
      <c r="D1048" s="11" t="s">
        <v>2834</v>
      </c>
      <c r="E1048" s="11" t="s">
        <v>2835</v>
      </c>
      <c r="F1048" s="11" t="s">
        <v>206</v>
      </c>
      <c r="G1048" s="10">
        <v>1051.0</v>
      </c>
      <c r="H1048" s="10">
        <f>VLOOKUP(F1048,'Generos y Familia'!$A$1:$C$623,2,FALSE)</f>
        <v>9</v>
      </c>
      <c r="I1048" s="12" t="str">
        <f t="shared" si="1"/>
        <v>Tabernaemontana coronaria</v>
      </c>
      <c r="J1048" s="10" t="str">
        <f t="shared" si="2"/>
        <v>1051 Tabernaemontana coronaria</v>
      </c>
      <c r="K1048" s="10" t="str">
        <f t="shared" si="3"/>
        <v>Jazmín de Malabar; Jazmín; Malabar; Sanango; Malabarí</v>
      </c>
      <c r="L1048" s="10" t="str">
        <f t="shared" si="4"/>
        <v>1051 Jazmín de Malabar; Jazmín; Malabar; Sanango; Malabarí</v>
      </c>
      <c r="M1048" s="10" t="s">
        <v>46</v>
      </c>
      <c r="N1048" s="10" t="s">
        <v>36</v>
      </c>
      <c r="O1048" s="10" t="s">
        <v>47</v>
      </c>
      <c r="P1048" s="10" t="s">
        <v>2833</v>
      </c>
      <c r="Q1048" s="17" t="s">
        <v>153</v>
      </c>
      <c r="R1048" s="14"/>
      <c r="S1048" s="17" t="s">
        <v>379</v>
      </c>
      <c r="T1048" s="14"/>
      <c r="U1048" s="14" t="s">
        <v>40</v>
      </c>
      <c r="V1048" s="14"/>
      <c r="W1048" s="17"/>
      <c r="X1048" s="14" t="s">
        <v>41</v>
      </c>
    </row>
    <row r="1049" ht="14.25" customHeight="1">
      <c r="A1049" s="10" t="s">
        <v>2502</v>
      </c>
      <c r="B1049" s="10" t="s">
        <v>31</v>
      </c>
      <c r="C1049" s="10">
        <v>1052.0</v>
      </c>
      <c r="D1049" s="11" t="s">
        <v>2836</v>
      </c>
      <c r="E1049" s="11" t="s">
        <v>2837</v>
      </c>
      <c r="F1049" s="11" t="s">
        <v>206</v>
      </c>
      <c r="G1049" s="10">
        <v>1052.0</v>
      </c>
      <c r="H1049" s="10">
        <f>VLOOKUP(F1049,'Generos y Familia'!$A$1:$C$623,2,FALSE)</f>
        <v>9</v>
      </c>
      <c r="I1049" s="12" t="str">
        <f t="shared" si="1"/>
        <v>Tabernaemontana divaricata</v>
      </c>
      <c r="J1049" s="10" t="str">
        <f t="shared" si="2"/>
        <v>1052 Tabernaemontana divaricata</v>
      </c>
      <c r="K1049" s="10" t="str">
        <f t="shared" si="3"/>
        <v>Jazmín de Malabar; Jazmín; Malabar; Malabarí; Azuceno</v>
      </c>
      <c r="L1049" s="10" t="str">
        <f t="shared" si="4"/>
        <v>1052 Jazmín de Malabar; Jazmín; Malabar; Malabarí; Azuceno</v>
      </c>
      <c r="M1049" s="10" t="s">
        <v>46</v>
      </c>
      <c r="N1049" s="10" t="s">
        <v>36</v>
      </c>
      <c r="O1049" s="10" t="s">
        <v>47</v>
      </c>
      <c r="P1049" s="10" t="s">
        <v>2833</v>
      </c>
      <c r="Q1049" s="17" t="s">
        <v>153</v>
      </c>
      <c r="R1049" s="14" t="s">
        <v>53</v>
      </c>
      <c r="S1049" s="17" t="s">
        <v>379</v>
      </c>
      <c r="T1049" s="14"/>
      <c r="U1049" s="14" t="s">
        <v>40</v>
      </c>
      <c r="V1049" s="14"/>
      <c r="W1049" s="17"/>
      <c r="X1049" s="14" t="s">
        <v>41</v>
      </c>
    </row>
    <row r="1050" ht="14.25" customHeight="1">
      <c r="A1050" s="10" t="s">
        <v>2502</v>
      </c>
      <c r="B1050" s="10" t="s">
        <v>31</v>
      </c>
      <c r="C1050" s="10">
        <v>1053.0</v>
      </c>
      <c r="D1050" s="11" t="s">
        <v>2838</v>
      </c>
      <c r="E1050" s="11" t="s">
        <v>2839</v>
      </c>
      <c r="F1050" s="11" t="s">
        <v>206</v>
      </c>
      <c r="G1050" s="10">
        <v>1053.0</v>
      </c>
      <c r="H1050" s="10">
        <f>VLOOKUP(F1050,'Generos y Familia'!$A$1:$C$623,2,FALSE)</f>
        <v>9</v>
      </c>
      <c r="I1050" s="12" t="str">
        <f t="shared" si="1"/>
        <v>Tabernaemontana litoralis</v>
      </c>
      <c r="J1050" s="10" t="str">
        <f t="shared" si="2"/>
        <v>1053 Tabernaemontana litoralis</v>
      </c>
      <c r="K1050" s="10" t="str">
        <f t="shared" si="3"/>
        <v>Azuceno; Cojón de Gato; Jazmín; Cachito</v>
      </c>
      <c r="L1050" s="10" t="str">
        <f t="shared" si="4"/>
        <v>1053 Azuceno; Cojón de Gato; Jazmín; Cachito</v>
      </c>
      <c r="M1050" s="10" t="s">
        <v>35</v>
      </c>
      <c r="N1050" s="10" t="s">
        <v>36</v>
      </c>
      <c r="O1050" s="10" t="s">
        <v>47</v>
      </c>
      <c r="P1050" s="10" t="s">
        <v>2833</v>
      </c>
      <c r="Q1050" s="17" t="s">
        <v>153</v>
      </c>
      <c r="R1050" s="14" t="s">
        <v>53</v>
      </c>
      <c r="S1050" s="17" t="s">
        <v>379</v>
      </c>
      <c r="T1050" s="14"/>
      <c r="U1050" s="14" t="s">
        <v>55</v>
      </c>
      <c r="V1050" s="14"/>
      <c r="W1050" s="18"/>
      <c r="X1050" s="14" t="s">
        <v>41</v>
      </c>
    </row>
    <row r="1051" ht="14.25" customHeight="1">
      <c r="A1051" s="10" t="s">
        <v>2502</v>
      </c>
      <c r="B1051" s="10" t="s">
        <v>31</v>
      </c>
      <c r="C1051" s="10">
        <v>1054.0</v>
      </c>
      <c r="D1051" s="11" t="s">
        <v>2840</v>
      </c>
      <c r="E1051" s="11" t="s">
        <v>2841</v>
      </c>
      <c r="F1051" s="11" t="s">
        <v>206</v>
      </c>
      <c r="G1051" s="10">
        <v>1054.0</v>
      </c>
      <c r="H1051" s="10">
        <f>VLOOKUP(F1051,'Generos y Familia'!$A$1:$C$623,2,FALSE)</f>
        <v>9</v>
      </c>
      <c r="I1051" s="12" t="str">
        <f t="shared" si="1"/>
        <v>Tabernaemontana markgrafiana</v>
      </c>
      <c r="J1051" s="10" t="str">
        <f t="shared" si="2"/>
        <v>1054 Tabernaemontana markgrafiana</v>
      </c>
      <c r="K1051" s="10" t="str">
        <f t="shared" si="3"/>
        <v>Piangüita; Lechito</v>
      </c>
      <c r="L1051" s="10" t="str">
        <f t="shared" si="4"/>
        <v>1054 Piangüita; Lechito</v>
      </c>
      <c r="M1051" s="10" t="s">
        <v>35</v>
      </c>
      <c r="N1051" s="10" t="s">
        <v>36</v>
      </c>
      <c r="O1051" s="10" t="s">
        <v>47</v>
      </c>
      <c r="P1051" s="10" t="s">
        <v>2833</v>
      </c>
      <c r="Q1051" s="13"/>
      <c r="R1051" s="13"/>
      <c r="S1051" s="13"/>
      <c r="T1051" s="13"/>
      <c r="U1051" s="13"/>
      <c r="V1051" s="13"/>
      <c r="W1051" s="13"/>
      <c r="X1051" s="13"/>
    </row>
    <row r="1052" ht="14.25" customHeight="1">
      <c r="A1052" s="10" t="s">
        <v>2502</v>
      </c>
      <c r="B1052" s="10" t="s">
        <v>31</v>
      </c>
      <c r="C1052" s="10">
        <v>1055.0</v>
      </c>
      <c r="D1052" s="11" t="s">
        <v>2842</v>
      </c>
      <c r="E1052" s="11" t="s">
        <v>2843</v>
      </c>
      <c r="F1052" s="11" t="s">
        <v>206</v>
      </c>
      <c r="G1052" s="10">
        <v>1055.0</v>
      </c>
      <c r="H1052" s="10">
        <f>VLOOKUP(F1052,'Generos y Familia'!$A$1:$C$623,2,FALSE)</f>
        <v>9</v>
      </c>
      <c r="I1052" s="12" t="str">
        <f t="shared" si="1"/>
        <v>Tabernaemontana sp</v>
      </c>
      <c r="J1052" s="10" t="str">
        <f t="shared" si="2"/>
        <v>1055 Tabernaemontana sp</v>
      </c>
      <c r="K1052" s="10" t="str">
        <f t="shared" si="3"/>
        <v>Cojón de Perro (A otra sp de genero)</v>
      </c>
      <c r="L1052" s="10" t="str">
        <f t="shared" si="4"/>
        <v>1055 Cojón de Perro (A otra sp de genero)</v>
      </c>
      <c r="M1052" s="10" t="s">
        <v>46</v>
      </c>
      <c r="N1052" s="10" t="s">
        <v>36</v>
      </c>
      <c r="O1052" s="10" t="s">
        <v>47</v>
      </c>
      <c r="P1052" s="10" t="s">
        <v>2833</v>
      </c>
      <c r="Q1052" s="17" t="s">
        <v>2844</v>
      </c>
      <c r="R1052" s="14"/>
      <c r="S1052" s="17" t="s">
        <v>2811</v>
      </c>
      <c r="T1052" s="14"/>
      <c r="U1052" s="14" t="s">
        <v>40</v>
      </c>
      <c r="V1052" s="14"/>
      <c r="W1052" s="17"/>
      <c r="X1052" s="14" t="s">
        <v>41</v>
      </c>
    </row>
    <row r="1053" ht="14.25" customHeight="1">
      <c r="A1053" s="10" t="s">
        <v>2502</v>
      </c>
      <c r="B1053" s="10" t="s">
        <v>31</v>
      </c>
      <c r="C1053" s="10">
        <v>1056.0</v>
      </c>
      <c r="D1053" s="11" t="s">
        <v>2845</v>
      </c>
      <c r="E1053" s="11" t="s">
        <v>185</v>
      </c>
      <c r="F1053" s="11" t="s">
        <v>34</v>
      </c>
      <c r="G1053" s="10">
        <v>1056.0</v>
      </c>
      <c r="H1053" s="10">
        <f>VLOOKUP(F1053,'Generos y Familia'!$A$1:$C$623,2,FALSE)</f>
        <v>27</v>
      </c>
      <c r="I1053" s="12" t="str">
        <f t="shared" si="1"/>
        <v>Tachigali costaricensis</v>
      </c>
      <c r="J1053" s="10" t="str">
        <f t="shared" si="2"/>
        <v>1056 Tachigali costaricensis</v>
      </c>
      <c r="K1053" s="10" t="str">
        <f t="shared" si="3"/>
        <v>Tostado</v>
      </c>
      <c r="L1053" s="10" t="str">
        <f t="shared" si="4"/>
        <v>1056 Tostado</v>
      </c>
      <c r="M1053" s="10" t="s">
        <v>35</v>
      </c>
      <c r="N1053" s="10"/>
      <c r="O1053" s="10" t="s">
        <v>37</v>
      </c>
      <c r="P1053" s="10" t="s">
        <v>2846</v>
      </c>
      <c r="Q1053" s="13"/>
      <c r="R1053" s="13"/>
      <c r="S1053" s="13"/>
      <c r="T1053" s="13"/>
      <c r="U1053" s="13"/>
      <c r="V1053" s="13"/>
      <c r="W1053" s="13"/>
      <c r="X1053" s="13"/>
    </row>
    <row r="1054" ht="14.25" customHeight="1">
      <c r="A1054" s="10" t="s">
        <v>2502</v>
      </c>
      <c r="B1054" s="10" t="s">
        <v>31</v>
      </c>
      <c r="C1054" s="10">
        <v>1057.0</v>
      </c>
      <c r="D1054" s="11" t="s">
        <v>2847</v>
      </c>
      <c r="E1054" s="11" t="s">
        <v>2848</v>
      </c>
      <c r="F1054" s="11" t="s">
        <v>45</v>
      </c>
      <c r="G1054" s="10">
        <v>1057.0</v>
      </c>
      <c r="H1054" s="10">
        <f>VLOOKUP(F1054,'Generos y Familia'!$A$1:$C$623,2,FALSE)</f>
        <v>40</v>
      </c>
      <c r="I1054" s="12" t="str">
        <f t="shared" si="1"/>
        <v>Talipariti tiliaceum</v>
      </c>
      <c r="J1054" s="10" t="str">
        <f t="shared" si="2"/>
        <v>1057 Talipariti tiliaceum</v>
      </c>
      <c r="K1054" s="10" t="str">
        <f t="shared" si="3"/>
        <v>Majaguo; Sanjoaquín; Chitú; Majagua</v>
      </c>
      <c r="L1054" s="10" t="str">
        <f t="shared" si="4"/>
        <v>1057 Majaguo; Sanjoaquín; Chitú; Majagua</v>
      </c>
      <c r="M1054" s="10" t="s">
        <v>35</v>
      </c>
      <c r="N1054" s="10" t="s">
        <v>36</v>
      </c>
      <c r="O1054" s="10" t="s">
        <v>47</v>
      </c>
      <c r="P1054" s="10" t="s">
        <v>2849</v>
      </c>
      <c r="Q1054" s="17" t="s">
        <v>612</v>
      </c>
      <c r="R1054" s="14" t="s">
        <v>53</v>
      </c>
      <c r="S1054" s="17" t="s">
        <v>442</v>
      </c>
      <c r="T1054" s="14"/>
      <c r="U1054" s="14" t="s">
        <v>55</v>
      </c>
      <c r="V1054" s="14"/>
      <c r="W1054" s="18"/>
      <c r="X1054" s="14" t="s">
        <v>41</v>
      </c>
    </row>
    <row r="1055" ht="14.25" customHeight="1">
      <c r="A1055" s="10" t="s">
        <v>2502</v>
      </c>
      <c r="B1055" s="10" t="s">
        <v>31</v>
      </c>
      <c r="C1055" s="10">
        <v>1058.0</v>
      </c>
      <c r="D1055" s="11" t="s">
        <v>2850</v>
      </c>
      <c r="E1055" s="11" t="s">
        <v>2851</v>
      </c>
      <c r="F1055" s="11" t="s">
        <v>214</v>
      </c>
      <c r="G1055" s="10">
        <v>1058.0</v>
      </c>
      <c r="H1055" s="10">
        <f>VLOOKUP(F1055,'Generos y Familia'!$A$1:$C$623,2,FALSE)</f>
        <v>84</v>
      </c>
      <c r="I1055" s="12" t="str">
        <f t="shared" si="1"/>
        <v>Talisia cerasina</v>
      </c>
      <c r="J1055" s="10" t="str">
        <f t="shared" si="2"/>
        <v>1058 Talisia cerasina</v>
      </c>
      <c r="K1055" s="10" t="str">
        <f t="shared" si="3"/>
        <v>Pitomba Sacha</v>
      </c>
      <c r="L1055" s="10" t="str">
        <f t="shared" si="4"/>
        <v>1058 Pitomba Sacha</v>
      </c>
      <c r="M1055" s="10" t="s">
        <v>35</v>
      </c>
      <c r="N1055" s="10" t="s">
        <v>36</v>
      </c>
      <c r="O1055" s="10" t="s">
        <v>47</v>
      </c>
      <c r="P1055" s="10" t="s">
        <v>2852</v>
      </c>
      <c r="Q1055" s="13"/>
      <c r="R1055" s="13"/>
      <c r="S1055" s="13"/>
      <c r="T1055" s="13"/>
      <c r="U1055" s="13"/>
      <c r="V1055" s="13"/>
      <c r="W1055" s="13"/>
      <c r="X1055" s="13"/>
    </row>
    <row r="1056" ht="14.25" customHeight="1">
      <c r="A1056" s="10" t="s">
        <v>2502</v>
      </c>
      <c r="B1056" s="10" t="s">
        <v>31</v>
      </c>
      <c r="C1056" s="10">
        <v>1059.0</v>
      </c>
      <c r="D1056" s="11" t="s">
        <v>2853</v>
      </c>
      <c r="E1056" s="11" t="s">
        <v>2854</v>
      </c>
      <c r="F1056" s="11" t="s">
        <v>34</v>
      </c>
      <c r="G1056" s="10">
        <v>1059.0</v>
      </c>
      <c r="H1056" s="10">
        <f>VLOOKUP(F1056,'Generos y Familia'!$A$1:$C$623,2,FALSE)</f>
        <v>27</v>
      </c>
      <c r="I1056" s="12" t="str">
        <f t="shared" si="1"/>
        <v>Tamarindus indica</v>
      </c>
      <c r="J1056" s="10" t="str">
        <f t="shared" si="2"/>
        <v>1059 Tamarindus indica</v>
      </c>
      <c r="K1056" s="10" t="str">
        <f t="shared" si="3"/>
        <v>Tamarindo</v>
      </c>
      <c r="L1056" s="10" t="str">
        <f t="shared" si="4"/>
        <v>1059 Tamarindo</v>
      </c>
      <c r="M1056" s="10" t="s">
        <v>46</v>
      </c>
      <c r="N1056" s="10" t="s">
        <v>36</v>
      </c>
      <c r="O1056" s="10" t="s">
        <v>37</v>
      </c>
      <c r="P1056" s="10" t="s">
        <v>2855</v>
      </c>
      <c r="Q1056" s="13"/>
      <c r="R1056" s="13"/>
      <c r="S1056" s="13"/>
      <c r="T1056" s="13"/>
      <c r="U1056" s="13"/>
      <c r="V1056" s="13"/>
      <c r="W1056" s="13"/>
      <c r="X1056" s="13"/>
    </row>
    <row r="1057" ht="14.25" customHeight="1">
      <c r="A1057" s="10" t="s">
        <v>2502</v>
      </c>
      <c r="B1057" s="10" t="s">
        <v>31</v>
      </c>
      <c r="C1057" s="10">
        <v>1060.0</v>
      </c>
      <c r="D1057" s="11" t="s">
        <v>2856</v>
      </c>
      <c r="E1057" s="11" t="s">
        <v>2857</v>
      </c>
      <c r="F1057" s="11" t="s">
        <v>258</v>
      </c>
      <c r="G1057" s="10">
        <v>1060.0</v>
      </c>
      <c r="H1057" s="10">
        <f>VLOOKUP(F1057,'Generos y Familia'!$A$1:$C$623,2,FALSE)</f>
        <v>7</v>
      </c>
      <c r="I1057" s="12" t="str">
        <f t="shared" si="1"/>
        <v>Tapirira guianensis</v>
      </c>
      <c r="J1057" s="10" t="str">
        <f t="shared" si="2"/>
        <v>1060 Tapirira guianensis</v>
      </c>
      <c r="K1057" s="10" t="str">
        <f t="shared" si="3"/>
        <v>Fresno; Cedrillo; Guarupayo; Cedro Macho</v>
      </c>
      <c r="L1057" s="10" t="str">
        <f t="shared" si="4"/>
        <v>1060 Fresno; Cedrillo; Guarupayo; Cedro Macho</v>
      </c>
      <c r="M1057" s="10" t="s">
        <v>35</v>
      </c>
      <c r="N1057" s="10" t="s">
        <v>36</v>
      </c>
      <c r="O1057" s="10" t="s">
        <v>37</v>
      </c>
      <c r="P1057" s="10" t="s">
        <v>2858</v>
      </c>
      <c r="Q1057" s="13"/>
      <c r="R1057" s="13"/>
      <c r="S1057" s="13"/>
      <c r="T1057" s="13"/>
      <c r="U1057" s="13"/>
      <c r="V1057" s="13"/>
      <c r="W1057" s="16"/>
      <c r="X1057" s="13"/>
    </row>
    <row r="1058" ht="14.25" customHeight="1">
      <c r="A1058" s="10" t="s">
        <v>2502</v>
      </c>
      <c r="B1058" s="10" t="s">
        <v>31</v>
      </c>
      <c r="C1058" s="10">
        <v>1061.0</v>
      </c>
      <c r="D1058" s="11" t="s">
        <v>2859</v>
      </c>
      <c r="E1058" s="11" t="s">
        <v>2860</v>
      </c>
      <c r="F1058" s="11" t="s">
        <v>673</v>
      </c>
      <c r="G1058" s="10">
        <v>1061.0</v>
      </c>
      <c r="H1058" s="10">
        <f>VLOOKUP(F1058,'Generos y Familia'!$A$1:$C$623,2,FALSE)</f>
        <v>45</v>
      </c>
      <c r="I1058" s="12" t="str">
        <f t="shared" si="1"/>
        <v>Taxodium mucronatum</v>
      </c>
      <c r="J1058" s="10" t="str">
        <f t="shared" si="2"/>
        <v>1061 Taxodium mucronatum</v>
      </c>
      <c r="K1058" s="10" t="str">
        <f t="shared" si="3"/>
        <v>Ciprés Moctezuma; Ahuehuete; Sabino</v>
      </c>
      <c r="L1058" s="10" t="str">
        <f t="shared" si="4"/>
        <v>1061 Ciprés Moctezuma; Ahuehuete; Sabino</v>
      </c>
      <c r="M1058" s="10" t="s">
        <v>46</v>
      </c>
      <c r="N1058" s="10" t="s">
        <v>28</v>
      </c>
      <c r="O1058" s="10" t="s">
        <v>37</v>
      </c>
      <c r="P1058" s="10" t="s">
        <v>2861</v>
      </c>
      <c r="Q1058" s="13"/>
      <c r="R1058" s="13"/>
      <c r="S1058" s="13"/>
      <c r="T1058" s="13"/>
      <c r="U1058" s="13"/>
      <c r="V1058" s="13"/>
      <c r="W1058" s="13"/>
      <c r="X1058" s="13"/>
    </row>
    <row r="1059" ht="14.25" customHeight="1">
      <c r="A1059" s="10" t="s">
        <v>2502</v>
      </c>
      <c r="B1059" s="10" t="s">
        <v>31</v>
      </c>
      <c r="C1059" s="10">
        <v>1062.0</v>
      </c>
      <c r="D1059" s="11" t="s">
        <v>2862</v>
      </c>
      <c r="E1059" s="11" t="s">
        <v>2863</v>
      </c>
      <c r="F1059" s="11" t="s">
        <v>248</v>
      </c>
      <c r="G1059" s="10">
        <v>1062.0</v>
      </c>
      <c r="H1059" s="10">
        <f>VLOOKUP(F1059,'Generos y Familia'!$A$1:$C$623,2,FALSE)</f>
        <v>20</v>
      </c>
      <c r="I1059" s="12" t="str">
        <f t="shared" si="1"/>
        <v>Tecoma capensis</v>
      </c>
      <c r="J1059" s="10" t="str">
        <f t="shared" si="2"/>
        <v>1062 Tecoma capensis</v>
      </c>
      <c r="K1059" s="10" t="str">
        <f t="shared" si="3"/>
        <v>Bignonia Roja; Llamarada; Candela; Bignonia; Tecomaria</v>
      </c>
      <c r="L1059" s="10" t="str">
        <f t="shared" si="4"/>
        <v>1062 Bignonia Roja; Llamarada; Candela; Bignonia; Tecomaria</v>
      </c>
      <c r="M1059" s="10" t="s">
        <v>46</v>
      </c>
      <c r="N1059" s="10" t="s">
        <v>36</v>
      </c>
      <c r="O1059" s="10" t="s">
        <v>47</v>
      </c>
      <c r="P1059" s="10" t="s">
        <v>2864</v>
      </c>
      <c r="Q1059" s="17" t="s">
        <v>153</v>
      </c>
      <c r="R1059" s="14" t="s">
        <v>53</v>
      </c>
      <c r="S1059" s="17" t="s">
        <v>229</v>
      </c>
      <c r="T1059" s="14"/>
      <c r="U1059" s="14" t="s">
        <v>55</v>
      </c>
      <c r="V1059" s="14"/>
      <c r="W1059" s="18"/>
      <c r="X1059" s="14" t="s">
        <v>41</v>
      </c>
    </row>
    <row r="1060" ht="14.25" customHeight="1">
      <c r="A1060" s="10" t="s">
        <v>2502</v>
      </c>
      <c r="B1060" s="10" t="s">
        <v>31</v>
      </c>
      <c r="C1060" s="10">
        <v>1063.0</v>
      </c>
      <c r="D1060" s="11" t="s">
        <v>2865</v>
      </c>
      <c r="E1060" s="11" t="s">
        <v>2866</v>
      </c>
      <c r="F1060" s="11" t="s">
        <v>248</v>
      </c>
      <c r="G1060" s="10">
        <v>1063.0</v>
      </c>
      <c r="H1060" s="10">
        <f>VLOOKUP(F1060,'Generos y Familia'!$A$1:$C$623,2,FALSE)</f>
        <v>20</v>
      </c>
      <c r="I1060" s="12" t="str">
        <f t="shared" si="1"/>
        <v>Tecoma stans</v>
      </c>
      <c r="J1060" s="10" t="str">
        <f t="shared" si="2"/>
        <v>1063 Tecoma stans</v>
      </c>
      <c r="K1060" s="10" t="str">
        <f t="shared" si="3"/>
        <v>Chirlobirlo; Floramarillo; Fresno; Amarillo; Fresnillo; Chicalá</v>
      </c>
      <c r="L1060" s="10" t="str">
        <f t="shared" si="4"/>
        <v>1063 Chirlobirlo; Floramarillo; Fresno; Amarillo; Fresnillo; Chicalá</v>
      </c>
      <c r="M1060" s="10" t="s">
        <v>35</v>
      </c>
      <c r="N1060" s="10" t="s">
        <v>36</v>
      </c>
      <c r="O1060" s="10" t="s">
        <v>37</v>
      </c>
      <c r="P1060" s="10" t="s">
        <v>2864</v>
      </c>
      <c r="Q1060" s="17" t="s">
        <v>668</v>
      </c>
      <c r="R1060" s="14" t="s">
        <v>39</v>
      </c>
      <c r="S1060" s="17" t="s">
        <v>145</v>
      </c>
      <c r="T1060" s="14" t="s">
        <v>39</v>
      </c>
      <c r="U1060" s="14" t="s">
        <v>55</v>
      </c>
      <c r="V1060" s="14">
        <v>0.47</v>
      </c>
      <c r="W1060" s="17"/>
      <c r="X1060" s="14"/>
    </row>
    <row r="1061" ht="14.25" customHeight="1">
      <c r="A1061" s="10" t="s">
        <v>2502</v>
      </c>
      <c r="B1061" s="10" t="s">
        <v>31</v>
      </c>
      <c r="C1061" s="10">
        <v>1064.0</v>
      </c>
      <c r="D1061" s="11" t="s">
        <v>2867</v>
      </c>
      <c r="E1061" s="11" t="s">
        <v>2868</v>
      </c>
      <c r="F1061" s="11" t="s">
        <v>136</v>
      </c>
      <c r="G1061" s="10">
        <v>1064.0</v>
      </c>
      <c r="H1061" s="10">
        <f>VLOOKUP(F1061,'Generos y Familia'!$A$1:$C$623,2,FALSE)</f>
        <v>34</v>
      </c>
      <c r="I1061" s="12" t="str">
        <f t="shared" si="1"/>
        <v>Tectona grandis</v>
      </c>
      <c r="J1061" s="10" t="str">
        <f t="shared" si="2"/>
        <v>1064 Tectona grandis</v>
      </c>
      <c r="K1061" s="10" t="str">
        <f t="shared" si="3"/>
        <v>Teca; Teco</v>
      </c>
      <c r="L1061" s="10" t="str">
        <f t="shared" si="4"/>
        <v>1064 Teca; Teco</v>
      </c>
      <c r="M1061" s="10" t="s">
        <v>46</v>
      </c>
      <c r="N1061" s="10" t="s">
        <v>36</v>
      </c>
      <c r="O1061" s="10" t="s">
        <v>37</v>
      </c>
      <c r="P1061" s="10" t="s">
        <v>2869</v>
      </c>
      <c r="Q1061" s="13"/>
      <c r="R1061" s="13"/>
      <c r="S1061" s="13"/>
      <c r="T1061" s="13"/>
      <c r="U1061" s="13"/>
      <c r="V1061" s="13"/>
      <c r="W1061" s="13"/>
      <c r="X1061" s="13"/>
    </row>
    <row r="1062" ht="14.25" customHeight="1">
      <c r="A1062" s="10" t="s">
        <v>2502</v>
      </c>
      <c r="B1062" s="10" t="s">
        <v>31</v>
      </c>
      <c r="C1062" s="10">
        <v>1065.0</v>
      </c>
      <c r="D1062" s="11" t="s">
        <v>2870</v>
      </c>
      <c r="E1062" s="11" t="s">
        <v>2871</v>
      </c>
      <c r="F1062" s="11" t="s">
        <v>574</v>
      </c>
      <c r="G1062" s="10">
        <v>1065.0</v>
      </c>
      <c r="H1062" s="10">
        <f>VLOOKUP(F1062,'Generos y Familia'!$A$1:$C$623,2,FALSE)</f>
        <v>39</v>
      </c>
      <c r="I1062" s="12" t="str">
        <f t="shared" si="1"/>
        <v>Terminalia amazonia</v>
      </c>
      <c r="J1062" s="10" t="str">
        <f t="shared" si="2"/>
        <v>1065 Terminalia amazonia</v>
      </c>
      <c r="K1062" s="10" t="str">
        <f t="shared" si="3"/>
        <v>Almendro Amazónico; Amarillón; Roble Coral; Vara de León</v>
      </c>
      <c r="L1062" s="10" t="str">
        <f t="shared" si="4"/>
        <v>1065 Almendro Amazónico; Amarillón; Roble Coral; Vara de León</v>
      </c>
      <c r="M1062" s="10" t="s">
        <v>35</v>
      </c>
      <c r="N1062" s="10" t="s">
        <v>36</v>
      </c>
      <c r="O1062" s="10" t="s">
        <v>37</v>
      </c>
      <c r="P1062" s="10" t="s">
        <v>575</v>
      </c>
      <c r="Q1062" s="13"/>
      <c r="R1062" s="13"/>
      <c r="S1062" s="13"/>
      <c r="T1062" s="13"/>
      <c r="U1062" s="13"/>
      <c r="V1062" s="13"/>
      <c r="W1062" s="13"/>
      <c r="X1062" s="13"/>
    </row>
    <row r="1063" ht="14.25" customHeight="1">
      <c r="A1063" s="10" t="s">
        <v>2502</v>
      </c>
      <c r="B1063" s="10" t="s">
        <v>31</v>
      </c>
      <c r="C1063" s="10">
        <v>1067.0</v>
      </c>
      <c r="D1063" s="11" t="s">
        <v>2872</v>
      </c>
      <c r="E1063" s="11" t="s">
        <v>2873</v>
      </c>
      <c r="F1063" s="11" t="s">
        <v>574</v>
      </c>
      <c r="G1063" s="10">
        <v>1067.0</v>
      </c>
      <c r="H1063" s="10">
        <f>VLOOKUP(F1063,'Generos y Familia'!$A$1:$C$623,2,FALSE)</f>
        <v>39</v>
      </c>
      <c r="I1063" s="12" t="str">
        <f t="shared" si="1"/>
        <v>Terminalia catappa</v>
      </c>
      <c r="J1063" s="10" t="str">
        <f t="shared" si="2"/>
        <v>1067 Terminalia catappa</v>
      </c>
      <c r="K1063" s="10" t="str">
        <f t="shared" si="3"/>
        <v>Almendro; Almendrón; Almendra; Almendrillo</v>
      </c>
      <c r="L1063" s="10" t="str">
        <f t="shared" si="4"/>
        <v>1067 Almendro; Almendrón; Almendra; Almendrillo</v>
      </c>
      <c r="M1063" s="10" t="s">
        <v>46</v>
      </c>
      <c r="N1063" s="10" t="s">
        <v>36</v>
      </c>
      <c r="O1063" s="10" t="s">
        <v>37</v>
      </c>
      <c r="P1063" s="10" t="s">
        <v>575</v>
      </c>
      <c r="Q1063" s="17" t="s">
        <v>145</v>
      </c>
      <c r="R1063" s="14" t="s">
        <v>39</v>
      </c>
      <c r="S1063" s="17" t="s">
        <v>486</v>
      </c>
      <c r="T1063" s="14" t="s">
        <v>39</v>
      </c>
      <c r="U1063" s="14" t="s">
        <v>55</v>
      </c>
      <c r="V1063" s="14">
        <v>0.48</v>
      </c>
      <c r="W1063" s="18"/>
      <c r="X1063" s="14"/>
    </row>
    <row r="1064" ht="14.25" customHeight="1">
      <c r="A1064" s="10" t="s">
        <v>2502</v>
      </c>
      <c r="B1064" s="10" t="s">
        <v>31</v>
      </c>
      <c r="C1064" s="10">
        <v>1068.0</v>
      </c>
      <c r="D1064" s="11" t="s">
        <v>2874</v>
      </c>
      <c r="E1064" s="11" t="s">
        <v>2102</v>
      </c>
      <c r="F1064" s="11" t="s">
        <v>574</v>
      </c>
      <c r="G1064" s="10">
        <v>1068.0</v>
      </c>
      <c r="H1064" s="10">
        <f>VLOOKUP(F1064,'Generos y Familia'!$A$1:$C$623,2,FALSE)</f>
        <v>39</v>
      </c>
      <c r="I1064" s="12" t="str">
        <f t="shared" si="1"/>
        <v>Terminalia chiriquensis</v>
      </c>
      <c r="J1064" s="10" t="str">
        <f t="shared" si="2"/>
        <v>1068 Terminalia chiriquensis</v>
      </c>
      <c r="K1064" s="10" t="str">
        <f t="shared" si="3"/>
        <v>Guayabillo</v>
      </c>
      <c r="L1064" s="10" t="str">
        <f t="shared" si="4"/>
        <v>1068 Guayabillo</v>
      </c>
      <c r="M1064" s="10" t="s">
        <v>35</v>
      </c>
      <c r="N1064" s="10" t="s">
        <v>36</v>
      </c>
      <c r="O1064" s="10" t="s">
        <v>37</v>
      </c>
      <c r="P1064" s="10" t="s">
        <v>575</v>
      </c>
      <c r="Q1064" s="13"/>
      <c r="R1064" s="13"/>
      <c r="S1064" s="13"/>
      <c r="T1064" s="13"/>
      <c r="U1064" s="13"/>
      <c r="V1064" s="13"/>
      <c r="W1064" s="16"/>
      <c r="X1064" s="13"/>
    </row>
    <row r="1065" ht="14.25" customHeight="1">
      <c r="A1065" s="10" t="s">
        <v>2502</v>
      </c>
      <c r="B1065" s="10" t="s">
        <v>31</v>
      </c>
      <c r="C1065" s="10">
        <v>1069.0</v>
      </c>
      <c r="D1065" s="11" t="s">
        <v>2875</v>
      </c>
      <c r="E1065" s="11" t="s">
        <v>2876</v>
      </c>
      <c r="F1065" s="11" t="s">
        <v>574</v>
      </c>
      <c r="G1065" s="10">
        <v>1069.0</v>
      </c>
      <c r="H1065" s="10">
        <f>VLOOKUP(F1065,'Generos y Familia'!$A$1:$C$623,2,FALSE)</f>
        <v>39</v>
      </c>
      <c r="I1065" s="12" t="str">
        <f t="shared" si="1"/>
        <v>Terminalia ivorensis</v>
      </c>
      <c r="J1065" s="10" t="str">
        <f t="shared" si="2"/>
        <v>1069 Terminalia ivorensis</v>
      </c>
      <c r="K1065" s="10" t="str">
        <f t="shared" si="3"/>
        <v>Terminalia; Almendro Ovirensis</v>
      </c>
      <c r="L1065" s="10" t="str">
        <f t="shared" si="4"/>
        <v>1069 Terminalia; Almendro Ovirensis</v>
      </c>
      <c r="M1065" s="10" t="s">
        <v>46</v>
      </c>
      <c r="N1065" s="10" t="s">
        <v>36</v>
      </c>
      <c r="O1065" s="10" t="s">
        <v>37</v>
      </c>
      <c r="P1065" s="10" t="s">
        <v>575</v>
      </c>
      <c r="Q1065" s="17" t="s">
        <v>2877</v>
      </c>
      <c r="R1065" s="14"/>
      <c r="S1065" s="17" t="s">
        <v>867</v>
      </c>
      <c r="T1065" s="14"/>
      <c r="U1065" s="14" t="s">
        <v>55</v>
      </c>
      <c r="V1065" s="14">
        <v>0.44</v>
      </c>
      <c r="W1065" s="18"/>
      <c r="X1065" s="14"/>
    </row>
    <row r="1066" ht="14.25" customHeight="1">
      <c r="A1066" s="10" t="s">
        <v>2502</v>
      </c>
      <c r="B1066" s="10" t="s">
        <v>31</v>
      </c>
      <c r="C1066" s="10">
        <v>1070.0</v>
      </c>
      <c r="D1066" s="11" t="s">
        <v>2878</v>
      </c>
      <c r="E1066" s="11" t="s">
        <v>2879</v>
      </c>
      <c r="F1066" s="11" t="s">
        <v>574</v>
      </c>
      <c r="G1066" s="10">
        <v>1070.0</v>
      </c>
      <c r="H1066" s="10">
        <f>VLOOKUP(F1066,'Generos y Familia'!$A$1:$C$623,2,FALSE)</f>
        <v>39</v>
      </c>
      <c r="I1066" s="12" t="str">
        <f t="shared" si="1"/>
        <v>Terminalia mantaly</v>
      </c>
      <c r="J1066" s="10" t="str">
        <f t="shared" si="2"/>
        <v>1070 Terminalia mantaly</v>
      </c>
      <c r="K1066" s="10" t="str">
        <f t="shared" si="3"/>
        <v>Terminalia Mantaly</v>
      </c>
      <c r="L1066" s="10" t="str">
        <f t="shared" si="4"/>
        <v>1070 Terminalia Mantaly</v>
      </c>
      <c r="M1066" s="10" t="s">
        <v>46</v>
      </c>
      <c r="N1066" s="10"/>
      <c r="O1066" s="10" t="s">
        <v>37</v>
      </c>
      <c r="P1066" s="10" t="s">
        <v>575</v>
      </c>
      <c r="Q1066" s="13"/>
      <c r="R1066" s="13"/>
      <c r="S1066" s="13"/>
      <c r="T1066" s="13"/>
      <c r="U1066" s="13"/>
      <c r="V1066" s="13"/>
      <c r="W1066" s="16"/>
      <c r="X1066" s="13"/>
    </row>
    <row r="1067" ht="14.25" customHeight="1">
      <c r="A1067" s="10" t="s">
        <v>2502</v>
      </c>
      <c r="B1067" s="10" t="s">
        <v>31</v>
      </c>
      <c r="C1067" s="10">
        <v>1071.0</v>
      </c>
      <c r="D1067" s="11" t="s">
        <v>2880</v>
      </c>
      <c r="E1067" s="11" t="s">
        <v>2881</v>
      </c>
      <c r="F1067" s="11" t="s">
        <v>574</v>
      </c>
      <c r="G1067" s="10">
        <v>1071.0</v>
      </c>
      <c r="H1067" s="10">
        <f>VLOOKUP(F1067,'Generos y Familia'!$A$1:$C$623,2,FALSE)</f>
        <v>39</v>
      </c>
      <c r="I1067" s="12" t="str">
        <f t="shared" si="1"/>
        <v>Terminalia oblonga</v>
      </c>
      <c r="J1067" s="10" t="str">
        <f t="shared" si="2"/>
        <v>1071 Terminalia oblonga</v>
      </c>
      <c r="K1067" s="10" t="str">
        <f t="shared" si="3"/>
        <v>Guayabillo; Vara de León; Guayabito; Guayabo</v>
      </c>
      <c r="L1067" s="10" t="str">
        <f t="shared" si="4"/>
        <v>1071 Guayabillo; Vara de León; Guayabito; Guayabo</v>
      </c>
      <c r="M1067" s="10" t="s">
        <v>35</v>
      </c>
      <c r="N1067" s="10" t="s">
        <v>36</v>
      </c>
      <c r="O1067" s="10" t="s">
        <v>37</v>
      </c>
      <c r="P1067" s="10" t="s">
        <v>575</v>
      </c>
      <c r="Q1067" s="13"/>
      <c r="R1067" s="13"/>
      <c r="S1067" s="13" t="s">
        <v>2882</v>
      </c>
      <c r="T1067" s="13"/>
      <c r="U1067" s="13"/>
      <c r="V1067" s="13"/>
      <c r="W1067" s="16"/>
      <c r="X1067" s="13"/>
    </row>
    <row r="1068" ht="14.25" customHeight="1">
      <c r="A1068" s="10" t="s">
        <v>2502</v>
      </c>
      <c r="B1068" s="10" t="s">
        <v>31</v>
      </c>
      <c r="C1068" s="10">
        <v>1072.0</v>
      </c>
      <c r="D1068" s="11" t="s">
        <v>2883</v>
      </c>
      <c r="E1068" s="11" t="s">
        <v>2884</v>
      </c>
      <c r="F1068" s="11" t="s">
        <v>574</v>
      </c>
      <c r="G1068" s="10">
        <v>1072.0</v>
      </c>
      <c r="H1068" s="10">
        <f>VLOOKUP(F1068,'Generos y Familia'!$A$1:$C$623,2,FALSE)</f>
        <v>39</v>
      </c>
      <c r="I1068" s="12" t="str">
        <f t="shared" si="1"/>
        <v>Terminalia superba</v>
      </c>
      <c r="J1068" s="10" t="str">
        <f t="shared" si="2"/>
        <v>1072 Terminalia superba</v>
      </c>
      <c r="K1068" s="10" t="str">
        <f t="shared" si="3"/>
        <v>Limba; Terminalia</v>
      </c>
      <c r="L1068" s="10" t="str">
        <f t="shared" si="4"/>
        <v>1072 Limba; Terminalia</v>
      </c>
      <c r="M1068" s="10" t="s">
        <v>46</v>
      </c>
      <c r="N1068" s="10" t="s">
        <v>36</v>
      </c>
      <c r="O1068" s="10" t="s">
        <v>37</v>
      </c>
      <c r="P1068" s="10" t="s">
        <v>575</v>
      </c>
      <c r="Q1068" s="13"/>
      <c r="R1068" s="13"/>
      <c r="S1068" s="13"/>
      <c r="T1068" s="13"/>
      <c r="U1068" s="13"/>
      <c r="V1068" s="13"/>
      <c r="W1068" s="16"/>
      <c r="X1068" s="13"/>
    </row>
    <row r="1069" ht="14.25" customHeight="1">
      <c r="A1069" s="10" t="s">
        <v>2502</v>
      </c>
      <c r="B1069" s="10" t="s">
        <v>31</v>
      </c>
      <c r="C1069" s="10">
        <v>1073.0</v>
      </c>
      <c r="D1069" s="11" t="s">
        <v>2885</v>
      </c>
      <c r="E1069" s="11" t="s">
        <v>2886</v>
      </c>
      <c r="F1069" s="11" t="s">
        <v>362</v>
      </c>
      <c r="G1069" s="10">
        <v>1073.0</v>
      </c>
      <c r="H1069" s="10">
        <f>VLOOKUP(F1069,'Generos y Familia'!$A$1:$C$623,2,FALSE)</f>
        <v>17</v>
      </c>
      <c r="I1069" s="12" t="str">
        <f t="shared" si="1"/>
        <v>Tessaria integrifolia</v>
      </c>
      <c r="J1069" s="10" t="str">
        <f t="shared" si="2"/>
        <v>1073 Tessaria integrifolia</v>
      </c>
      <c r="K1069" s="10" t="str">
        <f t="shared" si="3"/>
        <v>Sauce Playero; Aliso de Rio; Sauce de Playa; Sauce; Cenizo</v>
      </c>
      <c r="L1069" s="10" t="str">
        <f t="shared" si="4"/>
        <v>1073 Sauce Playero; Aliso de Rio; Sauce de Playa; Sauce; Cenizo</v>
      </c>
      <c r="M1069" s="10" t="s">
        <v>35</v>
      </c>
      <c r="N1069" s="10" t="s">
        <v>36</v>
      </c>
      <c r="O1069" s="10" t="s">
        <v>37</v>
      </c>
      <c r="P1069" s="10" t="s">
        <v>2887</v>
      </c>
      <c r="Q1069" s="13"/>
      <c r="R1069" s="13"/>
      <c r="S1069" s="13"/>
      <c r="T1069" s="13"/>
      <c r="U1069" s="13"/>
      <c r="V1069" s="13"/>
      <c r="W1069" s="13"/>
      <c r="X1069" s="13"/>
    </row>
    <row r="1070" ht="14.25" customHeight="1">
      <c r="A1070" s="10" t="s">
        <v>2502</v>
      </c>
      <c r="B1070" s="10" t="s">
        <v>31</v>
      </c>
      <c r="C1070" s="10">
        <v>1074.0</v>
      </c>
      <c r="D1070" s="11" t="s">
        <v>2888</v>
      </c>
      <c r="E1070" s="11" t="s">
        <v>2889</v>
      </c>
      <c r="F1070" s="11" t="s">
        <v>324</v>
      </c>
      <c r="G1070" s="10">
        <v>1074.0</v>
      </c>
      <c r="H1070" s="10">
        <f>VLOOKUP(F1070,'Generos y Familia'!$A$1:$C$623,2,FALSE)</f>
        <v>12</v>
      </c>
      <c r="I1070" s="12" t="str">
        <f t="shared" si="1"/>
        <v>Tetrapanax papyrifer</v>
      </c>
      <c r="J1070" s="10" t="str">
        <f t="shared" si="2"/>
        <v>1074 Tetrapanax papyrifer</v>
      </c>
      <c r="K1070" s="10" t="str">
        <f t="shared" si="3"/>
        <v>Papel Arroz</v>
      </c>
      <c r="L1070" s="10" t="str">
        <f t="shared" si="4"/>
        <v>1074 Papel Arroz</v>
      </c>
      <c r="M1070" s="10" t="s">
        <v>46</v>
      </c>
      <c r="N1070" s="10" t="s">
        <v>36</v>
      </c>
      <c r="O1070" s="10" t="s">
        <v>47</v>
      </c>
      <c r="P1070" s="10" t="s">
        <v>2890</v>
      </c>
      <c r="Q1070" s="17" t="s">
        <v>612</v>
      </c>
      <c r="R1070" s="14"/>
      <c r="S1070" s="17" t="s">
        <v>442</v>
      </c>
      <c r="T1070" s="14"/>
      <c r="U1070" s="14" t="s">
        <v>55</v>
      </c>
      <c r="V1070" s="14"/>
      <c r="W1070" s="17"/>
      <c r="X1070" s="14" t="s">
        <v>41</v>
      </c>
    </row>
    <row r="1071" ht="14.25" customHeight="1">
      <c r="A1071" s="10" t="s">
        <v>2502</v>
      </c>
      <c r="B1071" s="10" t="s">
        <v>31</v>
      </c>
      <c r="C1071" s="10">
        <v>1075.0</v>
      </c>
      <c r="D1071" s="11" t="s">
        <v>2891</v>
      </c>
      <c r="E1071" s="11" t="s">
        <v>2892</v>
      </c>
      <c r="F1071" s="11" t="s">
        <v>45</v>
      </c>
      <c r="G1071" s="10">
        <v>1075.0</v>
      </c>
      <c r="H1071" s="10">
        <f>VLOOKUP(F1071,'Generos y Familia'!$A$1:$C$623,2,FALSE)</f>
        <v>40</v>
      </c>
      <c r="I1071" s="12" t="str">
        <f t="shared" si="1"/>
        <v>Theobroma bicolor</v>
      </c>
      <c r="J1071" s="10" t="str">
        <f t="shared" si="2"/>
        <v>1075 Theobroma bicolor</v>
      </c>
      <c r="K1071" s="10" t="str">
        <f t="shared" si="3"/>
        <v>Maraco; Bacao; Bacao de Monte; Maraca</v>
      </c>
      <c r="L1071" s="10" t="str">
        <f t="shared" si="4"/>
        <v>1075 Maraco; Bacao; Bacao de Monte; Maraca</v>
      </c>
      <c r="M1071" s="10" t="s">
        <v>35</v>
      </c>
      <c r="N1071" s="10" t="s">
        <v>36</v>
      </c>
      <c r="O1071" s="10" t="s">
        <v>37</v>
      </c>
      <c r="P1071" s="10" t="s">
        <v>2893</v>
      </c>
      <c r="Q1071" s="13"/>
      <c r="R1071" s="13"/>
      <c r="S1071" s="13"/>
      <c r="T1071" s="13"/>
      <c r="U1071" s="13"/>
      <c r="V1071" s="13"/>
      <c r="W1071" s="13"/>
      <c r="X1071" s="13"/>
    </row>
    <row r="1072" ht="14.25" customHeight="1">
      <c r="A1072" s="10" t="s">
        <v>2502</v>
      </c>
      <c r="B1072" s="10" t="s">
        <v>31</v>
      </c>
      <c r="C1072" s="10">
        <v>1076.0</v>
      </c>
      <c r="D1072" s="11" t="s">
        <v>2894</v>
      </c>
      <c r="E1072" s="11" t="s">
        <v>2895</v>
      </c>
      <c r="F1072" s="11" t="s">
        <v>45</v>
      </c>
      <c r="G1072" s="10">
        <v>1076.0</v>
      </c>
      <c r="H1072" s="10">
        <f>VLOOKUP(F1072,'Generos y Familia'!$A$1:$C$623,2,FALSE)</f>
        <v>40</v>
      </c>
      <c r="I1072" s="12" t="str">
        <f t="shared" si="1"/>
        <v>Theobroma cacao</v>
      </c>
      <c r="J1072" s="10" t="str">
        <f t="shared" si="2"/>
        <v>1076 Theobroma cacao</v>
      </c>
      <c r="K1072" s="10" t="str">
        <f t="shared" si="3"/>
        <v>Cacao; Cacaotero; Chocolate</v>
      </c>
      <c r="L1072" s="10" t="str">
        <f t="shared" si="4"/>
        <v>1076 Cacao; Cacaotero; Chocolate</v>
      </c>
      <c r="M1072" s="10" t="s">
        <v>46</v>
      </c>
      <c r="N1072" s="10" t="s">
        <v>36</v>
      </c>
      <c r="O1072" s="10" t="s">
        <v>37</v>
      </c>
      <c r="P1072" s="10" t="s">
        <v>2893</v>
      </c>
      <c r="Q1072" s="17" t="s">
        <v>70</v>
      </c>
      <c r="R1072" s="14" t="s">
        <v>39</v>
      </c>
      <c r="S1072" s="17" t="s">
        <v>106</v>
      </c>
      <c r="T1072" s="14" t="s">
        <v>39</v>
      </c>
      <c r="U1072" s="14" t="s">
        <v>73</v>
      </c>
      <c r="V1072" s="14">
        <v>0.42</v>
      </c>
      <c r="W1072" s="17"/>
      <c r="X1072" s="14"/>
    </row>
    <row r="1073" ht="14.25" customHeight="1">
      <c r="A1073" s="10" t="s">
        <v>2502</v>
      </c>
      <c r="B1073" s="10" t="s">
        <v>31</v>
      </c>
      <c r="C1073" s="10">
        <v>1077.0</v>
      </c>
      <c r="D1073" s="11" t="s">
        <v>2896</v>
      </c>
      <c r="E1073" s="11" t="s">
        <v>2897</v>
      </c>
      <c r="F1073" s="11" t="s">
        <v>45</v>
      </c>
      <c r="G1073" s="10">
        <v>1077.0</v>
      </c>
      <c r="H1073" s="10">
        <f>VLOOKUP(F1073,'Generos y Familia'!$A$1:$C$623,2,FALSE)</f>
        <v>40</v>
      </c>
      <c r="I1073" s="12" t="str">
        <f t="shared" si="1"/>
        <v>Theobroma grandiflorum</v>
      </c>
      <c r="J1073" s="10" t="str">
        <f t="shared" si="2"/>
        <v>1077 Theobroma grandiflorum</v>
      </c>
      <c r="K1073" s="10" t="str">
        <f t="shared" si="3"/>
        <v>Copoazú; Copuazú; Cupuazú; Cacao de Monte; Maraca Silvestre</v>
      </c>
      <c r="L1073" s="10" t="str">
        <f t="shared" si="4"/>
        <v>1077 Copoazú; Copuazú; Cupuazú; Cacao de Monte; Maraca Silvestre</v>
      </c>
      <c r="M1073" s="10" t="s">
        <v>35</v>
      </c>
      <c r="N1073" s="10" t="s">
        <v>36</v>
      </c>
      <c r="O1073" s="10" t="s">
        <v>47</v>
      </c>
      <c r="P1073" s="10" t="s">
        <v>2893</v>
      </c>
      <c r="Q1073" s="13"/>
      <c r="R1073" s="13"/>
      <c r="S1073" s="13"/>
      <c r="T1073" s="13"/>
      <c r="U1073" s="13"/>
      <c r="V1073" s="13"/>
      <c r="W1073" s="13"/>
      <c r="X1073" s="13"/>
    </row>
    <row r="1074" ht="14.25" customHeight="1">
      <c r="A1074" s="10" t="s">
        <v>2502</v>
      </c>
      <c r="B1074" s="10" t="s">
        <v>31</v>
      </c>
      <c r="C1074" s="10">
        <v>1078.0</v>
      </c>
      <c r="D1074" s="11" t="s">
        <v>2898</v>
      </c>
      <c r="E1074" s="11" t="s">
        <v>2899</v>
      </c>
      <c r="F1074" s="11" t="s">
        <v>45</v>
      </c>
      <c r="G1074" s="10">
        <v>1078.0</v>
      </c>
      <c r="H1074" s="10">
        <f>VLOOKUP(F1074,'Generos y Familia'!$A$1:$C$623,2,FALSE)</f>
        <v>40</v>
      </c>
      <c r="I1074" s="12" t="str">
        <f t="shared" si="1"/>
        <v>Thespesia populnea</v>
      </c>
      <c r="J1074" s="10" t="str">
        <f t="shared" si="2"/>
        <v>1078 Thespesia populnea</v>
      </c>
      <c r="K1074" s="10" t="str">
        <f t="shared" si="3"/>
        <v>Clemón; Algodoncillo; Algodon de Arbol</v>
      </c>
      <c r="L1074" s="10" t="str">
        <f t="shared" si="4"/>
        <v>1078 Clemón; Algodoncillo; Algodon de Arbol</v>
      </c>
      <c r="M1074" s="10" t="s">
        <v>35</v>
      </c>
      <c r="N1074" s="10" t="s">
        <v>36</v>
      </c>
      <c r="O1074" s="10" t="s">
        <v>37</v>
      </c>
      <c r="P1074" s="10" t="s">
        <v>2900</v>
      </c>
      <c r="Q1074" s="13"/>
      <c r="R1074" s="13"/>
      <c r="S1074" s="13"/>
      <c r="T1074" s="13"/>
      <c r="U1074" s="13"/>
      <c r="V1074" s="13"/>
      <c r="W1074" s="13"/>
      <c r="X1074" s="13"/>
    </row>
    <row r="1075" ht="14.25" customHeight="1">
      <c r="A1075" s="10" t="s">
        <v>2502</v>
      </c>
      <c r="B1075" s="10" t="s">
        <v>31</v>
      </c>
      <c r="C1075" s="10">
        <v>1079.0</v>
      </c>
      <c r="D1075" s="11" t="s">
        <v>2901</v>
      </c>
      <c r="E1075" s="11" t="s">
        <v>2902</v>
      </c>
      <c r="F1075" s="11" t="s">
        <v>206</v>
      </c>
      <c r="G1075" s="10">
        <v>1079.0</v>
      </c>
      <c r="H1075" s="10">
        <f>VLOOKUP(F1075,'Generos y Familia'!$A$1:$C$623,2,FALSE)</f>
        <v>9</v>
      </c>
      <c r="I1075" s="12" t="str">
        <f t="shared" si="1"/>
        <v>Thevetia ahouai</v>
      </c>
      <c r="J1075" s="10" t="str">
        <f t="shared" si="2"/>
        <v>1079 Thevetia ahouai</v>
      </c>
      <c r="K1075" s="10" t="str">
        <f t="shared" si="3"/>
        <v>Huevos de Tigre</v>
      </c>
      <c r="L1075" s="10" t="str">
        <f t="shared" si="4"/>
        <v>1079 Huevos de Tigre</v>
      </c>
      <c r="M1075" s="10" t="s">
        <v>35</v>
      </c>
      <c r="N1075" s="10" t="s">
        <v>36</v>
      </c>
      <c r="O1075" s="10" t="s">
        <v>47</v>
      </c>
      <c r="P1075" s="10" t="s">
        <v>2903</v>
      </c>
      <c r="Q1075" s="13"/>
      <c r="R1075" s="13"/>
      <c r="S1075" s="13"/>
      <c r="T1075" s="13"/>
      <c r="U1075" s="13"/>
      <c r="V1075" s="13"/>
      <c r="W1075" s="13"/>
      <c r="X1075" s="13"/>
    </row>
    <row r="1076" ht="14.25" customHeight="1">
      <c r="A1076" s="10" t="s">
        <v>2502</v>
      </c>
      <c r="B1076" s="10" t="s">
        <v>31</v>
      </c>
      <c r="C1076" s="10">
        <v>1080.0</v>
      </c>
      <c r="D1076" s="11" t="s">
        <v>2904</v>
      </c>
      <c r="E1076" s="11" t="s">
        <v>2905</v>
      </c>
      <c r="F1076" s="11" t="s">
        <v>206</v>
      </c>
      <c r="G1076" s="10">
        <v>1080.0</v>
      </c>
      <c r="H1076" s="10">
        <f>VLOOKUP(F1076,'Generos y Familia'!$A$1:$C$623,2,FALSE)</f>
        <v>9</v>
      </c>
      <c r="I1076" s="12" t="str">
        <f t="shared" si="1"/>
        <v>Thevetia peruviana</v>
      </c>
      <c r="J1076" s="10" t="str">
        <f t="shared" si="2"/>
        <v>1080 Thevetia peruviana</v>
      </c>
      <c r="K1076" s="10" t="str">
        <f t="shared" si="3"/>
        <v>Catape; Cobalongo</v>
      </c>
      <c r="L1076" s="10" t="str">
        <f t="shared" si="4"/>
        <v>1080 Catape; Cobalongo</v>
      </c>
      <c r="M1076" s="10" t="s">
        <v>46</v>
      </c>
      <c r="N1076" s="10" t="s">
        <v>36</v>
      </c>
      <c r="O1076" s="10" t="s">
        <v>37</v>
      </c>
      <c r="P1076" s="10" t="s">
        <v>2903</v>
      </c>
      <c r="Q1076" s="17" t="s">
        <v>612</v>
      </c>
      <c r="R1076" s="14"/>
      <c r="S1076" s="17" t="s">
        <v>229</v>
      </c>
      <c r="T1076" s="14"/>
      <c r="U1076" s="14" t="s">
        <v>55</v>
      </c>
      <c r="V1076" s="14"/>
      <c r="W1076" s="18"/>
      <c r="X1076" s="14" t="s">
        <v>41</v>
      </c>
    </row>
    <row r="1077" ht="14.25" customHeight="1">
      <c r="A1077" s="10" t="s">
        <v>2502</v>
      </c>
      <c r="B1077" s="10" t="s">
        <v>31</v>
      </c>
      <c r="C1077" s="10">
        <v>1081.0</v>
      </c>
      <c r="D1077" s="11" t="s">
        <v>2906</v>
      </c>
      <c r="E1077" s="11" t="s">
        <v>2907</v>
      </c>
      <c r="F1077" s="11" t="s">
        <v>362</v>
      </c>
      <c r="G1077" s="10">
        <v>1081.0</v>
      </c>
      <c r="H1077" s="10">
        <f>VLOOKUP(F1077,'Generos y Familia'!$A$1:$C$623,2,FALSE)</f>
        <v>17</v>
      </c>
      <c r="I1077" s="12" t="str">
        <f t="shared" si="1"/>
        <v>Tithonia diversifolia</v>
      </c>
      <c r="J1077" s="10" t="str">
        <f t="shared" si="2"/>
        <v>1081 Tithonia diversifolia</v>
      </c>
      <c r="K1077" s="10" t="str">
        <f t="shared" si="3"/>
        <v>Mirasol; Boton de Oro; Margaritón</v>
      </c>
      <c r="L1077" s="10" t="str">
        <f t="shared" si="4"/>
        <v>1081 Mirasol; Boton de Oro; Margaritón</v>
      </c>
      <c r="M1077" s="10" t="s">
        <v>46</v>
      </c>
      <c r="N1077" s="10"/>
      <c r="O1077" s="10" t="s">
        <v>47</v>
      </c>
      <c r="P1077" s="10" t="s">
        <v>2908</v>
      </c>
      <c r="Q1077" s="13"/>
      <c r="R1077" s="13"/>
      <c r="S1077" s="13"/>
      <c r="T1077" s="13"/>
      <c r="U1077" s="13"/>
      <c r="V1077" s="13"/>
      <c r="W1077" s="16"/>
      <c r="X1077" s="13"/>
    </row>
    <row r="1078" ht="14.25" customHeight="1">
      <c r="A1078" s="10" t="s">
        <v>2502</v>
      </c>
      <c r="B1078" s="10" t="s">
        <v>31</v>
      </c>
      <c r="C1078" s="10">
        <v>1082.0</v>
      </c>
      <c r="D1078" s="11" t="s">
        <v>2909</v>
      </c>
      <c r="E1078" s="11" t="s">
        <v>2910</v>
      </c>
      <c r="F1078" s="11" t="s">
        <v>116</v>
      </c>
      <c r="G1078" s="10">
        <v>1082.0</v>
      </c>
      <c r="H1078" s="10">
        <f>VLOOKUP(F1078,'Generos y Familia'!$A$1:$C$623,2,FALSE)</f>
        <v>14</v>
      </c>
      <c r="I1078" s="12" t="str">
        <f t="shared" si="1"/>
        <v>Thrinax parviflora</v>
      </c>
      <c r="J1078" s="10" t="str">
        <f t="shared" si="2"/>
        <v>1082 Thrinax parviflora</v>
      </c>
      <c r="K1078" s="10" t="str">
        <f t="shared" si="3"/>
        <v>Palma Abanico</v>
      </c>
      <c r="L1078" s="10" t="str">
        <f t="shared" si="4"/>
        <v>1082 Palma Abanico</v>
      </c>
      <c r="M1078" s="10" t="s">
        <v>46</v>
      </c>
      <c r="N1078" s="10" t="s">
        <v>36</v>
      </c>
      <c r="O1078" s="10" t="s">
        <v>117</v>
      </c>
      <c r="P1078" s="10" t="s">
        <v>2911</v>
      </c>
      <c r="Q1078" s="13"/>
      <c r="R1078" s="13"/>
      <c r="S1078" s="13"/>
      <c r="T1078" s="13"/>
      <c r="U1078" s="13"/>
      <c r="V1078" s="13"/>
      <c r="W1078" s="13"/>
      <c r="X1078" s="13"/>
    </row>
    <row r="1079" ht="14.25" customHeight="1">
      <c r="A1079" s="10" t="s">
        <v>2502</v>
      </c>
      <c r="B1079" s="10" t="s">
        <v>31</v>
      </c>
      <c r="C1079" s="10">
        <v>1083.0</v>
      </c>
      <c r="D1079" s="11" t="s">
        <v>2912</v>
      </c>
      <c r="E1079" s="11" t="s">
        <v>2913</v>
      </c>
      <c r="F1079" s="11" t="s">
        <v>320</v>
      </c>
      <c r="G1079" s="10">
        <v>1083.0</v>
      </c>
      <c r="H1079" s="10">
        <f>VLOOKUP(F1079,'Generos y Familia'!$A$1:$C$623,2,FALSE)</f>
        <v>1</v>
      </c>
      <c r="I1079" s="12" t="str">
        <f t="shared" si="1"/>
        <v>Thunbergia sp</v>
      </c>
      <c r="J1079" s="10" t="str">
        <f t="shared" si="2"/>
        <v>1083 Thunbergia sp</v>
      </c>
      <c r="K1079" s="10" t="str">
        <f t="shared" si="3"/>
        <v>Manto de Rey</v>
      </c>
      <c r="L1079" s="10" t="str">
        <f t="shared" si="4"/>
        <v>1083 Manto de Rey</v>
      </c>
      <c r="M1079" s="10" t="s">
        <v>46</v>
      </c>
      <c r="N1079" s="10"/>
      <c r="O1079" s="10"/>
      <c r="P1079" s="10" t="s">
        <v>2914</v>
      </c>
      <c r="Q1079" s="13"/>
      <c r="R1079" s="13"/>
      <c r="S1079" s="13"/>
      <c r="T1079" s="13"/>
      <c r="U1079" s="13"/>
      <c r="V1079" s="13"/>
      <c r="W1079" s="13"/>
      <c r="X1079" s="13"/>
    </row>
    <row r="1080" ht="14.25" customHeight="1">
      <c r="A1080" s="10" t="s">
        <v>2502</v>
      </c>
      <c r="B1080" s="10" t="s">
        <v>31</v>
      </c>
      <c r="C1080" s="10">
        <v>1084.0</v>
      </c>
      <c r="D1080" s="11" t="s">
        <v>2915</v>
      </c>
      <c r="E1080" s="11" t="s">
        <v>2913</v>
      </c>
      <c r="F1080" s="11" t="s">
        <v>320</v>
      </c>
      <c r="G1080" s="10">
        <v>1084.0</v>
      </c>
      <c r="H1080" s="10">
        <f>VLOOKUP(F1080,'Generos y Familia'!$A$1:$C$623,2,FALSE)</f>
        <v>1</v>
      </c>
      <c r="I1080" s="12" t="str">
        <f t="shared" si="1"/>
        <v>Thunbergia erecta</v>
      </c>
      <c r="J1080" s="10" t="str">
        <f t="shared" si="2"/>
        <v>1084 Thunbergia erecta</v>
      </c>
      <c r="K1080" s="10" t="str">
        <f t="shared" si="3"/>
        <v>Manto de Rey</v>
      </c>
      <c r="L1080" s="10" t="str">
        <f t="shared" si="4"/>
        <v>1084 Manto de Rey</v>
      </c>
      <c r="M1080" s="10" t="s">
        <v>46</v>
      </c>
      <c r="N1080" s="10" t="s">
        <v>36</v>
      </c>
      <c r="O1080" s="10" t="s">
        <v>47</v>
      </c>
      <c r="P1080" s="10" t="s">
        <v>2914</v>
      </c>
      <c r="Q1080" s="13"/>
      <c r="R1080" s="13"/>
      <c r="S1080" s="13"/>
      <c r="T1080" s="13"/>
      <c r="U1080" s="13"/>
      <c r="V1080" s="13"/>
      <c r="W1080" s="13"/>
      <c r="X1080" s="13"/>
    </row>
    <row r="1081" ht="14.25" customHeight="1">
      <c r="A1081" s="10" t="s">
        <v>2502</v>
      </c>
      <c r="B1081" s="10" t="s">
        <v>31</v>
      </c>
      <c r="C1081" s="10">
        <v>1085.0</v>
      </c>
      <c r="D1081" s="11" t="s">
        <v>2916</v>
      </c>
      <c r="E1081" s="11" t="s">
        <v>2917</v>
      </c>
      <c r="F1081" s="11" t="s">
        <v>471</v>
      </c>
      <c r="G1081" s="10">
        <v>1085.0</v>
      </c>
      <c r="H1081" s="10">
        <f>VLOOKUP(F1081,'Generos y Familia'!$A$1:$C$623,2,FALSE)</f>
        <v>41</v>
      </c>
      <c r="I1081" s="12" t="str">
        <f t="shared" si="1"/>
        <v>Tibouchina gracilis</v>
      </c>
      <c r="J1081" s="10" t="str">
        <f t="shared" si="2"/>
        <v>1085 Tibouchina gracilis</v>
      </c>
      <c r="K1081" s="10" t="str">
        <f t="shared" si="3"/>
        <v>Flor de Princesa; Planta de la Gloria</v>
      </c>
      <c r="L1081" s="10" t="str">
        <f t="shared" si="4"/>
        <v>1085 Flor de Princesa; Planta de la Gloria</v>
      </c>
      <c r="M1081" s="10" t="s">
        <v>35</v>
      </c>
      <c r="N1081" s="10"/>
      <c r="O1081" s="10" t="s">
        <v>2918</v>
      </c>
      <c r="P1081" s="10" t="s">
        <v>2919</v>
      </c>
      <c r="Q1081" s="13"/>
      <c r="R1081" s="13"/>
      <c r="S1081" s="13"/>
      <c r="T1081" s="13"/>
      <c r="U1081" s="13"/>
      <c r="V1081" s="13"/>
      <c r="W1081" s="16"/>
      <c r="X1081" s="13"/>
    </row>
    <row r="1082" ht="14.25" customHeight="1">
      <c r="A1082" s="10" t="s">
        <v>2502</v>
      </c>
      <c r="B1082" s="10" t="s">
        <v>31</v>
      </c>
      <c r="C1082" s="10">
        <v>1086.0</v>
      </c>
      <c r="D1082" s="11" t="s">
        <v>2920</v>
      </c>
      <c r="E1082" s="11" t="s">
        <v>2921</v>
      </c>
      <c r="F1082" s="11" t="s">
        <v>471</v>
      </c>
      <c r="G1082" s="10">
        <v>1086.0</v>
      </c>
      <c r="H1082" s="10">
        <f>VLOOKUP(F1082,'Generos y Familia'!$A$1:$C$623,2,FALSE)</f>
        <v>41</v>
      </c>
      <c r="I1082" s="12" t="str">
        <f t="shared" si="1"/>
        <v>Tibouchina granulosa</v>
      </c>
      <c r="J1082" s="10" t="str">
        <f t="shared" si="2"/>
        <v>1086 Tibouchina granulosa</v>
      </c>
      <c r="K1082" s="10" t="str">
        <f t="shared" si="3"/>
        <v>Siete Cueros</v>
      </c>
      <c r="L1082" s="10" t="str">
        <f t="shared" si="4"/>
        <v>1086 Siete Cueros</v>
      </c>
      <c r="M1082" s="10" t="s">
        <v>46</v>
      </c>
      <c r="N1082" s="10" t="s">
        <v>36</v>
      </c>
      <c r="O1082" s="10" t="s">
        <v>37</v>
      </c>
      <c r="P1082" s="10" t="s">
        <v>2919</v>
      </c>
      <c r="Q1082" s="17" t="s">
        <v>612</v>
      </c>
      <c r="R1082" s="14"/>
      <c r="S1082" s="17" t="s">
        <v>54</v>
      </c>
      <c r="T1082" s="14"/>
      <c r="U1082" s="14" t="s">
        <v>55</v>
      </c>
      <c r="V1082" s="14"/>
      <c r="W1082" s="18"/>
      <c r="X1082" s="14" t="s">
        <v>41</v>
      </c>
    </row>
    <row r="1083" ht="14.25" customHeight="1">
      <c r="A1083" s="10" t="s">
        <v>2502</v>
      </c>
      <c r="B1083" s="10" t="s">
        <v>31</v>
      </c>
      <c r="C1083" s="10">
        <v>1087.0</v>
      </c>
      <c r="D1083" s="11" t="s">
        <v>2922</v>
      </c>
      <c r="E1083" s="11" t="s">
        <v>2923</v>
      </c>
      <c r="F1083" s="11" t="s">
        <v>471</v>
      </c>
      <c r="G1083" s="10">
        <v>1087.0</v>
      </c>
      <c r="H1083" s="10">
        <f>VLOOKUP(F1083,'Generos y Familia'!$A$1:$C$623,2,FALSE)</f>
        <v>41</v>
      </c>
      <c r="I1083" s="12" t="str">
        <f t="shared" si="1"/>
        <v>Tibouchina heteromalla</v>
      </c>
      <c r="J1083" s="10" t="str">
        <f t="shared" si="2"/>
        <v>1087 Tibouchina heteromalla</v>
      </c>
      <c r="K1083" s="10" t="str">
        <f t="shared" si="3"/>
        <v>Oreja de Venado</v>
      </c>
      <c r="L1083" s="10" t="str">
        <f t="shared" si="4"/>
        <v>1087 Oreja de Venado</v>
      </c>
      <c r="M1083" s="10" t="s">
        <v>46</v>
      </c>
      <c r="N1083" s="10" t="s">
        <v>36</v>
      </c>
      <c r="O1083" s="10" t="s">
        <v>47</v>
      </c>
      <c r="P1083" s="10" t="s">
        <v>2919</v>
      </c>
      <c r="Q1083" s="17" t="s">
        <v>632</v>
      </c>
      <c r="R1083" s="14"/>
      <c r="S1083" s="17" t="s">
        <v>229</v>
      </c>
      <c r="T1083" s="14"/>
      <c r="U1083" s="14" t="s">
        <v>40</v>
      </c>
      <c r="V1083" s="14"/>
      <c r="W1083" s="17"/>
      <c r="X1083" s="14" t="s">
        <v>41</v>
      </c>
    </row>
    <row r="1084" ht="14.25" customHeight="1">
      <c r="A1084" s="10" t="s">
        <v>2502</v>
      </c>
      <c r="B1084" s="10" t="s">
        <v>31</v>
      </c>
      <c r="C1084" s="10">
        <v>1088.0</v>
      </c>
      <c r="D1084" s="11" t="s">
        <v>2924</v>
      </c>
      <c r="E1084" s="11" t="s">
        <v>2925</v>
      </c>
      <c r="F1084" s="11" t="s">
        <v>471</v>
      </c>
      <c r="G1084" s="10">
        <v>1088.0</v>
      </c>
      <c r="H1084" s="10">
        <f>VLOOKUP(F1084,'Generos y Familia'!$A$1:$C$623,2,FALSE)</f>
        <v>41</v>
      </c>
      <c r="I1084" s="12" t="str">
        <f t="shared" si="1"/>
        <v>Tibouchina lepidota</v>
      </c>
      <c r="J1084" s="10" t="str">
        <f t="shared" si="2"/>
        <v>1088 Tibouchina lepidota</v>
      </c>
      <c r="K1084" s="10" t="str">
        <f t="shared" si="3"/>
        <v>Sietecueros; Sietecueros Real</v>
      </c>
      <c r="L1084" s="10" t="str">
        <f t="shared" si="4"/>
        <v>1088 Sietecueros; Sietecueros Real</v>
      </c>
      <c r="M1084" s="10" t="s">
        <v>35</v>
      </c>
      <c r="N1084" s="10" t="s">
        <v>36</v>
      </c>
      <c r="O1084" s="10" t="s">
        <v>37</v>
      </c>
      <c r="P1084" s="10" t="s">
        <v>2919</v>
      </c>
      <c r="Q1084" s="17" t="s">
        <v>338</v>
      </c>
      <c r="R1084" s="14" t="s">
        <v>39</v>
      </c>
      <c r="S1084" s="17" t="s">
        <v>54</v>
      </c>
      <c r="T1084" s="14" t="s">
        <v>39</v>
      </c>
      <c r="U1084" s="14" t="s">
        <v>73</v>
      </c>
      <c r="V1084" s="14"/>
      <c r="W1084" s="18"/>
      <c r="X1084" s="14"/>
    </row>
    <row r="1085" ht="14.25" customHeight="1">
      <c r="A1085" s="10" t="s">
        <v>2502</v>
      </c>
      <c r="B1085" s="10" t="s">
        <v>31</v>
      </c>
      <c r="C1085" s="10">
        <v>1089.0</v>
      </c>
      <c r="D1085" s="11" t="s">
        <v>2926</v>
      </c>
      <c r="E1085" s="11" t="s">
        <v>2927</v>
      </c>
      <c r="F1085" s="11" t="s">
        <v>471</v>
      </c>
      <c r="G1085" s="10">
        <v>1089.0</v>
      </c>
      <c r="H1085" s="10">
        <f>VLOOKUP(F1085,'Generos y Familia'!$A$1:$C$623,2,FALSE)</f>
        <v>41</v>
      </c>
      <c r="I1085" s="12" t="str">
        <f t="shared" si="1"/>
        <v>Tibouchina urvilleana</v>
      </c>
      <c r="J1085" s="10" t="str">
        <f t="shared" si="2"/>
        <v>1089 Tibouchina urvilleana</v>
      </c>
      <c r="K1085" s="10" t="str">
        <f t="shared" si="3"/>
        <v>Siete Cueros; Sietecueros Brasilero; Sietecueros Nazareno</v>
      </c>
      <c r="L1085" s="10" t="str">
        <f t="shared" si="4"/>
        <v>1089 Siete Cueros; Sietecueros Brasilero; Sietecueros Nazareno</v>
      </c>
      <c r="M1085" s="10" t="s">
        <v>35</v>
      </c>
      <c r="N1085" s="10" t="s">
        <v>36</v>
      </c>
      <c r="O1085" s="10" t="s">
        <v>37</v>
      </c>
      <c r="P1085" s="10" t="s">
        <v>2919</v>
      </c>
      <c r="Q1085" s="17" t="s">
        <v>347</v>
      </c>
      <c r="R1085" s="14" t="s">
        <v>53</v>
      </c>
      <c r="S1085" s="17" t="s">
        <v>229</v>
      </c>
      <c r="T1085" s="14"/>
      <c r="U1085" s="14" t="s">
        <v>55</v>
      </c>
      <c r="V1085" s="14"/>
      <c r="W1085" s="17"/>
      <c r="X1085" s="14" t="s">
        <v>41</v>
      </c>
    </row>
    <row r="1086" ht="14.25" customHeight="1">
      <c r="A1086" s="10" t="s">
        <v>2502</v>
      </c>
      <c r="B1086" s="10" t="s">
        <v>31</v>
      </c>
      <c r="C1086" s="10">
        <v>1090.0</v>
      </c>
      <c r="D1086" s="11" t="s">
        <v>2928</v>
      </c>
      <c r="E1086" s="11" t="s">
        <v>2929</v>
      </c>
      <c r="F1086" s="11" t="s">
        <v>45</v>
      </c>
      <c r="G1086" s="10">
        <v>1090.0</v>
      </c>
      <c r="H1086" s="10">
        <f>VLOOKUP(F1086,'Generos y Familia'!$A$1:$C$623,2,FALSE)</f>
        <v>40</v>
      </c>
      <c r="I1086" s="12" t="str">
        <f t="shared" si="1"/>
        <v>Tilia europaea</v>
      </c>
      <c r="J1086" s="10" t="str">
        <f t="shared" si="2"/>
        <v>1090 Tilia europaea</v>
      </c>
      <c r="K1086" s="10" t="str">
        <f t="shared" si="3"/>
        <v>Tilia Europaea</v>
      </c>
      <c r="L1086" s="10" t="str">
        <f t="shared" si="4"/>
        <v>1090 Tilia Europaea</v>
      </c>
      <c r="M1086" s="10" t="s">
        <v>46</v>
      </c>
      <c r="N1086" s="10"/>
      <c r="O1086" s="10"/>
      <c r="P1086" s="10" t="s">
        <v>2930</v>
      </c>
      <c r="Q1086" s="13"/>
      <c r="R1086" s="13"/>
      <c r="S1086" s="13"/>
      <c r="T1086" s="13"/>
      <c r="U1086" s="13"/>
      <c r="V1086" s="13"/>
      <c r="W1086" s="16"/>
      <c r="X1086" s="13"/>
    </row>
    <row r="1087" ht="14.25" customHeight="1">
      <c r="A1087" s="10" t="s">
        <v>2502</v>
      </c>
      <c r="B1087" s="10" t="s">
        <v>31</v>
      </c>
      <c r="C1087" s="10">
        <v>1091.0</v>
      </c>
      <c r="D1087" s="11" t="s">
        <v>2931</v>
      </c>
      <c r="E1087" s="11" t="s">
        <v>2931</v>
      </c>
      <c r="F1087" s="11" t="s">
        <v>769</v>
      </c>
      <c r="G1087" s="10">
        <v>1091.0</v>
      </c>
      <c r="H1087" s="10">
        <f>VLOOKUP(F1087,'Generos y Familia'!$A$1:$C$623,2,FALSE)</f>
        <v>80</v>
      </c>
      <c r="I1087" s="12" t="str">
        <f t="shared" si="1"/>
        <v>Toddalia sp</v>
      </c>
      <c r="J1087" s="10" t="str">
        <f t="shared" si="2"/>
        <v>1091 Toddalia sp</v>
      </c>
      <c r="K1087" s="10" t="str">
        <f t="shared" si="3"/>
        <v>Toddalia sp</v>
      </c>
      <c r="L1087" s="10" t="str">
        <f t="shared" si="4"/>
        <v>1091 Toddalia sp</v>
      </c>
      <c r="M1087" s="10" t="s">
        <v>35</v>
      </c>
      <c r="N1087" s="10" t="s">
        <v>36</v>
      </c>
      <c r="O1087" s="10"/>
      <c r="P1087" s="10" t="s">
        <v>2932</v>
      </c>
      <c r="Q1087" s="13"/>
      <c r="R1087" s="13"/>
      <c r="S1087" s="13"/>
      <c r="T1087" s="13"/>
      <c r="U1087" s="13"/>
      <c r="V1087" s="13"/>
      <c r="W1087" s="13"/>
      <c r="X1087" s="13"/>
    </row>
    <row r="1088" ht="14.25" customHeight="1">
      <c r="A1088" s="10" t="s">
        <v>2502</v>
      </c>
      <c r="B1088" s="10" t="s">
        <v>31</v>
      </c>
      <c r="C1088" s="10">
        <v>1092.0</v>
      </c>
      <c r="D1088" s="11" t="s">
        <v>2933</v>
      </c>
      <c r="E1088" s="11" t="s">
        <v>2934</v>
      </c>
      <c r="F1088" s="11" t="s">
        <v>999</v>
      </c>
      <c r="G1088" s="10">
        <v>1092.0</v>
      </c>
      <c r="H1088" s="10">
        <f>VLOOKUP(F1088,'Generos y Familia'!$A$1:$C$623,2,FALSE)</f>
        <v>37</v>
      </c>
      <c r="I1088" s="12" t="str">
        <f t="shared" si="1"/>
        <v>Tovomita weddelliana</v>
      </c>
      <c r="J1088" s="10" t="str">
        <f t="shared" si="2"/>
        <v>1092 Tovomita weddelliana</v>
      </c>
      <c r="K1088" s="10" t="str">
        <f t="shared" si="3"/>
        <v>Trompillo; Rapabarbo</v>
      </c>
      <c r="L1088" s="10" t="str">
        <f t="shared" si="4"/>
        <v>1092 Trompillo; Rapabarbo</v>
      </c>
      <c r="M1088" s="10" t="s">
        <v>35</v>
      </c>
      <c r="N1088" s="10"/>
      <c r="O1088" s="10" t="s">
        <v>37</v>
      </c>
      <c r="P1088" s="10" t="s">
        <v>2935</v>
      </c>
      <c r="Q1088" s="13"/>
      <c r="R1088" s="13"/>
      <c r="S1088" s="13"/>
      <c r="T1088" s="13"/>
      <c r="U1088" s="13"/>
      <c r="V1088" s="13"/>
      <c r="W1088" s="16"/>
      <c r="X1088" s="13"/>
    </row>
    <row r="1089" ht="14.25" customHeight="1">
      <c r="A1089" s="10" t="s">
        <v>2502</v>
      </c>
      <c r="B1089" s="10" t="s">
        <v>31</v>
      </c>
      <c r="C1089" s="10">
        <v>1093.0</v>
      </c>
      <c r="D1089" s="11" t="s">
        <v>2936</v>
      </c>
      <c r="E1089" s="11" t="s">
        <v>2937</v>
      </c>
      <c r="F1089" s="11" t="s">
        <v>258</v>
      </c>
      <c r="G1089" s="10">
        <v>1093.0</v>
      </c>
      <c r="H1089" s="10">
        <f>VLOOKUP(F1089,'Generos y Familia'!$A$1:$C$623,2,FALSE)</f>
        <v>7</v>
      </c>
      <c r="I1089" s="12" t="str">
        <f t="shared" si="1"/>
        <v>Toxicodendron striatum</v>
      </c>
      <c r="J1089" s="10" t="str">
        <f t="shared" si="2"/>
        <v>1093 Toxicodendron striatum</v>
      </c>
      <c r="K1089" s="10" t="str">
        <f t="shared" si="3"/>
        <v>Manzanillo; Chiraco; Caspi; Pedrohernández</v>
      </c>
      <c r="L1089" s="10" t="str">
        <f t="shared" si="4"/>
        <v>1093 Manzanillo; Chiraco; Caspi; Pedrohernández</v>
      </c>
      <c r="M1089" s="10" t="s">
        <v>35</v>
      </c>
      <c r="N1089" s="10" t="s">
        <v>36</v>
      </c>
      <c r="O1089" s="10" t="s">
        <v>37</v>
      </c>
      <c r="P1089" s="10" t="s">
        <v>2938</v>
      </c>
      <c r="Q1089" s="17" t="s">
        <v>229</v>
      </c>
      <c r="R1089" s="14"/>
      <c r="S1089" s="17" t="s">
        <v>145</v>
      </c>
      <c r="T1089" s="14"/>
      <c r="U1089" s="14" t="s">
        <v>40</v>
      </c>
      <c r="V1089" s="14"/>
      <c r="W1089" s="17"/>
      <c r="X1089" s="14" t="s">
        <v>41</v>
      </c>
    </row>
    <row r="1090" ht="14.25" customHeight="1">
      <c r="A1090" s="10" t="s">
        <v>2502</v>
      </c>
      <c r="B1090" s="10" t="s">
        <v>31</v>
      </c>
      <c r="C1090" s="10">
        <v>1094.0</v>
      </c>
      <c r="D1090" s="11" t="s">
        <v>2939</v>
      </c>
      <c r="E1090" s="11" t="s">
        <v>2940</v>
      </c>
      <c r="F1090" s="11" t="s">
        <v>116</v>
      </c>
      <c r="G1090" s="10">
        <v>1094.0</v>
      </c>
      <c r="H1090" s="10">
        <f>VLOOKUP(F1090,'Generos y Familia'!$A$1:$C$623,2,FALSE)</f>
        <v>14</v>
      </c>
      <c r="I1090" s="12" t="str">
        <f t="shared" si="1"/>
        <v>Trachycarpus fortunei</v>
      </c>
      <c r="J1090" s="10" t="str">
        <f t="shared" si="2"/>
        <v>1094 Trachycarpus fortunei</v>
      </c>
      <c r="K1090" s="10" t="str">
        <f t="shared" si="3"/>
        <v>Molino del Viento Chino; Palma de Viento; Palma Molino de Viento Chino</v>
      </c>
      <c r="L1090" s="10" t="str">
        <f t="shared" si="4"/>
        <v>1094 Molino del Viento Chino; Palma de Viento; Palma Molino de Viento Chino</v>
      </c>
      <c r="M1090" s="10" t="s">
        <v>46</v>
      </c>
      <c r="N1090" s="10" t="s">
        <v>36</v>
      </c>
      <c r="O1090" s="10" t="s">
        <v>117</v>
      </c>
      <c r="P1090" s="10" t="s">
        <v>2941</v>
      </c>
      <c r="Q1090" s="13"/>
      <c r="R1090" s="13"/>
      <c r="S1090" s="13"/>
      <c r="T1090" s="13"/>
      <c r="U1090" s="13"/>
      <c r="V1090" s="13"/>
      <c r="W1090" s="13"/>
      <c r="X1090" s="13"/>
    </row>
    <row r="1091" ht="14.25" customHeight="1">
      <c r="A1091" s="10" t="s">
        <v>2502</v>
      </c>
      <c r="B1091" s="10" t="s">
        <v>31</v>
      </c>
      <c r="C1091" s="10">
        <v>1095.0</v>
      </c>
      <c r="D1091" s="11" t="s">
        <v>2942</v>
      </c>
      <c r="E1091" s="11" t="s">
        <v>2943</v>
      </c>
      <c r="F1091" s="11" t="s">
        <v>2944</v>
      </c>
      <c r="G1091" s="10">
        <v>1095.0</v>
      </c>
      <c r="H1091" s="10">
        <f>VLOOKUP(F1091,'Generos y Familia'!$A$1:$C$623,2,FALSE)</f>
        <v>40</v>
      </c>
      <c r="I1091" s="12" t="str">
        <f t="shared" si="1"/>
        <v>Tradescantia fluminensis</v>
      </c>
      <c r="J1091" s="10" t="str">
        <f t="shared" si="2"/>
        <v>1095 Tradescantia fluminensis</v>
      </c>
      <c r="K1091" s="10" t="str">
        <f t="shared" si="3"/>
        <v>Amor de Hombre</v>
      </c>
      <c r="L1091" s="10" t="str">
        <f t="shared" si="4"/>
        <v>1095 Amor de Hombre</v>
      </c>
      <c r="M1091" s="10" t="s">
        <v>46</v>
      </c>
      <c r="N1091" s="10" t="s">
        <v>36</v>
      </c>
      <c r="O1091" s="10" t="s">
        <v>47</v>
      </c>
      <c r="P1091" s="10" t="s">
        <v>2945</v>
      </c>
      <c r="Q1091" s="13"/>
      <c r="R1091" s="13"/>
      <c r="S1091" s="13"/>
      <c r="T1091" s="13"/>
      <c r="U1091" s="13"/>
      <c r="V1091" s="13"/>
      <c r="W1091" s="13"/>
      <c r="X1091" s="13"/>
    </row>
    <row r="1092" ht="14.25" customHeight="1">
      <c r="A1092" s="10" t="s">
        <v>2502</v>
      </c>
      <c r="B1092" s="10" t="s">
        <v>31</v>
      </c>
      <c r="C1092" s="10">
        <v>1096.0</v>
      </c>
      <c r="D1092" s="11" t="s">
        <v>2946</v>
      </c>
      <c r="E1092" s="11" t="s">
        <v>2947</v>
      </c>
      <c r="F1092" s="11" t="s">
        <v>2944</v>
      </c>
      <c r="G1092" s="10">
        <v>1096.0</v>
      </c>
      <c r="H1092" s="10">
        <f>VLOOKUP(F1092,'Generos y Familia'!$A$1:$C$623,2,FALSE)</f>
        <v>40</v>
      </c>
      <c r="I1092" s="12" t="str">
        <f t="shared" si="1"/>
        <v>Tradescantia pallida</v>
      </c>
      <c r="J1092" s="10" t="str">
        <f t="shared" si="2"/>
        <v>1096 Tradescantia pallida</v>
      </c>
      <c r="K1092" s="10" t="str">
        <f t="shared" si="3"/>
        <v>Guarda Parque Morado</v>
      </c>
      <c r="L1092" s="10" t="str">
        <f t="shared" si="4"/>
        <v>1096 Guarda Parque Morado</v>
      </c>
      <c r="M1092" s="10" t="s">
        <v>46</v>
      </c>
      <c r="N1092" s="10" t="s">
        <v>36</v>
      </c>
      <c r="O1092" s="10" t="s">
        <v>2918</v>
      </c>
      <c r="P1092" s="10" t="s">
        <v>2945</v>
      </c>
      <c r="Q1092" s="13"/>
      <c r="R1092" s="13"/>
      <c r="S1092" s="13"/>
      <c r="T1092" s="13"/>
      <c r="U1092" s="13"/>
      <c r="V1092" s="13"/>
      <c r="W1092" s="13"/>
      <c r="X1092" s="13"/>
    </row>
    <row r="1093" ht="14.25" customHeight="1">
      <c r="A1093" s="10" t="s">
        <v>2502</v>
      </c>
      <c r="B1093" s="10" t="s">
        <v>31</v>
      </c>
      <c r="C1093" s="10">
        <v>1097.0</v>
      </c>
      <c r="D1093" s="11" t="s">
        <v>2948</v>
      </c>
      <c r="E1093" s="11" t="s">
        <v>2949</v>
      </c>
      <c r="F1093" s="11" t="s">
        <v>602</v>
      </c>
      <c r="G1093" s="10">
        <v>1097.0</v>
      </c>
      <c r="H1093" s="10">
        <f>VLOOKUP(F1093,'Generos y Familia'!$A$1:$C$623,2,FALSE)</f>
        <v>24</v>
      </c>
      <c r="I1093" s="12" t="str">
        <f t="shared" si="1"/>
        <v>Trattinnickia aspera</v>
      </c>
      <c r="J1093" s="10" t="str">
        <f t="shared" si="2"/>
        <v>1097 Trattinnickia aspera</v>
      </c>
      <c r="K1093" s="10" t="str">
        <f t="shared" si="3"/>
        <v>Cariaño; Caraño; Ampó</v>
      </c>
      <c r="L1093" s="10" t="str">
        <f t="shared" si="4"/>
        <v>1097 Cariaño; Caraño; Ampó</v>
      </c>
      <c r="M1093" s="10" t="s">
        <v>35</v>
      </c>
      <c r="N1093" s="10" t="s">
        <v>36</v>
      </c>
      <c r="O1093" s="10" t="s">
        <v>37</v>
      </c>
      <c r="P1093" s="10" t="s">
        <v>2950</v>
      </c>
      <c r="Q1093" s="13"/>
      <c r="R1093" s="13"/>
      <c r="S1093" s="13"/>
      <c r="T1093" s="13"/>
      <c r="U1093" s="13"/>
      <c r="V1093" s="13"/>
      <c r="W1093" s="13"/>
      <c r="X1093" s="13"/>
    </row>
    <row r="1094" ht="14.25" customHeight="1">
      <c r="A1094" s="10" t="s">
        <v>2502</v>
      </c>
      <c r="B1094" s="10" t="s">
        <v>31</v>
      </c>
      <c r="C1094" s="10">
        <v>1098.0</v>
      </c>
      <c r="D1094" s="11" t="s">
        <v>2951</v>
      </c>
      <c r="E1094" s="11" t="s">
        <v>2952</v>
      </c>
      <c r="F1094" s="11" t="s">
        <v>2953</v>
      </c>
      <c r="G1094" s="10">
        <v>1098.0</v>
      </c>
      <c r="H1094" s="10">
        <f>VLOOKUP(F1094,'Generos y Familia'!$A$1:$C$623,2,FALSE)</f>
        <v>28</v>
      </c>
      <c r="I1094" s="12" t="str">
        <f t="shared" si="1"/>
        <v>Trema micrantha</v>
      </c>
      <c r="J1094" s="10" t="str">
        <f t="shared" si="2"/>
        <v>1098 Trema micrantha</v>
      </c>
      <c r="K1094" s="10" t="str">
        <f t="shared" si="3"/>
        <v>Zurrumbo; Látigo; Verraco; Surundé; Cargadero; Raspador; Berraco</v>
      </c>
      <c r="L1094" s="10" t="str">
        <f t="shared" si="4"/>
        <v>1098 Zurrumbo; Látigo; Verraco; Surundé; Cargadero; Raspador; Berraco</v>
      </c>
      <c r="M1094" s="10" t="s">
        <v>35</v>
      </c>
      <c r="N1094" s="10" t="s">
        <v>36</v>
      </c>
      <c r="O1094" s="10" t="s">
        <v>47</v>
      </c>
      <c r="P1094" s="10" t="s">
        <v>2954</v>
      </c>
      <c r="Q1094" s="17" t="s">
        <v>379</v>
      </c>
      <c r="R1094" s="14"/>
      <c r="S1094" s="17" t="s">
        <v>442</v>
      </c>
      <c r="T1094" s="14"/>
      <c r="U1094" s="14" t="s">
        <v>55</v>
      </c>
      <c r="V1094" s="14"/>
      <c r="W1094" s="18"/>
      <c r="X1094" s="14" t="s">
        <v>41</v>
      </c>
    </row>
    <row r="1095" ht="14.25" customHeight="1">
      <c r="A1095" s="10" t="s">
        <v>2502</v>
      </c>
      <c r="B1095" s="10" t="s">
        <v>31</v>
      </c>
      <c r="C1095" s="10">
        <v>1099.0</v>
      </c>
      <c r="D1095" s="11" t="s">
        <v>2955</v>
      </c>
      <c r="E1095" s="11" t="s">
        <v>2956</v>
      </c>
      <c r="F1095" s="11" t="s">
        <v>320</v>
      </c>
      <c r="G1095" s="10">
        <v>1099.0</v>
      </c>
      <c r="H1095" s="10">
        <f>VLOOKUP(F1095,'Generos y Familia'!$A$1:$C$623,2,FALSE)</f>
        <v>1</v>
      </c>
      <c r="I1095" s="12" t="str">
        <f t="shared" si="1"/>
        <v>Trichanthera gigantea</v>
      </c>
      <c r="J1095" s="10" t="str">
        <f t="shared" si="2"/>
        <v>1099 Trichanthera gigantea</v>
      </c>
      <c r="K1095" s="10" t="str">
        <f t="shared" si="3"/>
        <v>Quiebra Barrigo; Quiebrabarrigo; Nacedero; Madre de Agua</v>
      </c>
      <c r="L1095" s="10" t="str">
        <f t="shared" si="4"/>
        <v>1099 Quiebra Barrigo; Quiebrabarrigo; Nacedero; Madre de Agua</v>
      </c>
      <c r="M1095" s="10" t="s">
        <v>35</v>
      </c>
      <c r="N1095" s="10" t="s">
        <v>36</v>
      </c>
      <c r="O1095" s="10" t="s">
        <v>47</v>
      </c>
      <c r="P1095" s="10" t="s">
        <v>2957</v>
      </c>
      <c r="Q1095" s="17" t="s">
        <v>794</v>
      </c>
      <c r="R1095" s="14" t="s">
        <v>53</v>
      </c>
      <c r="S1095" s="17" t="s">
        <v>54</v>
      </c>
      <c r="T1095" s="14"/>
      <c r="U1095" s="14" t="s">
        <v>55</v>
      </c>
      <c r="V1095" s="14"/>
      <c r="W1095" s="17"/>
      <c r="X1095" s="14" t="s">
        <v>41</v>
      </c>
    </row>
    <row r="1096" ht="14.25" customHeight="1">
      <c r="A1096" s="10" t="s">
        <v>2502</v>
      </c>
      <c r="B1096" s="10" t="s">
        <v>31</v>
      </c>
      <c r="C1096" s="10">
        <v>1100.0</v>
      </c>
      <c r="D1096" s="11" t="s">
        <v>2958</v>
      </c>
      <c r="E1096" s="11" t="s">
        <v>2959</v>
      </c>
      <c r="F1096" s="11" t="s">
        <v>411</v>
      </c>
      <c r="G1096" s="10">
        <v>1100.0</v>
      </c>
      <c r="H1096" s="10">
        <f>VLOOKUP(F1096,'Generos y Familia'!$A$1:$C$623,2,FALSE)</f>
        <v>42</v>
      </c>
      <c r="I1096" s="12" t="str">
        <f t="shared" si="1"/>
        <v>Trichilia dregeana</v>
      </c>
      <c r="J1096" s="10" t="str">
        <f t="shared" si="2"/>
        <v>1100 Trichilia dregeana</v>
      </c>
      <c r="K1096" s="10" t="str">
        <f t="shared" si="3"/>
        <v>Chalahuite</v>
      </c>
      <c r="L1096" s="10" t="str">
        <f t="shared" si="4"/>
        <v>1100 Chalahuite</v>
      </c>
      <c r="M1096" s="10" t="s">
        <v>46</v>
      </c>
      <c r="N1096" s="10"/>
      <c r="O1096" s="10" t="s">
        <v>37</v>
      </c>
      <c r="P1096" s="10" t="s">
        <v>2960</v>
      </c>
      <c r="Q1096" s="13"/>
      <c r="R1096" s="13"/>
      <c r="S1096" s="13"/>
      <c r="T1096" s="13"/>
      <c r="U1096" s="13"/>
      <c r="V1096" s="13"/>
      <c r="W1096" s="13"/>
      <c r="X1096" s="13"/>
    </row>
    <row r="1097" ht="14.25" customHeight="1">
      <c r="A1097" s="10" t="s">
        <v>2502</v>
      </c>
      <c r="B1097" s="10" t="s">
        <v>31</v>
      </c>
      <c r="C1097" s="10">
        <v>1101.0</v>
      </c>
      <c r="D1097" s="11" t="s">
        <v>2961</v>
      </c>
      <c r="E1097" s="11" t="s">
        <v>2962</v>
      </c>
      <c r="F1097" s="11" t="s">
        <v>411</v>
      </c>
      <c r="G1097" s="10">
        <v>1101.0</v>
      </c>
      <c r="H1097" s="10">
        <f>VLOOKUP(F1097,'Generos y Familia'!$A$1:$C$623,2,FALSE)</f>
        <v>42</v>
      </c>
      <c r="I1097" s="12" t="str">
        <f t="shared" si="1"/>
        <v>Trichilia Havanensis</v>
      </c>
      <c r="J1097" s="10" t="str">
        <f t="shared" si="2"/>
        <v>1101 Trichilia Havanensis</v>
      </c>
      <c r="K1097" s="10" t="str">
        <f t="shared" si="3"/>
        <v>Cedrillo; Cacique; Cedro</v>
      </c>
      <c r="L1097" s="10" t="str">
        <f t="shared" si="4"/>
        <v>1101 Cedrillo; Cacique; Cedro</v>
      </c>
      <c r="M1097" s="10" t="s">
        <v>35</v>
      </c>
      <c r="N1097" s="10" t="s">
        <v>36</v>
      </c>
      <c r="O1097" s="10" t="s">
        <v>37</v>
      </c>
      <c r="P1097" s="10" t="s">
        <v>2960</v>
      </c>
      <c r="Q1097" s="13"/>
      <c r="R1097" s="13"/>
      <c r="S1097" s="13"/>
      <c r="T1097" s="13"/>
      <c r="U1097" s="13"/>
      <c r="V1097" s="13"/>
      <c r="W1097" s="13"/>
      <c r="X1097" s="13"/>
    </row>
    <row r="1098" ht="14.25" customHeight="1">
      <c r="A1098" s="10" t="s">
        <v>2502</v>
      </c>
      <c r="B1098" s="10" t="s">
        <v>31</v>
      </c>
      <c r="C1098" s="10">
        <v>1102.0</v>
      </c>
      <c r="D1098" s="11" t="s">
        <v>2963</v>
      </c>
      <c r="E1098" s="11" t="s">
        <v>2964</v>
      </c>
      <c r="F1098" s="11" t="s">
        <v>411</v>
      </c>
      <c r="G1098" s="10">
        <v>1102.0</v>
      </c>
      <c r="H1098" s="10">
        <f>VLOOKUP(F1098,'Generos y Familia'!$A$1:$C$623,2,FALSE)</f>
        <v>42</v>
      </c>
      <c r="I1098" s="12" t="str">
        <f t="shared" si="1"/>
        <v>Trichilia hirta</v>
      </c>
      <c r="J1098" s="10" t="str">
        <f t="shared" si="2"/>
        <v>1102 Trichilia hirta</v>
      </c>
      <c r="K1098" s="10" t="str">
        <f t="shared" si="3"/>
        <v>Jobo Macho; Trompillo; Jobo; Tautano; Tuétano</v>
      </c>
      <c r="L1098" s="10" t="str">
        <f t="shared" si="4"/>
        <v>1102 Jobo Macho; Trompillo; Jobo; Tautano; Tuétano</v>
      </c>
      <c r="M1098" s="10" t="s">
        <v>35</v>
      </c>
      <c r="N1098" s="10" t="s">
        <v>36</v>
      </c>
      <c r="O1098" s="10" t="s">
        <v>37</v>
      </c>
      <c r="P1098" s="10" t="s">
        <v>2960</v>
      </c>
      <c r="Q1098" s="13"/>
      <c r="R1098" s="13"/>
      <c r="S1098" s="13"/>
      <c r="T1098" s="13"/>
      <c r="U1098" s="13"/>
      <c r="V1098" s="13"/>
      <c r="W1098" s="13"/>
      <c r="X1098" s="13"/>
    </row>
    <row r="1099" ht="14.25" customHeight="1">
      <c r="A1099" s="10" t="s">
        <v>2502</v>
      </c>
      <c r="B1099" s="10" t="s">
        <v>31</v>
      </c>
      <c r="C1099" s="10">
        <v>1103.0</v>
      </c>
      <c r="D1099" s="11" t="s">
        <v>2965</v>
      </c>
      <c r="E1099" s="11" t="s">
        <v>2966</v>
      </c>
      <c r="F1099" s="11" t="s">
        <v>411</v>
      </c>
      <c r="G1099" s="10">
        <v>1103.0</v>
      </c>
      <c r="H1099" s="10">
        <f>VLOOKUP(F1099,'Generos y Familia'!$A$1:$C$623,2,FALSE)</f>
        <v>42</v>
      </c>
      <c r="I1099" s="12" t="str">
        <f t="shared" si="1"/>
        <v>Trichilia martiana</v>
      </c>
      <c r="J1099" s="10" t="str">
        <f t="shared" si="2"/>
        <v>1103 Trichilia martiana</v>
      </c>
      <c r="K1099" s="10" t="str">
        <f t="shared" si="3"/>
        <v>Tuétano; Cedrillo; Vara de Piedra</v>
      </c>
      <c r="L1099" s="10" t="str">
        <f t="shared" si="4"/>
        <v>1103 Tuétano; Cedrillo; Vara de Piedra</v>
      </c>
      <c r="M1099" s="10" t="s">
        <v>35</v>
      </c>
      <c r="N1099" s="10" t="s">
        <v>36</v>
      </c>
      <c r="O1099" s="10" t="s">
        <v>37</v>
      </c>
      <c r="P1099" s="10" t="s">
        <v>2960</v>
      </c>
      <c r="Q1099" s="13"/>
      <c r="R1099" s="13"/>
      <c r="S1099" s="13"/>
      <c r="T1099" s="13"/>
      <c r="U1099" s="13"/>
      <c r="V1099" s="13"/>
      <c r="W1099" s="13"/>
      <c r="X1099" s="13"/>
    </row>
    <row r="1100" ht="14.25" customHeight="1">
      <c r="A1100" s="10" t="s">
        <v>2502</v>
      </c>
      <c r="B1100" s="10" t="s">
        <v>31</v>
      </c>
      <c r="C1100" s="10">
        <v>1104.0</v>
      </c>
      <c r="D1100" s="11" t="s">
        <v>2967</v>
      </c>
      <c r="E1100" s="11" t="s">
        <v>2968</v>
      </c>
      <c r="F1100" s="11" t="s">
        <v>45</v>
      </c>
      <c r="G1100" s="10">
        <v>1104.0</v>
      </c>
      <c r="H1100" s="10">
        <f>VLOOKUP(F1100,'Generos y Familia'!$A$1:$C$623,2,FALSE)</f>
        <v>40</v>
      </c>
      <c r="I1100" s="12" t="str">
        <f t="shared" si="1"/>
        <v>Trichospermum galeottii</v>
      </c>
      <c r="J1100" s="10" t="str">
        <f t="shared" si="2"/>
        <v>1104 Trichospermum galeottii</v>
      </c>
      <c r="K1100" s="10" t="str">
        <f t="shared" si="3"/>
        <v>Melao; Chillalde</v>
      </c>
      <c r="L1100" s="10" t="str">
        <f t="shared" si="4"/>
        <v>1104 Melao; Chillalde</v>
      </c>
      <c r="M1100" s="10" t="s">
        <v>35</v>
      </c>
      <c r="N1100" s="10" t="s">
        <v>36</v>
      </c>
      <c r="O1100" s="10" t="s">
        <v>37</v>
      </c>
      <c r="P1100" s="10" t="s">
        <v>2969</v>
      </c>
      <c r="Q1100" s="13"/>
      <c r="R1100" s="13"/>
      <c r="S1100" s="13"/>
      <c r="T1100" s="13"/>
      <c r="U1100" s="13"/>
      <c r="V1100" s="13"/>
      <c r="W1100" s="13"/>
      <c r="X1100" s="13"/>
    </row>
    <row r="1101" ht="14.25" customHeight="1">
      <c r="A1101" s="10" t="s">
        <v>2502</v>
      </c>
      <c r="B1101" s="10" t="s">
        <v>31</v>
      </c>
      <c r="C1101" s="10">
        <v>1105.0</v>
      </c>
      <c r="D1101" s="11" t="s">
        <v>2970</v>
      </c>
      <c r="E1101" s="11" t="s">
        <v>2971</v>
      </c>
      <c r="F1101" s="11" t="s">
        <v>769</v>
      </c>
      <c r="G1101" s="10">
        <v>1105.0</v>
      </c>
      <c r="H1101" s="10">
        <f>VLOOKUP(F1101,'Generos y Familia'!$A$1:$C$623,2,FALSE)</f>
        <v>80</v>
      </c>
      <c r="I1101" s="12" t="str">
        <f t="shared" si="1"/>
        <v>Triphasia trifolia</v>
      </c>
      <c r="J1101" s="10" t="str">
        <f t="shared" si="2"/>
        <v>1105 Triphasia trifolia</v>
      </c>
      <c r="K1101" s="10" t="str">
        <f t="shared" si="3"/>
        <v>Cerezo Asiatico</v>
      </c>
      <c r="L1101" s="10" t="str">
        <f t="shared" si="4"/>
        <v>1105 Cerezo Asiatico</v>
      </c>
      <c r="M1101" s="10" t="s">
        <v>46</v>
      </c>
      <c r="N1101" s="10" t="s">
        <v>36</v>
      </c>
      <c r="O1101" s="10" t="s">
        <v>47</v>
      </c>
      <c r="P1101" s="10" t="s">
        <v>2972</v>
      </c>
      <c r="Q1101" s="13"/>
      <c r="R1101" s="13"/>
      <c r="S1101" s="13"/>
      <c r="T1101" s="13"/>
      <c r="U1101" s="13"/>
      <c r="V1101" s="13"/>
      <c r="W1101" s="13"/>
      <c r="X1101" s="13"/>
    </row>
    <row r="1102" ht="14.25" customHeight="1">
      <c r="A1102" s="10" t="s">
        <v>2502</v>
      </c>
      <c r="B1102" s="10" t="s">
        <v>31</v>
      </c>
      <c r="C1102" s="10">
        <v>1106.0</v>
      </c>
      <c r="D1102" s="11" t="s">
        <v>2973</v>
      </c>
      <c r="E1102" s="11" t="s">
        <v>2974</v>
      </c>
      <c r="F1102" s="11" t="s">
        <v>1015</v>
      </c>
      <c r="G1102" s="10">
        <v>1106.0</v>
      </c>
      <c r="H1102" s="10">
        <f>VLOOKUP(F1102,'Generos y Familia'!$A$1:$C$623,2,FALSE)</f>
        <v>73</v>
      </c>
      <c r="I1102" s="12" t="str">
        <f t="shared" si="1"/>
        <v>Triplaris americana</v>
      </c>
      <c r="J1102" s="10" t="str">
        <f t="shared" si="2"/>
        <v>1106 Triplaris americana</v>
      </c>
      <c r="K1102" s="10" t="str">
        <f t="shared" si="3"/>
        <v>Vara Santa; Varasanta; Guacamayo; Palosanto</v>
      </c>
      <c r="L1102" s="10" t="str">
        <f t="shared" si="4"/>
        <v>1106 Vara Santa; Varasanta; Guacamayo; Palosanto</v>
      </c>
      <c r="M1102" s="10" t="s">
        <v>35</v>
      </c>
      <c r="N1102" s="10" t="s">
        <v>36</v>
      </c>
      <c r="O1102" s="10" t="s">
        <v>37</v>
      </c>
      <c r="P1102" s="10" t="s">
        <v>2975</v>
      </c>
      <c r="Q1102" s="13"/>
      <c r="R1102" s="13"/>
      <c r="S1102" s="13"/>
      <c r="T1102" s="13"/>
      <c r="U1102" s="13"/>
      <c r="V1102" s="13"/>
      <c r="W1102" s="13"/>
      <c r="X1102" s="13"/>
    </row>
    <row r="1103" ht="14.25" customHeight="1">
      <c r="A1103" s="10" t="s">
        <v>2502</v>
      </c>
      <c r="B1103" s="10" t="s">
        <v>31</v>
      </c>
      <c r="C1103" s="10">
        <v>1107.0</v>
      </c>
      <c r="D1103" s="11" t="s">
        <v>2976</v>
      </c>
      <c r="E1103" s="11" t="s">
        <v>2977</v>
      </c>
      <c r="F1103" s="11" t="s">
        <v>116</v>
      </c>
      <c r="G1103" s="10">
        <v>1107.0</v>
      </c>
      <c r="H1103" s="10">
        <f>VLOOKUP(F1103,'Generos y Familia'!$A$1:$C$623,2,FALSE)</f>
        <v>14</v>
      </c>
      <c r="I1103" s="12" t="str">
        <f t="shared" si="1"/>
        <v>Trithrinax schizophylla</v>
      </c>
      <c r="J1103" s="10" t="str">
        <f t="shared" si="2"/>
        <v>1107 Trithrinax schizophylla</v>
      </c>
      <c r="K1103" s="10" t="str">
        <f t="shared" si="3"/>
        <v>Palma Carandilla</v>
      </c>
      <c r="L1103" s="10" t="str">
        <f t="shared" si="4"/>
        <v>1107 Palma Carandilla</v>
      </c>
      <c r="M1103" s="10" t="s">
        <v>46</v>
      </c>
      <c r="N1103" s="10"/>
      <c r="O1103" s="10" t="s">
        <v>117</v>
      </c>
      <c r="P1103" s="10" t="s">
        <v>2978</v>
      </c>
      <c r="Q1103" s="13"/>
      <c r="R1103" s="13"/>
      <c r="S1103" s="13"/>
      <c r="T1103" s="13"/>
      <c r="U1103" s="13"/>
      <c r="V1103" s="13"/>
      <c r="W1103" s="13"/>
      <c r="X1103" s="13"/>
    </row>
    <row r="1104" ht="14.25" customHeight="1">
      <c r="A1104" s="10" t="s">
        <v>2502</v>
      </c>
      <c r="B1104" s="10" t="s">
        <v>31</v>
      </c>
      <c r="C1104" s="10">
        <v>1108.0</v>
      </c>
      <c r="D1104" s="11" t="s">
        <v>2979</v>
      </c>
      <c r="E1104" s="11" t="s">
        <v>2980</v>
      </c>
      <c r="F1104" s="11" t="s">
        <v>2226</v>
      </c>
      <c r="G1104" s="10">
        <v>1108.0</v>
      </c>
      <c r="H1104" s="10">
        <f>VLOOKUP(F1104,'Generos y Familia'!$A$1:$C$623,2,FALSE)</f>
        <v>59</v>
      </c>
      <c r="I1104" s="12" t="str">
        <f t="shared" si="1"/>
        <v>Turnera ulmifolia</v>
      </c>
      <c r="J1104" s="10" t="str">
        <f t="shared" si="2"/>
        <v>1108 Turnera ulmifolia</v>
      </c>
      <c r="K1104" s="10" t="str">
        <f t="shared" si="3"/>
        <v>Santalucía; Damiana; Panchecito; Amapola</v>
      </c>
      <c r="L1104" s="10" t="str">
        <f t="shared" si="4"/>
        <v>1108 Santalucía; Damiana; Panchecito; Amapola</v>
      </c>
      <c r="M1104" s="10" t="s">
        <v>46</v>
      </c>
      <c r="N1104" s="10" t="s">
        <v>36</v>
      </c>
      <c r="O1104" s="10" t="s">
        <v>47</v>
      </c>
      <c r="P1104" s="10" t="s">
        <v>2981</v>
      </c>
      <c r="Q1104" s="13"/>
      <c r="R1104" s="13"/>
      <c r="S1104" s="13"/>
      <c r="T1104" s="13"/>
      <c r="U1104" s="13"/>
      <c r="V1104" s="13"/>
      <c r="W1104" s="16"/>
      <c r="X1104" s="13"/>
    </row>
    <row r="1105" ht="14.25" customHeight="1">
      <c r="A1105" s="10" t="s">
        <v>2502</v>
      </c>
      <c r="B1105" s="10" t="s">
        <v>31</v>
      </c>
      <c r="C1105" s="10">
        <v>1109.0</v>
      </c>
      <c r="D1105" s="11" t="s">
        <v>2982</v>
      </c>
      <c r="E1105" s="11" t="s">
        <v>2983</v>
      </c>
      <c r="F1105" s="11" t="s">
        <v>2984</v>
      </c>
      <c r="G1105" s="10">
        <v>1109.0</v>
      </c>
      <c r="H1105" s="10">
        <f>VLOOKUP(F1105,'Generos y Familia'!$A$1:$C$623,2,FALSE)</f>
        <v>94</v>
      </c>
      <c r="I1105" s="12" t="str">
        <f t="shared" si="1"/>
        <v>Ulmus parvifolia</v>
      </c>
      <c r="J1105" s="10" t="str">
        <f t="shared" si="2"/>
        <v>1109 Ulmus parvifolia</v>
      </c>
      <c r="K1105" s="10" t="str">
        <f t="shared" si="3"/>
        <v>Olmo Chino</v>
      </c>
      <c r="L1105" s="10" t="str">
        <f t="shared" si="4"/>
        <v>1109 Olmo Chino</v>
      </c>
      <c r="M1105" s="10" t="s">
        <v>46</v>
      </c>
      <c r="N1105" s="10" t="s">
        <v>28</v>
      </c>
      <c r="O1105" s="10" t="s">
        <v>37</v>
      </c>
      <c r="P1105" s="10" t="s">
        <v>2985</v>
      </c>
      <c r="Q1105" s="13"/>
      <c r="R1105" s="13"/>
      <c r="S1105" s="13"/>
      <c r="T1105" s="13"/>
      <c r="U1105" s="13"/>
      <c r="V1105" s="13"/>
      <c r="W1105" s="16"/>
      <c r="X1105" s="13"/>
    </row>
    <row r="1106" ht="14.25" customHeight="1">
      <c r="A1106" s="10" t="s">
        <v>2502</v>
      </c>
      <c r="B1106" s="10" t="s">
        <v>31</v>
      </c>
      <c r="C1106" s="10">
        <v>1110.0</v>
      </c>
      <c r="D1106" s="11" t="s">
        <v>2986</v>
      </c>
      <c r="E1106" s="11" t="s">
        <v>89</v>
      </c>
      <c r="F1106" s="11" t="s">
        <v>502</v>
      </c>
      <c r="G1106" s="10">
        <v>1110.0</v>
      </c>
      <c r="H1106" s="10">
        <f>VLOOKUP(F1106,'Generos y Familia'!$A$1:$C$623,2,FALSE)</f>
        <v>95</v>
      </c>
      <c r="I1106" s="12" t="str">
        <f t="shared" si="1"/>
        <v>Urera baccifera</v>
      </c>
      <c r="J1106" s="10" t="str">
        <f t="shared" si="2"/>
        <v>1110 Urera baccifera</v>
      </c>
      <c r="K1106" s="10" t="str">
        <f t="shared" si="3"/>
        <v>Ortiga</v>
      </c>
      <c r="L1106" s="10" t="str">
        <f t="shared" si="4"/>
        <v>1110 Ortiga</v>
      </c>
      <c r="M1106" s="10" t="s">
        <v>35</v>
      </c>
      <c r="N1106" s="10" t="s">
        <v>36</v>
      </c>
      <c r="O1106" s="10" t="s">
        <v>47</v>
      </c>
      <c r="P1106" s="10" t="s">
        <v>2987</v>
      </c>
      <c r="Q1106" s="13"/>
      <c r="R1106" s="13"/>
      <c r="S1106" s="13"/>
      <c r="T1106" s="13"/>
      <c r="U1106" s="13"/>
      <c r="V1106" s="13"/>
      <c r="W1106" s="13"/>
      <c r="X1106" s="13"/>
    </row>
    <row r="1107" ht="14.25" customHeight="1">
      <c r="A1107" s="10" t="s">
        <v>2502</v>
      </c>
      <c r="B1107" s="10" t="s">
        <v>31</v>
      </c>
      <c r="C1107" s="10">
        <v>1111.0</v>
      </c>
      <c r="D1107" s="11" t="s">
        <v>2988</v>
      </c>
      <c r="E1107" s="11" t="s">
        <v>2989</v>
      </c>
      <c r="F1107" s="11" t="s">
        <v>502</v>
      </c>
      <c r="G1107" s="10">
        <v>1111.0</v>
      </c>
      <c r="H1107" s="10">
        <f>VLOOKUP(F1107,'Generos y Familia'!$A$1:$C$623,2,FALSE)</f>
        <v>95</v>
      </c>
      <c r="I1107" s="12" t="str">
        <f t="shared" si="1"/>
        <v>Urera caracasana</v>
      </c>
      <c r="J1107" s="10" t="str">
        <f t="shared" si="2"/>
        <v>1111 Urera caracasana</v>
      </c>
      <c r="K1107" s="10" t="str">
        <f t="shared" si="3"/>
        <v>Pringamosa; Pringamoza; Ortiga; Ortigo</v>
      </c>
      <c r="L1107" s="10" t="str">
        <f t="shared" si="4"/>
        <v>1111 Pringamosa; Pringamoza; Ortiga; Ortigo</v>
      </c>
      <c r="M1107" s="10" t="s">
        <v>35</v>
      </c>
      <c r="N1107" s="10" t="s">
        <v>36</v>
      </c>
      <c r="O1107" s="10" t="s">
        <v>47</v>
      </c>
      <c r="P1107" s="10" t="s">
        <v>2987</v>
      </c>
      <c r="Q1107" s="13"/>
      <c r="R1107" s="13"/>
      <c r="S1107" s="13"/>
      <c r="T1107" s="13"/>
      <c r="U1107" s="13"/>
      <c r="V1107" s="13"/>
      <c r="W1107" s="13"/>
      <c r="X1107" s="13"/>
    </row>
    <row r="1108" ht="14.25" customHeight="1">
      <c r="A1108" s="10" t="s">
        <v>2502</v>
      </c>
      <c r="B1108" s="10" t="s">
        <v>31</v>
      </c>
      <c r="C1108" s="10">
        <v>1112.0</v>
      </c>
      <c r="D1108" s="11" t="s">
        <v>2990</v>
      </c>
      <c r="E1108" s="11" t="s">
        <v>2991</v>
      </c>
      <c r="F1108" s="11" t="s">
        <v>34</v>
      </c>
      <c r="G1108" s="10">
        <v>1112.0</v>
      </c>
      <c r="H1108" s="10">
        <f>VLOOKUP(F1108,'Generos y Familia'!$A$1:$C$623,2,FALSE)</f>
        <v>27</v>
      </c>
      <c r="I1108" s="12" t="str">
        <f t="shared" si="1"/>
        <v>Uribea tamarindoides</v>
      </c>
      <c r="J1108" s="10" t="str">
        <f t="shared" si="2"/>
        <v>1112 Uribea tamarindoides</v>
      </c>
      <c r="K1108" s="10" t="str">
        <f t="shared" si="3"/>
        <v>Tamarindo; Tamarindo de Montaña</v>
      </c>
      <c r="L1108" s="10" t="str">
        <f t="shared" si="4"/>
        <v>1112 Tamarindo; Tamarindo de Montaña</v>
      </c>
      <c r="M1108" s="10" t="s">
        <v>35</v>
      </c>
      <c r="N1108" s="10" t="s">
        <v>36</v>
      </c>
      <c r="O1108" s="10" t="s">
        <v>37</v>
      </c>
      <c r="P1108" s="10" t="s">
        <v>2992</v>
      </c>
      <c r="Q1108" s="13"/>
      <c r="R1108" s="13"/>
      <c r="S1108" s="13"/>
      <c r="T1108" s="13"/>
      <c r="U1108" s="13"/>
      <c r="V1108" s="13"/>
      <c r="W1108" s="13"/>
      <c r="X1108" s="13"/>
    </row>
    <row r="1109" ht="14.25" customHeight="1">
      <c r="A1109" s="10" t="s">
        <v>2502</v>
      </c>
      <c r="B1109" s="10" t="s">
        <v>31</v>
      </c>
      <c r="C1109" s="10">
        <v>1113.0</v>
      </c>
      <c r="D1109" s="11" t="s">
        <v>2993</v>
      </c>
      <c r="E1109" s="11" t="s">
        <v>2994</v>
      </c>
      <c r="F1109" s="11" t="s">
        <v>34</v>
      </c>
      <c r="G1109" s="10">
        <v>1113.0</v>
      </c>
      <c r="H1109" s="10">
        <f>VLOOKUP(F1109,'Generos y Familia'!$A$1:$C$623,2,FALSE)</f>
        <v>27</v>
      </c>
      <c r="I1109" s="12" t="str">
        <f t="shared" si="1"/>
        <v>Vachellia collinsii</v>
      </c>
      <c r="J1109" s="10" t="str">
        <f t="shared" si="2"/>
        <v>1113 Vachellia collinsii</v>
      </c>
      <c r="K1109" s="10" t="str">
        <f t="shared" si="3"/>
        <v>Cornezuelo; Torito; Árbol de Cuerno</v>
      </c>
      <c r="L1109" s="10" t="str">
        <f t="shared" si="4"/>
        <v>1113 Cornezuelo; Torito; Árbol de Cuerno</v>
      </c>
      <c r="M1109" s="10" t="s">
        <v>35</v>
      </c>
      <c r="N1109" s="10" t="s">
        <v>36</v>
      </c>
      <c r="O1109" s="10" t="s">
        <v>37</v>
      </c>
      <c r="P1109" s="10" t="s">
        <v>2995</v>
      </c>
      <c r="Q1109" s="13"/>
      <c r="R1109" s="13"/>
      <c r="S1109" s="13" t="s">
        <v>2996</v>
      </c>
      <c r="T1109" s="13"/>
      <c r="U1109" s="13"/>
      <c r="V1109" s="13"/>
      <c r="W1109" s="13"/>
      <c r="X1109" s="13"/>
    </row>
    <row r="1110" ht="14.25" customHeight="1">
      <c r="A1110" s="10" t="s">
        <v>2502</v>
      </c>
      <c r="B1110" s="10" t="s">
        <v>31</v>
      </c>
      <c r="C1110" s="10">
        <v>1114.0</v>
      </c>
      <c r="D1110" s="11" t="s">
        <v>2997</v>
      </c>
      <c r="E1110" s="11" t="s">
        <v>2998</v>
      </c>
      <c r="F1110" s="11" t="s">
        <v>34</v>
      </c>
      <c r="G1110" s="10">
        <v>1114.0</v>
      </c>
      <c r="H1110" s="10">
        <f>VLOOKUP(F1110,'Generos y Familia'!$A$1:$C$623,2,FALSE)</f>
        <v>27</v>
      </c>
      <c r="I1110" s="12" t="str">
        <f t="shared" si="1"/>
        <v>Vachellia farnesiana</v>
      </c>
      <c r="J1110" s="10" t="str">
        <f t="shared" si="2"/>
        <v>1114 Vachellia farnesiana</v>
      </c>
      <c r="K1110" s="10" t="str">
        <f t="shared" si="3"/>
        <v>Aromo; Espino</v>
      </c>
      <c r="L1110" s="10" t="str">
        <f t="shared" si="4"/>
        <v>1114 Aromo; Espino</v>
      </c>
      <c r="M1110" s="10" t="s">
        <v>35</v>
      </c>
      <c r="N1110" s="10" t="s">
        <v>36</v>
      </c>
      <c r="O1110" s="10" t="s">
        <v>47</v>
      </c>
      <c r="P1110" s="10" t="s">
        <v>2995</v>
      </c>
      <c r="Q1110" s="13"/>
      <c r="R1110" s="13"/>
      <c r="S1110" s="13"/>
      <c r="T1110" s="13"/>
      <c r="U1110" s="13"/>
      <c r="V1110" s="13"/>
      <c r="W1110" s="13"/>
      <c r="X1110" s="13"/>
    </row>
    <row r="1111" ht="14.25" customHeight="1">
      <c r="A1111" s="10" t="s">
        <v>2502</v>
      </c>
      <c r="B1111" s="10" t="s">
        <v>31</v>
      </c>
      <c r="C1111" s="10">
        <v>1115.0</v>
      </c>
      <c r="D1111" s="11" t="s">
        <v>2999</v>
      </c>
      <c r="E1111" s="11" t="s">
        <v>3000</v>
      </c>
      <c r="F1111" s="11" t="s">
        <v>721</v>
      </c>
      <c r="G1111" s="10">
        <v>1115.0</v>
      </c>
      <c r="H1111" s="10">
        <f>VLOOKUP(F1111,'Generos y Familia'!$A$1:$C$623,2,FALSE)</f>
        <v>31</v>
      </c>
      <c r="I1111" s="12" t="str">
        <f t="shared" si="1"/>
        <v>Vasconcellea sp</v>
      </c>
      <c r="J1111" s="10" t="str">
        <f t="shared" si="2"/>
        <v>1115 Vasconcellea sp</v>
      </c>
      <c r="K1111" s="10" t="str">
        <f t="shared" si="3"/>
        <v>Papayo de Monte; Papayo de Rastrojo</v>
      </c>
      <c r="L1111" s="10" t="str">
        <f t="shared" si="4"/>
        <v>1115 Papayo de Monte; Papayo de Rastrojo</v>
      </c>
      <c r="M1111" s="10" t="s">
        <v>35</v>
      </c>
      <c r="N1111" s="10"/>
      <c r="O1111" s="10"/>
      <c r="P1111" s="10" t="s">
        <v>3001</v>
      </c>
      <c r="Q1111" s="13"/>
      <c r="R1111" s="13"/>
      <c r="S1111" s="13"/>
      <c r="T1111" s="13"/>
      <c r="U1111" s="13"/>
      <c r="V1111" s="13"/>
      <c r="W1111" s="13"/>
      <c r="X1111" s="13"/>
    </row>
    <row r="1112" ht="14.25" customHeight="1">
      <c r="A1112" s="10" t="s">
        <v>2502</v>
      </c>
      <c r="B1112" s="10" t="s">
        <v>31</v>
      </c>
      <c r="C1112" s="10">
        <v>1116.0</v>
      </c>
      <c r="D1112" s="11" t="s">
        <v>3002</v>
      </c>
      <c r="E1112" s="11" t="s">
        <v>3003</v>
      </c>
      <c r="F1112" s="11" t="s">
        <v>45</v>
      </c>
      <c r="G1112" s="10">
        <v>1116.0</v>
      </c>
      <c r="H1112" s="10">
        <f>VLOOKUP(F1112,'Generos y Familia'!$A$1:$C$623,2,FALSE)</f>
        <v>40</v>
      </c>
      <c r="I1112" s="12" t="str">
        <f t="shared" si="1"/>
        <v>Vasivaea podocarpa</v>
      </c>
      <c r="J1112" s="10" t="str">
        <f t="shared" si="2"/>
        <v>1116 Vasivaea podocarpa</v>
      </c>
      <c r="K1112" s="10" t="str">
        <f t="shared" si="3"/>
        <v>Guacimo Blanco</v>
      </c>
      <c r="L1112" s="10" t="str">
        <f t="shared" si="4"/>
        <v>1116 Guacimo Blanco</v>
      </c>
      <c r="M1112" s="10" t="s">
        <v>35</v>
      </c>
      <c r="N1112" s="10" t="s">
        <v>36</v>
      </c>
      <c r="O1112" s="10" t="s">
        <v>37</v>
      </c>
      <c r="P1112" s="10" t="s">
        <v>3004</v>
      </c>
      <c r="Q1112" s="17" t="s">
        <v>347</v>
      </c>
      <c r="R1112" s="14"/>
      <c r="S1112" s="17" t="s">
        <v>145</v>
      </c>
      <c r="T1112" s="14"/>
      <c r="U1112" s="14" t="s">
        <v>40</v>
      </c>
      <c r="V1112" s="14"/>
      <c r="W1112" s="17"/>
      <c r="X1112" s="14" t="s">
        <v>41</v>
      </c>
    </row>
    <row r="1113" ht="14.25" customHeight="1">
      <c r="A1113" s="10" t="s">
        <v>2502</v>
      </c>
      <c r="B1113" s="10" t="s">
        <v>31</v>
      </c>
      <c r="C1113" s="10">
        <v>1117.0</v>
      </c>
      <c r="D1113" s="11" t="s">
        <v>3005</v>
      </c>
      <c r="E1113" s="11" t="s">
        <v>3006</v>
      </c>
      <c r="F1113" s="11" t="s">
        <v>34</v>
      </c>
      <c r="G1113" s="10">
        <v>1117.0</v>
      </c>
      <c r="H1113" s="10">
        <f>VLOOKUP(F1113,'Generos y Familia'!$A$1:$C$623,2,FALSE)</f>
        <v>27</v>
      </c>
      <c r="I1113" s="12" t="str">
        <f t="shared" si="1"/>
        <v>Vatairea guianensis</v>
      </c>
      <c r="J1113" s="10" t="str">
        <f t="shared" si="2"/>
        <v>1117 Vatairea guianensis</v>
      </c>
      <c r="K1113" s="10" t="str">
        <f t="shared" si="3"/>
        <v>Palo de Gallinazo; Guerra; Marimari; Palo de Grulla; Gallinazo Ordinario</v>
      </c>
      <c r="L1113" s="10" t="str">
        <f t="shared" si="4"/>
        <v>1117 Palo de Gallinazo; Guerra; Marimari; Palo de Grulla; Gallinazo Ordinario</v>
      </c>
      <c r="M1113" s="10" t="s">
        <v>35</v>
      </c>
      <c r="N1113" s="10" t="s">
        <v>36</v>
      </c>
      <c r="O1113" s="10" t="s">
        <v>37</v>
      </c>
      <c r="P1113" s="10" t="s">
        <v>3007</v>
      </c>
      <c r="Q1113" s="13"/>
      <c r="R1113" s="13"/>
      <c r="S1113" s="13"/>
      <c r="T1113" s="13"/>
      <c r="U1113" s="13"/>
      <c r="V1113" s="13"/>
      <c r="W1113" s="16"/>
      <c r="X1113" s="13"/>
    </row>
    <row r="1114" ht="14.25" customHeight="1">
      <c r="A1114" s="10" t="s">
        <v>2502</v>
      </c>
      <c r="B1114" s="10" t="s">
        <v>31</v>
      </c>
      <c r="C1114" s="10">
        <v>1118.0</v>
      </c>
      <c r="D1114" s="11" t="s">
        <v>3008</v>
      </c>
      <c r="E1114" s="11" t="s">
        <v>3009</v>
      </c>
      <c r="F1114" s="11" t="s">
        <v>116</v>
      </c>
      <c r="G1114" s="10">
        <v>1118.0</v>
      </c>
      <c r="H1114" s="10">
        <f>VLOOKUP(F1114,'Generos y Familia'!$A$1:$C$623,2,FALSE)</f>
        <v>14</v>
      </c>
      <c r="I1114" s="12" t="str">
        <f t="shared" si="1"/>
        <v>Palma montgomeryana</v>
      </c>
      <c r="J1114" s="10" t="str">
        <f t="shared" si="2"/>
        <v>1118 Palma montgomeryana</v>
      </c>
      <c r="K1114" s="10" t="str">
        <f t="shared" si="3"/>
        <v>Palma Montgomery</v>
      </c>
      <c r="L1114" s="10" t="str">
        <f t="shared" si="4"/>
        <v>1118 Palma Montgomery</v>
      </c>
      <c r="M1114" s="10" t="s">
        <v>46</v>
      </c>
      <c r="N1114" s="10"/>
      <c r="O1114" s="10" t="s">
        <v>1163</v>
      </c>
      <c r="P1114" s="10" t="s">
        <v>117</v>
      </c>
      <c r="Q1114" s="13"/>
      <c r="R1114" s="13"/>
      <c r="S1114" s="13"/>
      <c r="T1114" s="13"/>
      <c r="U1114" s="13"/>
      <c r="V1114" s="13"/>
      <c r="W1114" s="16"/>
      <c r="X1114" s="13"/>
    </row>
    <row r="1115" ht="14.25" customHeight="1">
      <c r="A1115" s="10" t="s">
        <v>2502</v>
      </c>
      <c r="B1115" s="10" t="s">
        <v>31</v>
      </c>
      <c r="C1115" s="10">
        <v>1119.0</v>
      </c>
      <c r="D1115" s="11" t="s">
        <v>3010</v>
      </c>
      <c r="E1115" s="11" t="s">
        <v>3011</v>
      </c>
      <c r="F1115" s="11" t="s">
        <v>362</v>
      </c>
      <c r="G1115" s="10">
        <v>1119.0</v>
      </c>
      <c r="H1115" s="10">
        <f>VLOOKUP(F1115,'Generos y Familia'!$A$1:$C$623,2,FALSE)</f>
        <v>17</v>
      </c>
      <c r="I1115" s="12" t="str">
        <f t="shared" si="1"/>
        <v>Verbesina crassiramea</v>
      </c>
      <c r="J1115" s="10" t="str">
        <f t="shared" si="2"/>
        <v>1119 Verbesina crassiramea</v>
      </c>
      <c r="K1115" s="10" t="str">
        <f t="shared" si="3"/>
        <v>Pauche; Camargo; Tabaquillo</v>
      </c>
      <c r="L1115" s="10" t="str">
        <f t="shared" si="4"/>
        <v>1119 Pauche; Camargo; Tabaquillo</v>
      </c>
      <c r="M1115" s="10" t="s">
        <v>35</v>
      </c>
      <c r="N1115" s="10" t="s">
        <v>36</v>
      </c>
      <c r="O1115" s="10" t="s">
        <v>47</v>
      </c>
      <c r="P1115" s="10" t="s">
        <v>3012</v>
      </c>
      <c r="Q1115" s="17" t="s">
        <v>632</v>
      </c>
      <c r="R1115" s="14"/>
      <c r="S1115" s="17" t="s">
        <v>379</v>
      </c>
      <c r="T1115" s="14"/>
      <c r="U1115" s="14" t="s">
        <v>55</v>
      </c>
      <c r="V1115" s="14"/>
      <c r="W1115" s="17"/>
      <c r="X1115" s="14" t="s">
        <v>41</v>
      </c>
    </row>
    <row r="1116" ht="14.25" customHeight="1">
      <c r="A1116" s="10" t="s">
        <v>2502</v>
      </c>
      <c r="B1116" s="10" t="s">
        <v>63</v>
      </c>
      <c r="C1116" s="10">
        <v>1120.0</v>
      </c>
      <c r="D1116" s="11" t="s">
        <v>3013</v>
      </c>
      <c r="E1116" s="11" t="s">
        <v>3014</v>
      </c>
      <c r="F1116" s="11" t="s">
        <v>362</v>
      </c>
      <c r="G1116" s="10">
        <v>1120.0</v>
      </c>
      <c r="H1116" s="10">
        <f>VLOOKUP(F1116,'Generos y Familia'!$A$1:$C$623,2,FALSE)</f>
        <v>17</v>
      </c>
      <c r="I1116" s="12" t="str">
        <f t="shared" si="1"/>
        <v>Vernonia brasiliana</v>
      </c>
      <c r="J1116" s="10" t="str">
        <f t="shared" si="2"/>
        <v>1120 Vernonia brasiliana</v>
      </c>
      <c r="K1116" s="10" t="str">
        <f t="shared" si="3"/>
        <v>Olivon</v>
      </c>
      <c r="L1116" s="10" t="str">
        <f t="shared" si="4"/>
        <v>1120 Olivon</v>
      </c>
      <c r="M1116" s="10" t="s">
        <v>35</v>
      </c>
      <c r="N1116" s="10" t="s">
        <v>36</v>
      </c>
      <c r="O1116" s="10" t="s">
        <v>47</v>
      </c>
      <c r="P1116" s="10" t="s">
        <v>3015</v>
      </c>
      <c r="Q1116" s="13"/>
      <c r="R1116" s="13"/>
      <c r="S1116" s="13"/>
      <c r="T1116" s="13"/>
      <c r="U1116" s="13"/>
      <c r="V1116" s="13"/>
      <c r="W1116" s="13"/>
      <c r="X1116" s="13"/>
    </row>
    <row r="1117" ht="14.25" customHeight="1">
      <c r="A1117" s="10" t="s">
        <v>2502</v>
      </c>
      <c r="B1117" s="10" t="s">
        <v>31</v>
      </c>
      <c r="C1117" s="10">
        <v>1121.0</v>
      </c>
      <c r="D1117" s="11" t="s">
        <v>3016</v>
      </c>
      <c r="E1117" s="11" t="s">
        <v>3017</v>
      </c>
      <c r="F1117" s="11" t="s">
        <v>362</v>
      </c>
      <c r="G1117" s="10">
        <v>1121.0</v>
      </c>
      <c r="H1117" s="10">
        <f>VLOOKUP(F1117,'Generos y Familia'!$A$1:$C$623,2,FALSE)</f>
        <v>17</v>
      </c>
      <c r="I1117" s="12" t="str">
        <f t="shared" si="1"/>
        <v>Vernonanthura patens</v>
      </c>
      <c r="J1117" s="10" t="str">
        <f t="shared" si="2"/>
        <v>1121 Vernonanthura patens</v>
      </c>
      <c r="K1117" s="10" t="str">
        <f t="shared" si="3"/>
        <v>Indioviejo; Olivón; Varejón; Salvión</v>
      </c>
      <c r="L1117" s="10" t="str">
        <f t="shared" si="4"/>
        <v>1121 Indioviejo; Olivón; Varejón; Salvión</v>
      </c>
      <c r="M1117" s="10" t="s">
        <v>35</v>
      </c>
      <c r="N1117" s="10" t="s">
        <v>36</v>
      </c>
      <c r="O1117" s="10" t="s">
        <v>47</v>
      </c>
      <c r="P1117" s="10" t="s">
        <v>3018</v>
      </c>
      <c r="Q1117" s="13"/>
      <c r="R1117" s="13"/>
      <c r="S1117" s="13"/>
      <c r="T1117" s="13"/>
      <c r="U1117" s="13"/>
      <c r="V1117" s="13"/>
      <c r="W1117" s="13"/>
      <c r="X1117" s="13"/>
    </row>
    <row r="1118" ht="14.25" customHeight="1">
      <c r="A1118" s="10" t="s">
        <v>2502</v>
      </c>
      <c r="B1118" s="10" t="s">
        <v>31</v>
      </c>
      <c r="C1118" s="10">
        <v>1122.0</v>
      </c>
      <c r="D1118" s="11" t="s">
        <v>3019</v>
      </c>
      <c r="E1118" s="11" t="s">
        <v>3020</v>
      </c>
      <c r="F1118" s="11" t="s">
        <v>2633</v>
      </c>
      <c r="G1118" s="10">
        <v>1122.0</v>
      </c>
      <c r="H1118" s="11">
        <v>4.0</v>
      </c>
      <c r="I1118" s="12" t="str">
        <f t="shared" si="1"/>
        <v>Viburnum cornifolium</v>
      </c>
      <c r="J1118" s="10" t="str">
        <f t="shared" si="2"/>
        <v>1122 Viburnum cornifolium</v>
      </c>
      <c r="K1118" s="10" t="str">
        <f t="shared" si="3"/>
        <v>Juco; Pita; Sauco de Monte; Cabo de Hacha</v>
      </c>
      <c r="L1118" s="10" t="str">
        <f t="shared" si="4"/>
        <v>1122 Juco; Pita; Sauco de Monte; Cabo de Hacha</v>
      </c>
      <c r="M1118" s="10" t="s">
        <v>35</v>
      </c>
      <c r="N1118" s="10" t="s">
        <v>36</v>
      </c>
      <c r="O1118" s="10" t="s">
        <v>37</v>
      </c>
      <c r="P1118" s="10" t="s">
        <v>3021</v>
      </c>
      <c r="Q1118" s="17" t="s">
        <v>632</v>
      </c>
      <c r="R1118" s="14"/>
      <c r="S1118" s="17" t="s">
        <v>229</v>
      </c>
      <c r="T1118" s="14"/>
      <c r="U1118" s="14" t="s">
        <v>40</v>
      </c>
      <c r="V1118" s="14"/>
      <c r="W1118" s="17"/>
      <c r="X1118" s="14" t="s">
        <v>41</v>
      </c>
    </row>
    <row r="1119" ht="14.25" customHeight="1">
      <c r="A1119" s="10" t="s">
        <v>2502</v>
      </c>
      <c r="B1119" s="10" t="s">
        <v>31</v>
      </c>
      <c r="C1119" s="10">
        <v>1123.0</v>
      </c>
      <c r="D1119" s="11" t="s">
        <v>3022</v>
      </c>
      <c r="E1119" s="11" t="s">
        <v>3023</v>
      </c>
      <c r="F1119" s="11" t="s">
        <v>2633</v>
      </c>
      <c r="G1119" s="10">
        <v>1123.0</v>
      </c>
      <c r="H1119" s="11">
        <v>4.0</v>
      </c>
      <c r="I1119" s="12" t="str">
        <f t="shared" si="1"/>
        <v>Viburnum odoratissimum</v>
      </c>
      <c r="J1119" s="10" t="str">
        <f t="shared" si="2"/>
        <v>1123 Viburnum odoratissimum</v>
      </c>
      <c r="K1119" s="10" t="str">
        <f t="shared" si="3"/>
        <v>Viburno</v>
      </c>
      <c r="L1119" s="10" t="str">
        <f t="shared" si="4"/>
        <v>1123 Viburno</v>
      </c>
      <c r="M1119" s="10" t="s">
        <v>46</v>
      </c>
      <c r="N1119" s="10" t="s">
        <v>36</v>
      </c>
      <c r="O1119" s="10" t="s">
        <v>47</v>
      </c>
      <c r="P1119" s="10" t="s">
        <v>3021</v>
      </c>
      <c r="Q1119" s="17" t="s">
        <v>347</v>
      </c>
      <c r="R1119" s="14"/>
      <c r="S1119" s="17" t="s">
        <v>229</v>
      </c>
      <c r="T1119" s="14"/>
      <c r="U1119" s="14" t="s">
        <v>40</v>
      </c>
      <c r="V1119" s="14"/>
      <c r="W1119" s="18"/>
      <c r="X1119" s="14" t="s">
        <v>41</v>
      </c>
    </row>
    <row r="1120" ht="14.25" customHeight="1">
      <c r="A1120" s="10" t="s">
        <v>2502</v>
      </c>
      <c r="B1120" s="10" t="s">
        <v>31</v>
      </c>
      <c r="C1120" s="10">
        <v>1124.0</v>
      </c>
      <c r="D1120" s="11" t="s">
        <v>3024</v>
      </c>
      <c r="E1120" s="11" t="s">
        <v>2636</v>
      </c>
      <c r="F1120" s="11" t="s">
        <v>2633</v>
      </c>
      <c r="G1120" s="10">
        <v>1124.0</v>
      </c>
      <c r="H1120" s="11">
        <v>4.0</v>
      </c>
      <c r="I1120" s="12" t="str">
        <f t="shared" si="1"/>
        <v>Viburnum sp</v>
      </c>
      <c r="J1120" s="10" t="str">
        <f t="shared" si="2"/>
        <v>1124 Viburnum sp</v>
      </c>
      <c r="K1120" s="10" t="str">
        <f t="shared" si="3"/>
        <v>Sauco</v>
      </c>
      <c r="L1120" s="10" t="str">
        <f t="shared" si="4"/>
        <v>1124 Sauco</v>
      </c>
      <c r="M1120" s="10" t="s">
        <v>46</v>
      </c>
      <c r="N1120" s="10" t="s">
        <v>36</v>
      </c>
      <c r="O1120" s="10" t="s">
        <v>37</v>
      </c>
      <c r="P1120" s="10" t="s">
        <v>3021</v>
      </c>
      <c r="Q1120" s="17" t="s">
        <v>612</v>
      </c>
      <c r="R1120" s="14"/>
      <c r="S1120" s="17" t="s">
        <v>54</v>
      </c>
      <c r="T1120" s="14"/>
      <c r="U1120" s="14" t="s">
        <v>40</v>
      </c>
      <c r="V1120" s="14"/>
      <c r="W1120" s="18"/>
      <c r="X1120" s="14" t="s">
        <v>41</v>
      </c>
    </row>
    <row r="1121" ht="14.25" customHeight="1">
      <c r="A1121" s="10" t="s">
        <v>2502</v>
      </c>
      <c r="B1121" s="10" t="s">
        <v>31</v>
      </c>
      <c r="C1121" s="10">
        <v>1125.0</v>
      </c>
      <c r="D1121" s="11" t="s">
        <v>3025</v>
      </c>
      <c r="E1121" s="11" t="s">
        <v>3026</v>
      </c>
      <c r="F1121" s="11" t="s">
        <v>1049</v>
      </c>
      <c r="G1121" s="10">
        <v>1125.0</v>
      </c>
      <c r="H1121" s="10">
        <f>VLOOKUP(F1121,'Generos y Familia'!$A$1:$C$623,2,FALSE)</f>
        <v>47</v>
      </c>
      <c r="I1121" s="12" t="str">
        <f t="shared" si="1"/>
        <v>Virola multiflora</v>
      </c>
      <c r="J1121" s="10" t="str">
        <f t="shared" si="2"/>
        <v>1125 Virola multiflora</v>
      </c>
      <c r="K1121" s="10" t="str">
        <f t="shared" si="3"/>
        <v>Virola Multiflora</v>
      </c>
      <c r="L1121" s="10" t="str">
        <f t="shared" si="4"/>
        <v>1125 Virola Multiflora</v>
      </c>
      <c r="M1121" s="10" t="s">
        <v>35</v>
      </c>
      <c r="N1121" s="10"/>
      <c r="O1121" s="10"/>
      <c r="P1121" s="10" t="s">
        <v>3027</v>
      </c>
      <c r="Q1121" s="13"/>
      <c r="R1121" s="13"/>
      <c r="S1121" s="13"/>
      <c r="T1121" s="13"/>
      <c r="U1121" s="13"/>
      <c r="V1121" s="13"/>
      <c r="W1121" s="16"/>
      <c r="X1121" s="13"/>
    </row>
    <row r="1122" ht="14.25" customHeight="1">
      <c r="A1122" s="10" t="s">
        <v>2502</v>
      </c>
      <c r="B1122" s="10" t="s">
        <v>31</v>
      </c>
      <c r="C1122" s="10">
        <v>1126.0</v>
      </c>
      <c r="D1122" s="11" t="s">
        <v>3028</v>
      </c>
      <c r="E1122" s="11" t="s">
        <v>3029</v>
      </c>
      <c r="F1122" s="11" t="s">
        <v>1049</v>
      </c>
      <c r="G1122" s="10">
        <v>1126.0</v>
      </c>
      <c r="H1122" s="10">
        <f>VLOOKUP(F1122,'Generos y Familia'!$A$1:$C$623,2,FALSE)</f>
        <v>47</v>
      </c>
      <c r="I1122" s="12" t="str">
        <f t="shared" si="1"/>
        <v>Virola sebifera</v>
      </c>
      <c r="J1122" s="10" t="str">
        <f t="shared" si="2"/>
        <v>1126 Virola sebifera</v>
      </c>
      <c r="K1122" s="10" t="str">
        <f t="shared" si="3"/>
        <v>Sangretoro; Soto; Cuangare</v>
      </c>
      <c r="L1122" s="10" t="str">
        <f t="shared" si="4"/>
        <v>1126 Sangretoro; Soto; Cuangare</v>
      </c>
      <c r="M1122" s="10" t="s">
        <v>35</v>
      </c>
      <c r="N1122" s="10" t="s">
        <v>36</v>
      </c>
      <c r="O1122" s="10" t="s">
        <v>37</v>
      </c>
      <c r="P1122" s="10" t="s">
        <v>3027</v>
      </c>
      <c r="Q1122" s="13"/>
      <c r="R1122" s="13"/>
      <c r="S1122" s="13"/>
      <c r="T1122" s="13"/>
      <c r="U1122" s="13"/>
      <c r="V1122" s="13"/>
      <c r="W1122" s="13"/>
      <c r="X1122" s="13"/>
    </row>
    <row r="1123" ht="14.25" customHeight="1">
      <c r="A1123" s="10" t="s">
        <v>2502</v>
      </c>
      <c r="B1123" s="10" t="s">
        <v>31</v>
      </c>
      <c r="C1123" s="10">
        <v>1127.0</v>
      </c>
      <c r="D1123" s="11" t="s">
        <v>3030</v>
      </c>
      <c r="E1123" s="11" t="s">
        <v>3031</v>
      </c>
      <c r="F1123" s="11" t="s">
        <v>3032</v>
      </c>
      <c r="G1123" s="10">
        <v>1127.0</v>
      </c>
      <c r="H1123" s="10">
        <f>VLOOKUP(F1123,'Generos y Familia'!$A$1:$C$623,2,FALSE)</f>
        <v>83</v>
      </c>
      <c r="I1123" s="12" t="str">
        <f t="shared" si="1"/>
        <v>Viscum album</v>
      </c>
      <c r="J1123" s="10" t="str">
        <f t="shared" si="2"/>
        <v>1127 Viscum album</v>
      </c>
      <c r="K1123" s="10" t="str">
        <f t="shared" si="3"/>
        <v>Murdago</v>
      </c>
      <c r="L1123" s="10" t="str">
        <f t="shared" si="4"/>
        <v>1127 Murdago</v>
      </c>
      <c r="M1123" s="10" t="s">
        <v>46</v>
      </c>
      <c r="N1123" s="10"/>
      <c r="O1123" s="10"/>
      <c r="P1123" s="10" t="s">
        <v>3033</v>
      </c>
      <c r="Q1123" s="13"/>
      <c r="R1123" s="13"/>
      <c r="S1123" s="13"/>
      <c r="T1123" s="13"/>
      <c r="U1123" s="13"/>
      <c r="V1123" s="13"/>
      <c r="W1123" s="13"/>
      <c r="X1123" s="13"/>
    </row>
    <row r="1124" ht="14.25" customHeight="1">
      <c r="A1124" s="10" t="s">
        <v>2502</v>
      </c>
      <c r="B1124" s="10" t="s">
        <v>31</v>
      </c>
      <c r="C1124" s="10">
        <v>1128.0</v>
      </c>
      <c r="D1124" s="11" t="s">
        <v>3034</v>
      </c>
      <c r="E1124" s="11" t="s">
        <v>3035</v>
      </c>
      <c r="F1124" s="11" t="s">
        <v>3036</v>
      </c>
      <c r="G1124" s="10">
        <v>1128.0</v>
      </c>
      <c r="H1124" s="10">
        <f>VLOOKUP(F1124,'Generos y Familia'!$A$1:$C$623,2,FALSE)</f>
        <v>31</v>
      </c>
      <c r="I1124" s="12" t="str">
        <f t="shared" si="1"/>
        <v>Vismia baccifera</v>
      </c>
      <c r="J1124" s="10" t="str">
        <f t="shared" si="2"/>
        <v>1128 Vismia baccifera</v>
      </c>
      <c r="K1124" s="10" t="str">
        <f t="shared" si="3"/>
        <v>Carate; Punta de Lanza; Puntalanza; Puntelanza</v>
      </c>
      <c r="L1124" s="10" t="str">
        <f t="shared" si="4"/>
        <v>1128 Carate; Punta de Lanza; Puntalanza; Puntelanza</v>
      </c>
      <c r="M1124" s="10" t="s">
        <v>35</v>
      </c>
      <c r="N1124" s="10" t="s">
        <v>36</v>
      </c>
      <c r="O1124" s="10" t="s">
        <v>37</v>
      </c>
      <c r="P1124" s="10" t="s">
        <v>3037</v>
      </c>
      <c r="Q1124" s="17" t="s">
        <v>379</v>
      </c>
      <c r="R1124" s="14" t="s">
        <v>39</v>
      </c>
      <c r="S1124" s="17" t="s">
        <v>229</v>
      </c>
      <c r="T1124" s="14" t="s">
        <v>39</v>
      </c>
      <c r="U1124" s="14" t="s">
        <v>55</v>
      </c>
      <c r="V1124" s="14"/>
      <c r="W1124" s="17"/>
      <c r="X1124" s="14"/>
    </row>
    <row r="1125" ht="14.25" customHeight="1">
      <c r="A1125" s="10" t="s">
        <v>2502</v>
      </c>
      <c r="B1125" s="10" t="s">
        <v>31</v>
      </c>
      <c r="C1125" s="10">
        <v>1129.0</v>
      </c>
      <c r="D1125" s="11" t="s">
        <v>3038</v>
      </c>
      <c r="E1125" s="11" t="s">
        <v>3039</v>
      </c>
      <c r="F1125" s="11" t="s">
        <v>3036</v>
      </c>
      <c r="G1125" s="10">
        <v>1129.0</v>
      </c>
      <c r="H1125" s="10">
        <f>VLOOKUP(F1125,'Generos y Familia'!$A$1:$C$623,2,FALSE)</f>
        <v>31</v>
      </c>
      <c r="I1125" s="12" t="str">
        <f t="shared" si="1"/>
        <v>Vismia guianensis</v>
      </c>
      <c r="J1125" s="10" t="str">
        <f t="shared" si="2"/>
        <v>1129 Vismia guianensis</v>
      </c>
      <c r="K1125" s="10" t="str">
        <f t="shared" si="3"/>
        <v>Sangre Gallina; Manchado; Manchador; Carate; Punta de Lanza; Carate Negro</v>
      </c>
      <c r="L1125" s="10" t="str">
        <f t="shared" si="4"/>
        <v>1129 Sangre Gallina; Manchado; Manchador; Carate; Punta de Lanza; Carate Negro</v>
      </c>
      <c r="M1125" s="10" t="s">
        <v>35</v>
      </c>
      <c r="N1125" s="10" t="s">
        <v>36</v>
      </c>
      <c r="O1125" s="10" t="s">
        <v>37</v>
      </c>
      <c r="P1125" s="10" t="s">
        <v>3037</v>
      </c>
      <c r="Q1125" s="17" t="s">
        <v>379</v>
      </c>
      <c r="R1125" s="14" t="s">
        <v>53</v>
      </c>
      <c r="S1125" s="17" t="s">
        <v>290</v>
      </c>
      <c r="T1125" s="14"/>
      <c r="U1125" s="14" t="s">
        <v>55</v>
      </c>
      <c r="V1125" s="14"/>
      <c r="W1125" s="18"/>
      <c r="X1125" s="14" t="s">
        <v>41</v>
      </c>
    </row>
    <row r="1126" ht="14.25" customHeight="1">
      <c r="A1126" s="10" t="s">
        <v>2502</v>
      </c>
      <c r="B1126" s="10" t="s">
        <v>31</v>
      </c>
      <c r="C1126" s="10">
        <v>1130.0</v>
      </c>
      <c r="D1126" s="11" t="s">
        <v>3040</v>
      </c>
      <c r="E1126" s="11" t="s">
        <v>3041</v>
      </c>
      <c r="F1126" s="11" t="s">
        <v>136</v>
      </c>
      <c r="G1126" s="10">
        <v>1130.0</v>
      </c>
      <c r="H1126" s="10">
        <f>VLOOKUP(F1126,'Generos y Familia'!$A$1:$C$623,2,FALSE)</f>
        <v>34</v>
      </c>
      <c r="I1126" s="12" t="str">
        <f t="shared" si="1"/>
        <v>Vitex cymosa</v>
      </c>
      <c r="J1126" s="10" t="str">
        <f t="shared" si="2"/>
        <v>1130 Vitex cymosa</v>
      </c>
      <c r="K1126" s="10" t="str">
        <f t="shared" si="3"/>
        <v>Aceituno; Aceituna; Guayacán Azul; Taruma</v>
      </c>
      <c r="L1126" s="10" t="str">
        <f t="shared" si="4"/>
        <v>1130 Aceituno; Aceituna; Guayacán Azul; Taruma</v>
      </c>
      <c r="M1126" s="10" t="s">
        <v>35</v>
      </c>
      <c r="N1126" s="10" t="s">
        <v>36</v>
      </c>
      <c r="O1126" s="10" t="s">
        <v>37</v>
      </c>
      <c r="P1126" s="10" t="s">
        <v>3042</v>
      </c>
      <c r="Q1126" s="13"/>
      <c r="R1126" s="13"/>
      <c r="S1126" s="13"/>
      <c r="T1126" s="13"/>
      <c r="U1126" s="13"/>
      <c r="V1126" s="13"/>
      <c r="W1126" s="16"/>
      <c r="X1126" s="13"/>
    </row>
    <row r="1127" ht="14.25" customHeight="1">
      <c r="A1127" s="10" t="s">
        <v>2502</v>
      </c>
      <c r="B1127" s="10" t="s">
        <v>31</v>
      </c>
      <c r="C1127" s="10">
        <v>1131.0</v>
      </c>
      <c r="D1127" s="11" t="s">
        <v>3043</v>
      </c>
      <c r="E1127" s="11" t="s">
        <v>3044</v>
      </c>
      <c r="F1127" s="11" t="s">
        <v>136</v>
      </c>
      <c r="G1127" s="10">
        <v>1131.0</v>
      </c>
      <c r="H1127" s="10">
        <f>VLOOKUP(F1127,'Generos y Familia'!$A$1:$C$623,2,FALSE)</f>
        <v>34</v>
      </c>
      <c r="I1127" s="12" t="str">
        <f t="shared" si="1"/>
        <v>Vitex cooperi</v>
      </c>
      <c r="J1127" s="10" t="str">
        <f t="shared" si="2"/>
        <v>1131 Vitex cooperi</v>
      </c>
      <c r="K1127" s="10" t="str">
        <f t="shared" si="3"/>
        <v>Aceituno</v>
      </c>
      <c r="L1127" s="10" t="str">
        <f t="shared" si="4"/>
        <v>1131 Aceituno</v>
      </c>
      <c r="M1127" s="10" t="s">
        <v>35</v>
      </c>
      <c r="N1127" s="10" t="s">
        <v>36</v>
      </c>
      <c r="O1127" s="10" t="s">
        <v>37</v>
      </c>
      <c r="P1127" s="10" t="s">
        <v>3042</v>
      </c>
      <c r="Q1127" s="13"/>
      <c r="R1127" s="13"/>
      <c r="S1127" s="13"/>
      <c r="T1127" s="13"/>
      <c r="U1127" s="13"/>
      <c r="V1127" s="13"/>
      <c r="W1127" s="16"/>
      <c r="X1127" s="13"/>
    </row>
    <row r="1128" ht="14.25" customHeight="1">
      <c r="A1128" s="10" t="s">
        <v>2502</v>
      </c>
      <c r="B1128" s="10" t="s">
        <v>31</v>
      </c>
      <c r="C1128" s="10">
        <v>1132.0</v>
      </c>
      <c r="D1128" s="11" t="s">
        <v>3045</v>
      </c>
      <c r="E1128" s="11" t="s">
        <v>3046</v>
      </c>
      <c r="F1128" s="11" t="s">
        <v>136</v>
      </c>
      <c r="G1128" s="10">
        <v>1132.0</v>
      </c>
      <c r="H1128" s="10">
        <f>VLOOKUP(F1128,'Generos y Familia'!$A$1:$C$623,2,FALSE)</f>
        <v>34</v>
      </c>
      <c r="I1128" s="12" t="str">
        <f t="shared" si="1"/>
        <v>Vitex parviflora</v>
      </c>
      <c r="J1128" s="10" t="str">
        <f t="shared" si="2"/>
        <v>1132 Vitex parviflora</v>
      </c>
      <c r="K1128" s="10" t="str">
        <f t="shared" si="3"/>
        <v>Roble Guayo; Penda; Higüerillo</v>
      </c>
      <c r="L1128" s="10" t="str">
        <f t="shared" si="4"/>
        <v>1132 Roble Guayo; Penda; Higüerillo</v>
      </c>
      <c r="M1128" s="10" t="s">
        <v>46</v>
      </c>
      <c r="N1128" s="10" t="s">
        <v>36</v>
      </c>
      <c r="O1128" s="10" t="s">
        <v>37</v>
      </c>
      <c r="P1128" s="10" t="s">
        <v>3042</v>
      </c>
      <c r="Q1128" s="13"/>
      <c r="R1128" s="13"/>
      <c r="S1128" s="13"/>
      <c r="T1128" s="13"/>
      <c r="U1128" s="13"/>
      <c r="V1128" s="13"/>
      <c r="W1128" s="16"/>
      <c r="X1128" s="13"/>
    </row>
    <row r="1129" ht="14.25" customHeight="1">
      <c r="A1129" s="10" t="s">
        <v>2502</v>
      </c>
      <c r="B1129" s="10" t="s">
        <v>31</v>
      </c>
      <c r="C1129" s="10">
        <v>1133.0</v>
      </c>
      <c r="D1129" s="11" t="s">
        <v>3047</v>
      </c>
      <c r="E1129" s="11" t="s">
        <v>3048</v>
      </c>
      <c r="F1129" s="11" t="s">
        <v>136</v>
      </c>
      <c r="G1129" s="10">
        <v>1133.0</v>
      </c>
      <c r="H1129" s="10">
        <f>VLOOKUP(F1129,'Generos y Familia'!$A$1:$C$623,2,FALSE)</f>
        <v>34</v>
      </c>
      <c r="I1129" s="12" t="str">
        <f t="shared" si="1"/>
        <v>Vitex sp</v>
      </c>
      <c r="J1129" s="10" t="str">
        <f t="shared" si="2"/>
        <v>1133 Vitex sp</v>
      </c>
      <c r="K1129" s="10" t="str">
        <f t="shared" si="3"/>
        <v>Truntago</v>
      </c>
      <c r="L1129" s="10" t="str">
        <f t="shared" si="4"/>
        <v>1133 Truntago</v>
      </c>
      <c r="M1129" s="10" t="s">
        <v>46</v>
      </c>
      <c r="N1129" s="10" t="s">
        <v>36</v>
      </c>
      <c r="O1129" s="10" t="s">
        <v>37</v>
      </c>
      <c r="P1129" s="10" t="s">
        <v>3042</v>
      </c>
      <c r="Q1129" s="13"/>
      <c r="R1129" s="13"/>
      <c r="S1129" s="13"/>
      <c r="T1129" s="13"/>
      <c r="U1129" s="13"/>
      <c r="V1129" s="13"/>
      <c r="W1129" s="16"/>
      <c r="X1129" s="13"/>
    </row>
    <row r="1130" ht="14.25" customHeight="1">
      <c r="A1130" s="10" t="s">
        <v>2502</v>
      </c>
      <c r="B1130" s="10" t="s">
        <v>31</v>
      </c>
      <c r="C1130" s="10">
        <v>1134.0</v>
      </c>
      <c r="D1130" s="11" t="s">
        <v>3049</v>
      </c>
      <c r="E1130" s="11" t="s">
        <v>3050</v>
      </c>
      <c r="F1130" s="11" t="s">
        <v>3051</v>
      </c>
      <c r="G1130" s="10">
        <v>1134.0</v>
      </c>
      <c r="H1130" s="10">
        <f>VLOOKUP(F1130,'Generos y Familia'!$A$1:$C$623,2,FALSE)</f>
        <v>98</v>
      </c>
      <c r="I1130" s="12" t="str">
        <f t="shared" si="1"/>
        <v>Vochysia sp</v>
      </c>
      <c r="J1130" s="10" t="str">
        <f t="shared" si="2"/>
        <v>1134 Vochysia sp</v>
      </c>
      <c r="K1130" s="10" t="str">
        <f t="shared" si="3"/>
        <v>Nispero Amazonico</v>
      </c>
      <c r="L1130" s="10" t="str">
        <f t="shared" si="4"/>
        <v>1134 Nispero Amazonico</v>
      </c>
      <c r="M1130" s="10" t="s">
        <v>35</v>
      </c>
      <c r="N1130" s="10" t="s">
        <v>36</v>
      </c>
      <c r="O1130" s="10" t="s">
        <v>37</v>
      </c>
      <c r="P1130" s="10" t="s">
        <v>3052</v>
      </c>
      <c r="Q1130" s="17" t="s">
        <v>3053</v>
      </c>
      <c r="R1130" s="14"/>
      <c r="S1130" s="17" t="s">
        <v>3054</v>
      </c>
      <c r="T1130" s="14"/>
      <c r="U1130" s="14" t="s">
        <v>55</v>
      </c>
      <c r="V1130" s="14"/>
      <c r="W1130" s="17"/>
      <c r="X1130" s="14" t="s">
        <v>41</v>
      </c>
    </row>
    <row r="1131" ht="14.25" customHeight="1">
      <c r="A1131" s="10" t="s">
        <v>2502</v>
      </c>
      <c r="B1131" s="10" t="s">
        <v>63</v>
      </c>
      <c r="C1131" s="10">
        <v>1135.0</v>
      </c>
      <c r="D1131" s="11" t="s">
        <v>3055</v>
      </c>
      <c r="E1131" s="11" t="s">
        <v>3056</v>
      </c>
      <c r="F1131" s="11" t="s">
        <v>673</v>
      </c>
      <c r="G1131" s="10">
        <v>1135.0</v>
      </c>
      <c r="H1131" s="10">
        <f>VLOOKUP(F1131,'Generos y Familia'!$A$1:$C$623,2,FALSE)</f>
        <v>45</v>
      </c>
      <c r="I1131" s="12" t="str">
        <f t="shared" si="1"/>
        <v>Washingtonia filifera</v>
      </c>
      <c r="J1131" s="10" t="str">
        <f t="shared" si="2"/>
        <v>1135 Washingtonia filifera</v>
      </c>
      <c r="K1131" s="10" t="str">
        <f t="shared" si="3"/>
        <v>Palma Abanico; Washingtonia; Palma Washingtonia; Palma de Abanico; Palma Washingtoniana</v>
      </c>
      <c r="L1131" s="10" t="str">
        <f t="shared" si="4"/>
        <v>1135 Palma Abanico; Washingtonia; Palma Washingtonia; Palma de Abanico; Palma Washingtoniana</v>
      </c>
      <c r="M1131" s="10" t="s">
        <v>46</v>
      </c>
      <c r="N1131" s="10" t="s">
        <v>36</v>
      </c>
      <c r="O1131" s="10" t="s">
        <v>117</v>
      </c>
      <c r="P1131" s="10" t="s">
        <v>3057</v>
      </c>
      <c r="Q1131" s="17" t="s">
        <v>229</v>
      </c>
      <c r="R1131" s="14" t="s">
        <v>53</v>
      </c>
      <c r="S1131" s="17" t="s">
        <v>290</v>
      </c>
      <c r="T1131" s="14"/>
      <c r="U1131" s="14" t="s">
        <v>55</v>
      </c>
      <c r="V1131" s="14"/>
      <c r="W1131" s="17"/>
      <c r="X1131" s="14" t="s">
        <v>41</v>
      </c>
    </row>
    <row r="1132" ht="14.25" customHeight="1">
      <c r="A1132" s="10" t="s">
        <v>2502</v>
      </c>
      <c r="B1132" s="10" t="s">
        <v>31</v>
      </c>
      <c r="C1132" s="10">
        <v>1136.0</v>
      </c>
      <c r="D1132" s="11" t="s">
        <v>3058</v>
      </c>
      <c r="E1132" s="11" t="s">
        <v>3059</v>
      </c>
      <c r="F1132" s="11" t="s">
        <v>673</v>
      </c>
      <c r="G1132" s="10">
        <v>1136.0</v>
      </c>
      <c r="H1132" s="10">
        <f>VLOOKUP(F1132,'Generos y Familia'!$A$1:$C$623,2,FALSE)</f>
        <v>45</v>
      </c>
      <c r="I1132" s="12" t="str">
        <f t="shared" si="1"/>
        <v>Washingtonia robusta</v>
      </c>
      <c r="J1132" s="10" t="str">
        <f t="shared" si="2"/>
        <v>1136 Washingtonia robusta</v>
      </c>
      <c r="K1132" s="10" t="str">
        <f t="shared" si="3"/>
        <v>Washingtonia; Palma Washingtonia</v>
      </c>
      <c r="L1132" s="10" t="str">
        <f t="shared" si="4"/>
        <v>1136 Washingtonia; Palma Washingtonia</v>
      </c>
      <c r="M1132" s="10" t="s">
        <v>46</v>
      </c>
      <c r="N1132" s="10" t="s">
        <v>36</v>
      </c>
      <c r="O1132" s="10" t="s">
        <v>117</v>
      </c>
      <c r="P1132" s="10" t="s">
        <v>3057</v>
      </c>
      <c r="Q1132" s="17" t="s">
        <v>1439</v>
      </c>
      <c r="R1132" s="14" t="s">
        <v>39</v>
      </c>
      <c r="S1132" s="17" t="s">
        <v>442</v>
      </c>
      <c r="T1132" s="14" t="s">
        <v>39</v>
      </c>
      <c r="U1132" s="14" t="s">
        <v>55</v>
      </c>
      <c r="V1132" s="14"/>
      <c r="W1132" s="18"/>
      <c r="X1132" s="14"/>
    </row>
    <row r="1133" ht="14.25" customHeight="1">
      <c r="A1133" s="10" t="s">
        <v>2502</v>
      </c>
      <c r="B1133" s="10" t="s">
        <v>31</v>
      </c>
      <c r="C1133" s="10">
        <v>1137.0</v>
      </c>
      <c r="D1133" s="11" t="s">
        <v>3060</v>
      </c>
      <c r="E1133" s="11" t="s">
        <v>3061</v>
      </c>
      <c r="F1133" s="11" t="s">
        <v>3062</v>
      </c>
      <c r="G1133" s="10">
        <v>1137.0</v>
      </c>
      <c r="H1133" s="10">
        <f>VLOOKUP(F1133,'Generos y Familia'!$A$1:$C$623,2,FALSE)</f>
        <v>44</v>
      </c>
      <c r="I1133" s="12" t="str">
        <f t="shared" si="1"/>
        <v>Weinmannia pubescens</v>
      </c>
      <c r="J1133" s="10" t="str">
        <f t="shared" si="2"/>
        <v>1137 Weinmannia pubescens</v>
      </c>
      <c r="K1133" s="10" t="str">
        <f t="shared" si="3"/>
        <v>Encenillo; Encino; Encenillo Crespo</v>
      </c>
      <c r="L1133" s="10" t="str">
        <f t="shared" si="4"/>
        <v>1137 Encenillo; Encino; Encenillo Crespo</v>
      </c>
      <c r="M1133" s="10" t="s">
        <v>35</v>
      </c>
      <c r="N1133" s="10" t="s">
        <v>36</v>
      </c>
      <c r="O1133" s="10" t="s">
        <v>37</v>
      </c>
      <c r="P1133" s="10" t="s">
        <v>3063</v>
      </c>
      <c r="Q1133" s="17" t="s">
        <v>145</v>
      </c>
      <c r="R1133" s="14" t="s">
        <v>39</v>
      </c>
      <c r="S1133" s="17" t="s">
        <v>54</v>
      </c>
      <c r="T1133" s="14" t="s">
        <v>39</v>
      </c>
      <c r="U1133" s="14" t="s">
        <v>73</v>
      </c>
      <c r="V1133" s="14"/>
      <c r="W1133" s="17"/>
      <c r="X1133" s="14"/>
    </row>
    <row r="1134" ht="14.25" customHeight="1">
      <c r="A1134" s="10" t="s">
        <v>2502</v>
      </c>
      <c r="B1134" s="10" t="s">
        <v>31</v>
      </c>
      <c r="C1134" s="10">
        <v>1138.0</v>
      </c>
      <c r="D1134" s="11" t="s">
        <v>3064</v>
      </c>
      <c r="E1134" s="11" t="s">
        <v>3065</v>
      </c>
      <c r="F1134" s="11" t="s">
        <v>3062</v>
      </c>
      <c r="G1134" s="10">
        <v>1138.0</v>
      </c>
      <c r="H1134" s="10">
        <f>VLOOKUP(F1134,'Generos y Familia'!$A$1:$C$623,2,FALSE)</f>
        <v>44</v>
      </c>
      <c r="I1134" s="12" t="str">
        <f t="shared" si="1"/>
        <v>Weinmannia tomentosa</v>
      </c>
      <c r="J1134" s="10" t="str">
        <f t="shared" si="2"/>
        <v>1138 Weinmannia tomentosa</v>
      </c>
      <c r="K1134" s="10" t="str">
        <f t="shared" si="3"/>
        <v>Encenillo; Encino; Encenillo Peludo</v>
      </c>
      <c r="L1134" s="10" t="str">
        <f t="shared" si="4"/>
        <v>1138 Encenillo; Encino; Encenillo Peludo</v>
      </c>
      <c r="M1134" s="10" t="s">
        <v>35</v>
      </c>
      <c r="N1134" s="10" t="s">
        <v>36</v>
      </c>
      <c r="O1134" s="10" t="s">
        <v>37</v>
      </c>
      <c r="P1134" s="10" t="s">
        <v>3063</v>
      </c>
      <c r="Q1134" s="13"/>
      <c r="R1134" s="13"/>
      <c r="S1134" s="13"/>
      <c r="T1134" s="13"/>
      <c r="U1134" s="13"/>
      <c r="V1134" s="13"/>
      <c r="W1134" s="13"/>
      <c r="X1134" s="13"/>
    </row>
    <row r="1135" ht="14.25" customHeight="1">
      <c r="A1135" s="10" t="s">
        <v>2502</v>
      </c>
      <c r="B1135" s="10" t="s">
        <v>31</v>
      </c>
      <c r="C1135" s="10">
        <v>1139.0</v>
      </c>
      <c r="D1135" s="11" t="s">
        <v>3066</v>
      </c>
      <c r="E1135" s="11" t="s">
        <v>3067</v>
      </c>
      <c r="F1135" s="11" t="s">
        <v>116</v>
      </c>
      <c r="G1135" s="10">
        <v>1139.0</v>
      </c>
      <c r="H1135" s="10">
        <f>VLOOKUP(F1135,'Generos y Familia'!$A$1:$C$623,2,FALSE)</f>
        <v>14</v>
      </c>
      <c r="I1135" s="12" t="str">
        <f t="shared" si="1"/>
        <v>Welfia regia</v>
      </c>
      <c r="J1135" s="10" t="str">
        <f t="shared" si="2"/>
        <v>1139 Welfia regia</v>
      </c>
      <c r="K1135" s="10" t="str">
        <f t="shared" si="3"/>
        <v>Sanjuán; Amargo; Cuasbil; Sanjuán; Palma Sanjuán;</v>
      </c>
      <c r="L1135" s="10" t="str">
        <f t="shared" si="4"/>
        <v>1139 Sanjuán; Amargo; Cuasbil; Sanjuán; Palma Sanjuán;</v>
      </c>
      <c r="M1135" s="10" t="s">
        <v>35</v>
      </c>
      <c r="N1135" s="10" t="s">
        <v>36</v>
      </c>
      <c r="O1135" s="10" t="s">
        <v>117</v>
      </c>
      <c r="P1135" s="10" t="s">
        <v>3068</v>
      </c>
      <c r="Q1135" s="13"/>
      <c r="R1135" s="13"/>
      <c r="S1135" s="13"/>
      <c r="T1135" s="13"/>
      <c r="U1135" s="13"/>
      <c r="V1135" s="13"/>
      <c r="W1135" s="16"/>
      <c r="X1135" s="13"/>
    </row>
    <row r="1136" ht="14.25" customHeight="1">
      <c r="A1136" s="10" t="s">
        <v>2502</v>
      </c>
      <c r="B1136" s="10" t="s">
        <v>31</v>
      </c>
      <c r="C1136" s="10">
        <v>1140.0</v>
      </c>
      <c r="D1136" s="11" t="s">
        <v>3069</v>
      </c>
      <c r="E1136" s="11" t="s">
        <v>3070</v>
      </c>
      <c r="F1136" s="11" t="s">
        <v>116</v>
      </c>
      <c r="G1136" s="10">
        <v>1140.0</v>
      </c>
      <c r="H1136" s="10">
        <f>VLOOKUP(F1136,'Generos y Familia'!$A$1:$C$623,2,FALSE)</f>
        <v>14</v>
      </c>
      <c r="I1136" s="12" t="str">
        <f t="shared" si="1"/>
        <v>Wettinia radiata</v>
      </c>
      <c r="J1136" s="10" t="str">
        <f t="shared" si="2"/>
        <v>1140 Wettinia radiata</v>
      </c>
      <c r="K1136" s="10" t="str">
        <f t="shared" si="3"/>
        <v>Palma Macana; Baqueta; Crespa</v>
      </c>
      <c r="L1136" s="10" t="str">
        <f t="shared" si="4"/>
        <v>1140 Palma Macana; Baqueta; Crespa</v>
      </c>
      <c r="M1136" s="10" t="s">
        <v>35</v>
      </c>
      <c r="N1136" s="10" t="s">
        <v>36</v>
      </c>
      <c r="O1136" s="10" t="s">
        <v>117</v>
      </c>
      <c r="P1136" s="10" t="s">
        <v>3071</v>
      </c>
      <c r="Q1136" s="13"/>
      <c r="R1136" s="13"/>
      <c r="S1136" s="13"/>
      <c r="T1136" s="13"/>
      <c r="U1136" s="13"/>
      <c r="V1136" s="13"/>
      <c r="W1136" s="13"/>
      <c r="X1136" s="13"/>
    </row>
    <row r="1137" ht="14.25" customHeight="1">
      <c r="A1137" s="10" t="s">
        <v>2502</v>
      </c>
      <c r="B1137" s="10" t="s">
        <v>31</v>
      </c>
      <c r="C1137" s="10">
        <v>1141.0</v>
      </c>
      <c r="D1137" s="11" t="s">
        <v>3072</v>
      </c>
      <c r="E1137" s="11" t="s">
        <v>3073</v>
      </c>
      <c r="F1137" s="11" t="s">
        <v>116</v>
      </c>
      <c r="G1137" s="10">
        <v>1141.0</v>
      </c>
      <c r="H1137" s="10">
        <f>VLOOKUP(F1137,'Generos y Familia'!$A$1:$C$623,2,FALSE)</f>
        <v>14</v>
      </c>
      <c r="I1137" s="12" t="str">
        <f t="shared" si="1"/>
        <v>Wettinia sp</v>
      </c>
      <c r="J1137" s="10" t="str">
        <f t="shared" si="2"/>
        <v>1141 Wettinia sp</v>
      </c>
      <c r="K1137" s="10" t="str">
        <f t="shared" si="3"/>
        <v>Palma Crespa; Macana</v>
      </c>
      <c r="L1137" s="10" t="str">
        <f t="shared" si="4"/>
        <v>1141 Palma Crespa; Macana</v>
      </c>
      <c r="M1137" s="10" t="s">
        <v>35</v>
      </c>
      <c r="N1137" s="10"/>
      <c r="O1137" s="10" t="s">
        <v>117</v>
      </c>
      <c r="P1137" s="10" t="s">
        <v>3071</v>
      </c>
      <c r="Q1137" s="13"/>
      <c r="R1137" s="13"/>
      <c r="S1137" s="13"/>
      <c r="T1137" s="13"/>
      <c r="U1137" s="13"/>
      <c r="V1137" s="13"/>
      <c r="W1137" s="13"/>
      <c r="X1137" s="13"/>
    </row>
    <row r="1138" ht="14.25" customHeight="1">
      <c r="A1138" s="10" t="s">
        <v>2502</v>
      </c>
      <c r="B1138" s="10" t="s">
        <v>31</v>
      </c>
      <c r="C1138" s="10">
        <v>1142.0</v>
      </c>
      <c r="D1138" s="11" t="s">
        <v>3074</v>
      </c>
      <c r="E1138" s="11" t="s">
        <v>3075</v>
      </c>
      <c r="F1138" s="11" t="s">
        <v>310</v>
      </c>
      <c r="G1138" s="10">
        <v>1142.0</v>
      </c>
      <c r="H1138" s="10">
        <f>VLOOKUP(F1138,'Generos y Familia'!$A$1:$C$623,2,FALSE)</f>
        <v>79</v>
      </c>
      <c r="I1138" s="12" t="str">
        <f t="shared" si="1"/>
        <v>Wittmackanthus stanleyanus</v>
      </c>
      <c r="J1138" s="10" t="str">
        <f t="shared" si="2"/>
        <v>1142 Wittmackanthus stanleyanus</v>
      </c>
      <c r="K1138" s="10" t="str">
        <f t="shared" si="3"/>
        <v>Punteguayabo; Cabo de Hacha; Mantequillo</v>
      </c>
      <c r="L1138" s="10" t="str">
        <f t="shared" si="4"/>
        <v>1142 Punteguayabo; Cabo de Hacha; Mantequillo</v>
      </c>
      <c r="M1138" s="10" t="s">
        <v>35</v>
      </c>
      <c r="N1138" s="10" t="s">
        <v>36</v>
      </c>
      <c r="O1138" s="10" t="s">
        <v>37</v>
      </c>
      <c r="P1138" s="10" t="s">
        <v>3076</v>
      </c>
      <c r="Q1138" s="17" t="s">
        <v>817</v>
      </c>
      <c r="R1138" s="14" t="s">
        <v>53</v>
      </c>
      <c r="S1138" s="17" t="s">
        <v>70</v>
      </c>
      <c r="T1138" s="14"/>
      <c r="U1138" s="14" t="s">
        <v>40</v>
      </c>
      <c r="V1138" s="14"/>
      <c r="W1138" s="18"/>
      <c r="X1138" s="14" t="s">
        <v>41</v>
      </c>
    </row>
    <row r="1139" ht="14.25" customHeight="1">
      <c r="A1139" s="10" t="s">
        <v>2502</v>
      </c>
      <c r="B1139" s="10" t="s">
        <v>31</v>
      </c>
      <c r="C1139" s="10">
        <v>1143.0</v>
      </c>
      <c r="D1139" s="11" t="s">
        <v>3077</v>
      </c>
      <c r="E1139" s="11" t="s">
        <v>3078</v>
      </c>
      <c r="F1139" s="11" t="s">
        <v>116</v>
      </c>
      <c r="G1139" s="10">
        <v>1143.0</v>
      </c>
      <c r="H1139" s="10">
        <f>VLOOKUP(F1139,'Generos y Familia'!$A$1:$C$623,2,FALSE)</f>
        <v>14</v>
      </c>
      <c r="I1139" s="12" t="str">
        <f t="shared" si="1"/>
        <v>Wodyetia bifurcata</v>
      </c>
      <c r="J1139" s="10" t="str">
        <f t="shared" si="2"/>
        <v>1143 Wodyetia bifurcata</v>
      </c>
      <c r="K1139" s="10" t="str">
        <f t="shared" si="3"/>
        <v>Palma Cola de Zorro; Cola de Zorro</v>
      </c>
      <c r="L1139" s="10" t="str">
        <f t="shared" si="4"/>
        <v>1143 Palma Cola de Zorro; Cola de Zorro</v>
      </c>
      <c r="M1139" s="10" t="s">
        <v>46</v>
      </c>
      <c r="N1139" s="10" t="s">
        <v>36</v>
      </c>
      <c r="O1139" s="10" t="s">
        <v>117</v>
      </c>
      <c r="P1139" s="10" t="s">
        <v>3079</v>
      </c>
      <c r="Q1139" s="17" t="s">
        <v>145</v>
      </c>
      <c r="R1139" s="14" t="s">
        <v>39</v>
      </c>
      <c r="S1139" s="17" t="s">
        <v>145</v>
      </c>
      <c r="T1139" s="14" t="s">
        <v>39</v>
      </c>
      <c r="U1139" s="14" t="s">
        <v>40</v>
      </c>
      <c r="V1139" s="14"/>
      <c r="W1139" s="18"/>
      <c r="X1139" s="14"/>
    </row>
    <row r="1140" ht="14.25" customHeight="1">
      <c r="A1140" s="10" t="s">
        <v>2502</v>
      </c>
      <c r="B1140" s="10" t="s">
        <v>31</v>
      </c>
      <c r="C1140" s="10">
        <v>1144.0</v>
      </c>
      <c r="D1140" s="11" t="s">
        <v>3080</v>
      </c>
      <c r="E1140" s="11" t="s">
        <v>3081</v>
      </c>
      <c r="F1140" s="11" t="s">
        <v>286</v>
      </c>
      <c r="G1140" s="10">
        <v>1144.0</v>
      </c>
      <c r="H1140" s="10">
        <f>VLOOKUP(F1140,'Generos y Familia'!$A$1:$C$623,2,FALSE)</f>
        <v>8</v>
      </c>
      <c r="I1140" s="12" t="str">
        <f t="shared" si="1"/>
        <v>Xylopia aromatica</v>
      </c>
      <c r="J1140" s="10" t="str">
        <f t="shared" si="2"/>
        <v>1144 Xylopia aromatica</v>
      </c>
      <c r="K1140" s="10" t="str">
        <f t="shared" si="3"/>
        <v>Xilopia; Copillo; Sembé; Malagueto; Escobillo; Frisolillo</v>
      </c>
      <c r="L1140" s="10" t="str">
        <f t="shared" si="4"/>
        <v>1144 Xilopia; Copillo; Sembé; Malagueto; Escobillo; Frisolillo</v>
      </c>
      <c r="M1140" s="10" t="s">
        <v>35</v>
      </c>
      <c r="N1140" s="10" t="s">
        <v>36</v>
      </c>
      <c r="O1140" s="10" t="s">
        <v>37</v>
      </c>
      <c r="P1140" s="10" t="s">
        <v>3082</v>
      </c>
      <c r="Q1140" s="13"/>
      <c r="R1140" s="13"/>
      <c r="S1140" s="13"/>
      <c r="T1140" s="13"/>
      <c r="U1140" s="13"/>
      <c r="V1140" s="13"/>
      <c r="W1140" s="13"/>
      <c r="X1140" s="13"/>
    </row>
    <row r="1141" ht="14.25" customHeight="1">
      <c r="A1141" s="10" t="s">
        <v>2502</v>
      </c>
      <c r="B1141" s="10" t="s">
        <v>31</v>
      </c>
      <c r="C1141" s="10">
        <v>1145.0</v>
      </c>
      <c r="D1141" s="11" t="s">
        <v>3083</v>
      </c>
      <c r="E1141" s="11" t="s">
        <v>3084</v>
      </c>
      <c r="F1141" s="11" t="s">
        <v>148</v>
      </c>
      <c r="G1141" s="10">
        <v>1145.0</v>
      </c>
      <c r="H1141" s="10">
        <f>VLOOKUP(F1141,'Generos y Familia'!$A$1:$C$623,2,FALSE)</f>
        <v>15</v>
      </c>
      <c r="I1141" s="12" t="str">
        <f t="shared" si="1"/>
        <v>Yucca aloifolia</v>
      </c>
      <c r="J1141" s="10" t="str">
        <f t="shared" si="2"/>
        <v>1145 Yucca aloifolia</v>
      </c>
      <c r="K1141" s="10" t="str">
        <f t="shared" si="3"/>
        <v>Yucca; Palma de Yuca; Palma de Bayoneta</v>
      </c>
      <c r="L1141" s="10" t="str">
        <f t="shared" si="4"/>
        <v>1145 Yucca; Palma de Yuca; Palma de Bayoneta</v>
      </c>
      <c r="M1141" s="10" t="s">
        <v>46</v>
      </c>
      <c r="N1141" s="10" t="s">
        <v>36</v>
      </c>
      <c r="O1141" s="10" t="s">
        <v>47</v>
      </c>
      <c r="P1141" s="10" t="s">
        <v>3085</v>
      </c>
      <c r="Q1141" s="17" t="s">
        <v>347</v>
      </c>
      <c r="R1141" s="14" t="s">
        <v>53</v>
      </c>
      <c r="S1141" s="17" t="s">
        <v>145</v>
      </c>
      <c r="T1141" s="14"/>
      <c r="U1141" s="14" t="s">
        <v>40</v>
      </c>
      <c r="V1141" s="14"/>
      <c r="W1141" s="18"/>
      <c r="X1141" s="14" t="s">
        <v>41</v>
      </c>
    </row>
    <row r="1142" ht="14.25" customHeight="1">
      <c r="A1142" s="10" t="s">
        <v>2502</v>
      </c>
      <c r="B1142" s="10" t="s">
        <v>31</v>
      </c>
      <c r="C1142" s="10">
        <v>1146.0</v>
      </c>
      <c r="D1142" s="11" t="s">
        <v>3086</v>
      </c>
      <c r="E1142" s="11" t="s">
        <v>3087</v>
      </c>
      <c r="F1142" s="11" t="s">
        <v>148</v>
      </c>
      <c r="G1142" s="10">
        <v>1146.0</v>
      </c>
      <c r="H1142" s="10">
        <f>VLOOKUP(F1142,'Generos y Familia'!$A$1:$C$623,2,FALSE)</f>
        <v>15</v>
      </c>
      <c r="I1142" s="12" t="str">
        <f t="shared" si="1"/>
        <v>Yucca filifera</v>
      </c>
      <c r="J1142" s="10" t="str">
        <f t="shared" si="2"/>
        <v>1146 Yucca filifera</v>
      </c>
      <c r="K1142" s="10" t="str">
        <f t="shared" si="3"/>
        <v>Espadillo; Palma Yuca</v>
      </c>
      <c r="L1142" s="10" t="str">
        <f t="shared" si="4"/>
        <v>1146 Espadillo; Palma Yuca</v>
      </c>
      <c r="M1142" s="10" t="s">
        <v>46</v>
      </c>
      <c r="N1142" s="10" t="s">
        <v>36</v>
      </c>
      <c r="O1142" s="10" t="s">
        <v>47</v>
      </c>
      <c r="P1142" s="10" t="s">
        <v>3085</v>
      </c>
      <c r="Q1142" s="13"/>
      <c r="R1142" s="13"/>
      <c r="S1142" s="13"/>
      <c r="T1142" s="13"/>
      <c r="U1142" s="13"/>
      <c r="V1142" s="13"/>
      <c r="W1142" s="16"/>
      <c r="X1142" s="13"/>
    </row>
    <row r="1143" ht="14.25" customHeight="1">
      <c r="A1143" s="10" t="s">
        <v>2502</v>
      </c>
      <c r="B1143" s="10" t="s">
        <v>31</v>
      </c>
      <c r="C1143" s="10">
        <v>1147.0</v>
      </c>
      <c r="D1143" s="11" t="s">
        <v>3088</v>
      </c>
      <c r="E1143" s="11" t="s">
        <v>3089</v>
      </c>
      <c r="F1143" s="11" t="s">
        <v>148</v>
      </c>
      <c r="G1143" s="10">
        <v>1147.0</v>
      </c>
      <c r="H1143" s="10">
        <f>VLOOKUP(F1143,'Generos y Familia'!$A$1:$C$623,2,FALSE)</f>
        <v>15</v>
      </c>
      <c r="I1143" s="12" t="str">
        <f t="shared" si="1"/>
        <v>Yucca gigantea</v>
      </c>
      <c r="J1143" s="10" t="str">
        <f t="shared" si="2"/>
        <v>1147 Yucca gigantea</v>
      </c>
      <c r="K1143" s="10" t="str">
        <f t="shared" si="3"/>
        <v>Palma Yuca; Palma Bayoneta; Palmiche</v>
      </c>
      <c r="L1143" s="10" t="str">
        <f t="shared" si="4"/>
        <v>1147 Palma Yuca; Palma Bayoneta; Palmiche</v>
      </c>
      <c r="M1143" s="10" t="s">
        <v>46</v>
      </c>
      <c r="N1143" s="10" t="s">
        <v>36</v>
      </c>
      <c r="O1143" s="10" t="s">
        <v>47</v>
      </c>
      <c r="P1143" s="10" t="s">
        <v>3085</v>
      </c>
      <c r="Q1143" s="17" t="s">
        <v>347</v>
      </c>
      <c r="R1143" s="14" t="s">
        <v>39</v>
      </c>
      <c r="S1143" s="17" t="s">
        <v>229</v>
      </c>
      <c r="T1143" s="14" t="s">
        <v>39</v>
      </c>
      <c r="U1143" s="14" t="s">
        <v>40</v>
      </c>
      <c r="V1143" s="14"/>
      <c r="W1143" s="18"/>
      <c r="X1143" s="14"/>
    </row>
    <row r="1144" ht="14.25" customHeight="1">
      <c r="A1144" s="10" t="s">
        <v>2502</v>
      </c>
      <c r="B1144" s="10" t="s">
        <v>31</v>
      </c>
      <c r="C1144" s="10">
        <v>1148.0</v>
      </c>
      <c r="D1144" s="11" t="s">
        <v>3090</v>
      </c>
      <c r="E1144" s="11" t="s">
        <v>3091</v>
      </c>
      <c r="F1144" s="11" t="s">
        <v>148</v>
      </c>
      <c r="G1144" s="10">
        <v>1148.0</v>
      </c>
      <c r="H1144" s="10">
        <f>VLOOKUP(F1144,'Generos y Familia'!$A$1:$C$623,2,FALSE)</f>
        <v>15</v>
      </c>
      <c r="I1144" s="12" t="str">
        <f t="shared" si="1"/>
        <v>Yucca gloriosa</v>
      </c>
      <c r="J1144" s="10" t="str">
        <f t="shared" si="2"/>
        <v>1148 Yucca gloriosa</v>
      </c>
      <c r="K1144" s="10" t="str">
        <f t="shared" si="3"/>
        <v>Yuca Brillante</v>
      </c>
      <c r="L1144" s="10" t="str">
        <f t="shared" si="4"/>
        <v>1148 Yuca Brillante</v>
      </c>
      <c r="M1144" s="10" t="s">
        <v>46</v>
      </c>
      <c r="N1144" s="10" t="s">
        <v>36</v>
      </c>
      <c r="O1144" s="10" t="s">
        <v>149</v>
      </c>
      <c r="P1144" s="10" t="s">
        <v>3085</v>
      </c>
      <c r="Q1144" s="17" t="s">
        <v>632</v>
      </c>
      <c r="R1144" s="14"/>
      <c r="S1144" s="17" t="s">
        <v>145</v>
      </c>
      <c r="T1144" s="14"/>
      <c r="U1144" s="14" t="s">
        <v>73</v>
      </c>
      <c r="V1144" s="14"/>
      <c r="W1144" s="18"/>
      <c r="X1144" s="14" t="s">
        <v>41</v>
      </c>
    </row>
    <row r="1145" ht="14.25" customHeight="1">
      <c r="A1145" s="10" t="s">
        <v>2502</v>
      </c>
      <c r="B1145" s="10" t="s">
        <v>63</v>
      </c>
      <c r="C1145" s="10">
        <v>1149.0</v>
      </c>
      <c r="D1145" s="11" t="s">
        <v>3092</v>
      </c>
      <c r="E1145" s="11" t="s">
        <v>3093</v>
      </c>
      <c r="F1145" s="11" t="s">
        <v>769</v>
      </c>
      <c r="G1145" s="10">
        <v>1149.0</v>
      </c>
      <c r="H1145" s="10">
        <f>VLOOKUP(F1145,'Generos y Familia'!$A$1:$C$623,2,FALSE)</f>
        <v>80</v>
      </c>
      <c r="I1145" s="12" t="str">
        <f t="shared" si="1"/>
        <v>Zanthoxylum gentryi</v>
      </c>
      <c r="J1145" s="10" t="str">
        <f t="shared" si="2"/>
        <v>1149 Zanthoxylum gentryi</v>
      </c>
      <c r="K1145" s="10" t="str">
        <f t="shared" si="3"/>
        <v>Tachuelo</v>
      </c>
      <c r="L1145" s="10" t="str">
        <f t="shared" si="4"/>
        <v>1149 Tachuelo</v>
      </c>
      <c r="M1145" s="10" t="s">
        <v>35</v>
      </c>
      <c r="N1145" s="10" t="s">
        <v>36</v>
      </c>
      <c r="O1145" s="10" t="s">
        <v>37</v>
      </c>
      <c r="P1145" s="10" t="s">
        <v>3094</v>
      </c>
      <c r="Q1145" s="13"/>
      <c r="R1145" s="13"/>
      <c r="S1145" s="13"/>
      <c r="T1145" s="13"/>
      <c r="U1145" s="13"/>
      <c r="V1145" s="13"/>
      <c r="W1145" s="13"/>
      <c r="X1145" s="13"/>
    </row>
    <row r="1146" ht="14.25" customHeight="1">
      <c r="A1146" s="10" t="s">
        <v>2502</v>
      </c>
      <c r="B1146" s="10" t="s">
        <v>31</v>
      </c>
      <c r="C1146" s="10">
        <v>1150.0</v>
      </c>
      <c r="D1146" s="11" t="s">
        <v>3095</v>
      </c>
      <c r="E1146" s="11" t="s">
        <v>3096</v>
      </c>
      <c r="F1146" s="11" t="s">
        <v>769</v>
      </c>
      <c r="G1146" s="10">
        <v>1150.0</v>
      </c>
      <c r="H1146" s="10">
        <f>VLOOKUP(F1146,'Generos y Familia'!$A$1:$C$623,2,FALSE)</f>
        <v>80</v>
      </c>
      <c r="I1146" s="12" t="str">
        <f t="shared" si="1"/>
        <v>Zanthoxylum rhoifolium</v>
      </c>
      <c r="J1146" s="10" t="str">
        <f t="shared" si="2"/>
        <v>1150 Zanthoxylum rhoifolium</v>
      </c>
      <c r="K1146" s="10" t="str">
        <f t="shared" si="3"/>
        <v>Tachuelo; Tacho; Doncel; Cilantrón; Mamica de Cadela</v>
      </c>
      <c r="L1146" s="10" t="str">
        <f t="shared" si="4"/>
        <v>1150 Tachuelo; Tacho; Doncel; Cilantrón; Mamica de Cadela</v>
      </c>
      <c r="M1146" s="10" t="s">
        <v>35</v>
      </c>
      <c r="N1146" s="10" t="s">
        <v>36</v>
      </c>
      <c r="O1146" s="10" t="s">
        <v>37</v>
      </c>
      <c r="P1146" s="10" t="s">
        <v>3094</v>
      </c>
      <c r="Q1146" s="17" t="s">
        <v>448</v>
      </c>
      <c r="R1146" s="14" t="s">
        <v>39</v>
      </c>
      <c r="S1146" s="17" t="s">
        <v>442</v>
      </c>
      <c r="T1146" s="14" t="s">
        <v>39</v>
      </c>
      <c r="U1146" s="14" t="s">
        <v>55</v>
      </c>
      <c r="V1146" s="14">
        <v>0.5</v>
      </c>
      <c r="W1146" s="17"/>
      <c r="X1146" s="14"/>
    </row>
    <row r="1147" ht="14.25" customHeight="1">
      <c r="A1147" s="10" t="s">
        <v>2502</v>
      </c>
      <c r="B1147" s="10" t="s">
        <v>31</v>
      </c>
      <c r="C1147" s="10">
        <v>1151.0</v>
      </c>
      <c r="D1147" s="11" t="s">
        <v>3097</v>
      </c>
      <c r="E1147" s="11" t="s">
        <v>3098</v>
      </c>
      <c r="F1147" s="11" t="s">
        <v>1045</v>
      </c>
      <c r="G1147" s="10">
        <v>1151.0</v>
      </c>
      <c r="H1147" s="10">
        <f>VLOOKUP(F1147,'Generos y Familia'!$A$1:$C$623,2,FALSE)</f>
        <v>77</v>
      </c>
      <c r="I1147" s="12" t="str">
        <f t="shared" si="1"/>
        <v>Ziziphus jujuba</v>
      </c>
      <c r="J1147" s="10" t="str">
        <f t="shared" si="2"/>
        <v>1151 Ziziphus jujuba</v>
      </c>
      <c r="K1147" s="10" t="str">
        <f t="shared" si="3"/>
        <v>Guinda; Manzanita; Manzanito</v>
      </c>
      <c r="L1147" s="10" t="str">
        <f t="shared" si="4"/>
        <v>1151 Guinda; Manzanita; Manzanito</v>
      </c>
      <c r="M1147" s="10" t="s">
        <v>46</v>
      </c>
      <c r="N1147" s="10" t="s">
        <v>36</v>
      </c>
      <c r="O1147" s="10" t="s">
        <v>47</v>
      </c>
      <c r="P1147" s="10" t="s">
        <v>3099</v>
      </c>
      <c r="Q1147" s="13"/>
      <c r="R1147" s="13"/>
      <c r="S1147" s="13"/>
      <c r="T1147" s="13"/>
      <c r="U1147" s="13"/>
      <c r="V1147" s="13"/>
      <c r="W1147" s="13"/>
      <c r="X1147" s="13"/>
    </row>
    <row r="1148" ht="14.25" customHeight="1">
      <c r="A1148" s="10" t="s">
        <v>2502</v>
      </c>
      <c r="B1148" s="10" t="s">
        <v>31</v>
      </c>
      <c r="C1148" s="10">
        <v>1152.0</v>
      </c>
      <c r="D1148" s="11" t="s">
        <v>3100</v>
      </c>
      <c r="E1148" s="11" t="s">
        <v>3101</v>
      </c>
      <c r="F1148" s="11" t="s">
        <v>1045</v>
      </c>
      <c r="G1148" s="10">
        <v>1152.0</v>
      </c>
      <c r="H1148" s="10">
        <f>VLOOKUP(F1148,'Generos y Familia'!$A$1:$C$623,2,FALSE)</f>
        <v>77</v>
      </c>
      <c r="I1148" s="12" t="str">
        <f t="shared" si="1"/>
        <v>Ziziphus mauritiana</v>
      </c>
      <c r="J1148" s="10" t="str">
        <f t="shared" si="2"/>
        <v>1152 Ziziphus mauritiana</v>
      </c>
      <c r="K1148" s="10" t="str">
        <f t="shared" si="3"/>
        <v>Guinda; Manzanita Costeña; Pistacho</v>
      </c>
      <c r="L1148" s="10" t="str">
        <f t="shared" si="4"/>
        <v>1152 Guinda; Manzanita Costeña; Pistacho</v>
      </c>
      <c r="M1148" s="10" t="s">
        <v>46</v>
      </c>
      <c r="N1148" s="10" t="s">
        <v>36</v>
      </c>
      <c r="O1148" s="10" t="s">
        <v>37</v>
      </c>
      <c r="P1148" s="10" t="s">
        <v>3099</v>
      </c>
      <c r="Q1148" s="13"/>
      <c r="R1148" s="13"/>
      <c r="S1148" s="13"/>
      <c r="T1148" s="13"/>
      <c r="U1148" s="13"/>
      <c r="V1148" s="13"/>
      <c r="W1148" s="13"/>
      <c r="X1148" s="13"/>
    </row>
    <row r="1149" ht="14.25" customHeight="1">
      <c r="A1149" s="10" t="s">
        <v>2502</v>
      </c>
      <c r="B1149" s="10" t="s">
        <v>31</v>
      </c>
      <c r="C1149" s="10">
        <v>1153.0</v>
      </c>
      <c r="D1149" s="11" t="s">
        <v>3102</v>
      </c>
      <c r="E1149" s="11" t="s">
        <v>3103</v>
      </c>
      <c r="F1149" s="11" t="s">
        <v>34</v>
      </c>
      <c r="G1149" s="10">
        <v>1153.0</v>
      </c>
      <c r="H1149" s="10">
        <f>VLOOKUP(F1149,'Generos y Familia'!$A$1:$C$623,2,FALSE)</f>
        <v>27</v>
      </c>
      <c r="I1149" s="12" t="str">
        <f t="shared" si="1"/>
        <v>Zygia longifolia</v>
      </c>
      <c r="J1149" s="10" t="str">
        <f t="shared" si="2"/>
        <v>1153 Zygia longifolia</v>
      </c>
      <c r="K1149" s="10" t="str">
        <f t="shared" si="3"/>
        <v>Suribio; Chíparo; Achil; Payandé; Playero</v>
      </c>
      <c r="L1149" s="10" t="str">
        <f t="shared" si="4"/>
        <v>1153 Suribio; Chíparo; Achil; Payandé; Playero</v>
      </c>
      <c r="M1149" s="10" t="s">
        <v>35</v>
      </c>
      <c r="N1149" s="10" t="s">
        <v>36</v>
      </c>
      <c r="O1149" s="10" t="s">
        <v>37</v>
      </c>
      <c r="P1149" s="10" t="s">
        <v>3104</v>
      </c>
      <c r="Q1149" s="17" t="s">
        <v>229</v>
      </c>
      <c r="R1149" s="14" t="s">
        <v>39</v>
      </c>
      <c r="S1149" s="17" t="s">
        <v>229</v>
      </c>
      <c r="T1149" s="14" t="s">
        <v>39</v>
      </c>
      <c r="U1149" s="14" t="s">
        <v>55</v>
      </c>
      <c r="V1149" s="14">
        <v>0.71</v>
      </c>
      <c r="W1149" s="17"/>
      <c r="X1149" s="14"/>
    </row>
    <row r="1150" ht="14.25" customHeight="1">
      <c r="A1150" s="10" t="s">
        <v>3105</v>
      </c>
      <c r="B1150" s="10" t="s">
        <v>31</v>
      </c>
      <c r="C1150" s="10">
        <v>1154.0</v>
      </c>
      <c r="D1150" s="11" t="s">
        <v>3106</v>
      </c>
      <c r="E1150" s="11" t="s">
        <v>3107</v>
      </c>
      <c r="F1150" s="11" t="s">
        <v>239</v>
      </c>
      <c r="G1150" s="10">
        <v>1154.0</v>
      </c>
      <c r="H1150" s="10">
        <f>VLOOKUP(F1150,'Generos y Familia'!$A$1:$C$623,2,FALSE)</f>
        <v>6</v>
      </c>
      <c r="I1150" s="12" t="str">
        <f t="shared" si="1"/>
        <v>Achyranthes aspera</v>
      </c>
      <c r="J1150" s="10" t="str">
        <f t="shared" si="2"/>
        <v>1154 Achyranthes aspera</v>
      </c>
      <c r="K1150" s="10" t="str">
        <f t="shared" si="3"/>
        <v>Cadillo Africano</v>
      </c>
      <c r="L1150" s="10" t="str">
        <f t="shared" si="4"/>
        <v>1154 Cadillo Africano</v>
      </c>
      <c r="M1150" s="10" t="s">
        <v>35</v>
      </c>
      <c r="N1150" s="10" t="s">
        <v>36</v>
      </c>
      <c r="O1150" s="10" t="s">
        <v>2918</v>
      </c>
      <c r="P1150" s="10" t="s">
        <v>3108</v>
      </c>
      <c r="Q1150" s="13"/>
      <c r="R1150" s="13"/>
      <c r="S1150" s="13"/>
      <c r="T1150" s="13"/>
      <c r="U1150" s="13"/>
      <c r="V1150" s="13"/>
      <c r="W1150" s="13"/>
      <c r="X1150" s="13"/>
    </row>
    <row r="1151" ht="14.25" customHeight="1">
      <c r="A1151" s="10" t="s">
        <v>3105</v>
      </c>
      <c r="B1151" s="10" t="s">
        <v>31</v>
      </c>
      <c r="C1151" s="10">
        <v>1155.0</v>
      </c>
      <c r="D1151" s="11" t="s">
        <v>3109</v>
      </c>
      <c r="E1151" s="11" t="s">
        <v>3110</v>
      </c>
      <c r="F1151" s="11" t="s">
        <v>45</v>
      </c>
      <c r="G1151" s="10">
        <v>1155.0</v>
      </c>
      <c r="H1151" s="10">
        <f>VLOOKUP(F1151,'Generos y Familia'!$A$1:$C$623,2,FALSE)</f>
        <v>40</v>
      </c>
      <c r="I1151" s="12" t="str">
        <f t="shared" si="1"/>
        <v>Kleinhovia hospita</v>
      </c>
      <c r="J1151" s="10" t="str">
        <f t="shared" si="2"/>
        <v>1155 Kleinhovia hospita</v>
      </c>
      <c r="K1151" s="10" t="str">
        <f t="shared" si="3"/>
        <v>Tanag de Filipinas</v>
      </c>
      <c r="L1151" s="10" t="str">
        <f t="shared" si="4"/>
        <v>1155 Tanag de Filipinas</v>
      </c>
      <c r="M1151" s="10" t="s">
        <v>46</v>
      </c>
      <c r="N1151" s="10" t="s">
        <v>36</v>
      </c>
      <c r="O1151" s="10" t="s">
        <v>37</v>
      </c>
      <c r="P1151" s="10" t="s">
        <v>3111</v>
      </c>
      <c r="Q1151" s="13"/>
      <c r="R1151" s="13"/>
      <c r="S1151" s="13"/>
      <c r="T1151" s="13"/>
      <c r="U1151" s="13"/>
      <c r="V1151" s="13"/>
      <c r="W1151" s="13"/>
      <c r="X1151" s="13"/>
    </row>
    <row r="1152" ht="14.25" customHeight="1">
      <c r="A1152" s="10" t="s">
        <v>3105</v>
      </c>
      <c r="B1152" s="10" t="s">
        <v>31</v>
      </c>
      <c r="C1152" s="10">
        <v>1156.0</v>
      </c>
      <c r="D1152" s="11" t="s">
        <v>3112</v>
      </c>
      <c r="E1152" s="11" t="s">
        <v>3113</v>
      </c>
      <c r="F1152" s="11" t="s">
        <v>227</v>
      </c>
      <c r="G1152" s="10">
        <v>1156.0</v>
      </c>
      <c r="H1152" s="10">
        <f>VLOOKUP(F1152,'Generos y Familia'!$A$1:$C$623,2,FALSE)</f>
        <v>96</v>
      </c>
      <c r="I1152" s="12" t="str">
        <f t="shared" si="1"/>
        <v>Lippia alba</v>
      </c>
      <c r="J1152" s="10" t="str">
        <f t="shared" si="2"/>
        <v>1156 Lippia alba</v>
      </c>
      <c r="K1152" s="10" t="str">
        <f t="shared" si="3"/>
        <v>Pronto Alibio; Sanalotodo</v>
      </c>
      <c r="L1152" s="10" t="str">
        <f t="shared" si="4"/>
        <v>1156 Pronto Alibio; Sanalotodo</v>
      </c>
      <c r="M1152" s="10" t="s">
        <v>35</v>
      </c>
      <c r="N1152" s="10" t="s">
        <v>36</v>
      </c>
      <c r="O1152" s="10" t="s">
        <v>47</v>
      </c>
      <c r="P1152" s="10" t="s">
        <v>3114</v>
      </c>
      <c r="Q1152" s="13"/>
      <c r="R1152" s="13"/>
      <c r="S1152" s="13"/>
      <c r="T1152" s="13"/>
      <c r="U1152" s="13"/>
      <c r="V1152" s="13"/>
      <c r="W1152" s="13"/>
      <c r="X1152" s="13"/>
    </row>
    <row r="1153" ht="14.25" customHeight="1">
      <c r="A1153" s="10" t="s">
        <v>3105</v>
      </c>
      <c r="B1153" s="10" t="s">
        <v>31</v>
      </c>
      <c r="C1153" s="10">
        <v>1157.0</v>
      </c>
      <c r="D1153" s="11" t="s">
        <v>3115</v>
      </c>
      <c r="E1153" s="11" t="s">
        <v>3116</v>
      </c>
      <c r="F1153" s="11" t="s">
        <v>3117</v>
      </c>
      <c r="G1153" s="10">
        <v>1157.0</v>
      </c>
      <c r="H1153" s="10">
        <f>VLOOKUP(F1153,'Generos y Familia'!$A$1:$C$623,2,FALSE)</f>
        <v>7</v>
      </c>
      <c r="I1153" s="12" t="str">
        <f t="shared" si="1"/>
        <v>Galanthus nivalis</v>
      </c>
      <c r="J1153" s="10" t="str">
        <f t="shared" si="2"/>
        <v>1157 Galanthus nivalis</v>
      </c>
      <c r="K1153" s="10" t="str">
        <f t="shared" si="3"/>
        <v>Campanilla de Invierno; Perforanieves; Galanto</v>
      </c>
      <c r="L1153" s="10" t="str">
        <f t="shared" si="4"/>
        <v>1157 Campanilla de Invierno; Perforanieves; Galanto</v>
      </c>
      <c r="M1153" s="10" t="s">
        <v>46</v>
      </c>
      <c r="N1153" s="10" t="s">
        <v>36</v>
      </c>
      <c r="O1153" s="10" t="s">
        <v>47</v>
      </c>
      <c r="P1153" s="10" t="s">
        <v>3118</v>
      </c>
      <c r="Q1153" s="13"/>
      <c r="R1153" s="13"/>
      <c r="S1153" s="13"/>
      <c r="T1153" s="13"/>
      <c r="U1153" s="13"/>
      <c r="V1153" s="13"/>
      <c r="W1153" s="13"/>
      <c r="X1153" s="13"/>
    </row>
    <row r="1154" ht="14.25" customHeight="1">
      <c r="A1154" s="10" t="s">
        <v>3105</v>
      </c>
      <c r="B1154" s="10" t="s">
        <v>31</v>
      </c>
      <c r="C1154" s="10">
        <v>1158.0</v>
      </c>
      <c r="D1154" s="11" t="s">
        <v>3119</v>
      </c>
      <c r="E1154" s="11" t="s">
        <v>3120</v>
      </c>
      <c r="F1154" s="11" t="s">
        <v>136</v>
      </c>
      <c r="G1154" s="10">
        <v>1158.0</v>
      </c>
      <c r="H1154" s="10">
        <f>VLOOKUP(F1154,'Generos y Familia'!$A$1:$C$623,2,FALSE)</f>
        <v>34</v>
      </c>
      <c r="I1154" s="12" t="str">
        <f t="shared" si="1"/>
        <v>Mentha spicata</v>
      </c>
      <c r="J1154" s="10" t="str">
        <f t="shared" si="2"/>
        <v>1158 Mentha spicata</v>
      </c>
      <c r="K1154" s="10" t="str">
        <f t="shared" si="3"/>
        <v>Hierba Buena</v>
      </c>
      <c r="L1154" s="10" t="str">
        <f t="shared" si="4"/>
        <v>1158 Hierba Buena</v>
      </c>
      <c r="M1154" s="10" t="s">
        <v>46</v>
      </c>
      <c r="N1154" s="10" t="s">
        <v>36</v>
      </c>
      <c r="O1154" s="10" t="s">
        <v>2918</v>
      </c>
      <c r="P1154" s="10" t="s">
        <v>3121</v>
      </c>
      <c r="Q1154" s="13"/>
      <c r="R1154" s="13"/>
      <c r="S1154" s="13"/>
      <c r="T1154" s="13"/>
      <c r="U1154" s="13"/>
      <c r="V1154" s="13"/>
      <c r="W1154" s="16"/>
      <c r="X1154" s="13"/>
    </row>
    <row r="1155" ht="14.25" customHeight="1">
      <c r="A1155" s="10" t="s">
        <v>3105</v>
      </c>
      <c r="B1155" s="10" t="s">
        <v>31</v>
      </c>
      <c r="C1155" s="10">
        <v>1159.0</v>
      </c>
      <c r="D1155" s="11" t="s">
        <v>3122</v>
      </c>
      <c r="E1155" s="11" t="s">
        <v>3123</v>
      </c>
      <c r="F1155" s="11" t="s">
        <v>239</v>
      </c>
      <c r="G1155" s="10">
        <v>1159.0</v>
      </c>
      <c r="H1155" s="10">
        <f>VLOOKUP(F1155,'Generos y Familia'!$A$1:$C$623,2,FALSE)</f>
        <v>6</v>
      </c>
      <c r="I1155" s="12" t="str">
        <f t="shared" si="1"/>
        <v>Amaranthus paniculatus var. Cruentus (L)</v>
      </c>
      <c r="J1155" s="10" t="str">
        <f t="shared" si="2"/>
        <v>1159 Amaranthus paniculatus var. Cruentus (L)</v>
      </c>
      <c r="K1155" s="10" t="str">
        <f t="shared" si="3"/>
        <v>Achita; Amaranto</v>
      </c>
      <c r="L1155" s="10" t="str">
        <f t="shared" si="4"/>
        <v>1159 Achita; Amaranto</v>
      </c>
      <c r="M1155" s="10" t="s">
        <v>46</v>
      </c>
      <c r="N1155" s="10" t="s">
        <v>36</v>
      </c>
      <c r="O1155" s="10" t="s">
        <v>47</v>
      </c>
      <c r="P1155" s="10" t="s">
        <v>3124</v>
      </c>
      <c r="Q1155" s="17">
        <v>2.0</v>
      </c>
      <c r="R1155" s="14" t="s">
        <v>53</v>
      </c>
      <c r="S1155" s="17" t="s">
        <v>347</v>
      </c>
      <c r="T1155" s="14"/>
      <c r="U1155" s="14" t="s">
        <v>55</v>
      </c>
      <c r="V1155" s="14"/>
      <c r="W1155" s="18"/>
      <c r="X1155" s="14" t="s">
        <v>41</v>
      </c>
    </row>
    <row r="1156" ht="14.25" customHeight="1">
      <c r="A1156" s="10" t="s">
        <v>3105</v>
      </c>
      <c r="B1156" s="10" t="s">
        <v>31</v>
      </c>
      <c r="C1156" s="10">
        <v>1160.0</v>
      </c>
      <c r="D1156" s="11" t="s">
        <v>3125</v>
      </c>
      <c r="E1156" s="11" t="s">
        <v>3126</v>
      </c>
      <c r="F1156" s="11" t="s">
        <v>2696</v>
      </c>
      <c r="G1156" s="10">
        <v>1160.0</v>
      </c>
      <c r="H1156" s="10">
        <f>VLOOKUP(F1156,'Generos y Familia'!$A$1:$C$623,2,FALSE)</f>
        <v>87</v>
      </c>
      <c r="I1156" s="12" t="str">
        <f t="shared" si="1"/>
        <v>Ailanthus altissima</v>
      </c>
      <c r="J1156" s="10" t="str">
        <f t="shared" si="2"/>
        <v>1160 Ailanthus altissima</v>
      </c>
      <c r="K1156" s="10" t="str">
        <f t="shared" si="3"/>
        <v>Árbol del Cielo</v>
      </c>
      <c r="L1156" s="10" t="str">
        <f t="shared" si="4"/>
        <v>1160 Árbol del Cielo</v>
      </c>
      <c r="M1156" s="10" t="s">
        <v>46</v>
      </c>
      <c r="N1156" s="10"/>
      <c r="O1156" s="10" t="s">
        <v>37</v>
      </c>
      <c r="P1156" s="10" t="s">
        <v>3127</v>
      </c>
      <c r="Q1156" s="13"/>
      <c r="R1156" s="13"/>
      <c r="S1156" s="13"/>
      <c r="T1156" s="13"/>
      <c r="U1156" s="13"/>
      <c r="V1156" s="13"/>
      <c r="W1156" s="13"/>
      <c r="X1156" s="13"/>
    </row>
    <row r="1157" ht="14.25" customHeight="1">
      <c r="A1157" s="10" t="s">
        <v>3128</v>
      </c>
      <c r="B1157" s="10" t="s">
        <v>3129</v>
      </c>
      <c r="C1157" s="10">
        <v>1161.0</v>
      </c>
      <c r="D1157" s="11" t="s">
        <v>3130</v>
      </c>
      <c r="E1157" s="11" t="s">
        <v>3131</v>
      </c>
      <c r="F1157" s="11" t="s">
        <v>762</v>
      </c>
      <c r="G1157" s="10">
        <v>1161.0</v>
      </c>
      <c r="H1157" s="10">
        <f>VLOOKUP(F1157,'Generos y Familia'!$A$1:$C$623,2,FALSE)</f>
        <v>82</v>
      </c>
      <c r="I1157" s="12" t="str">
        <f t="shared" si="1"/>
        <v>Abatia parviflora</v>
      </c>
      <c r="J1157" s="10" t="str">
        <f t="shared" si="2"/>
        <v>1161 Abatia parviflora</v>
      </c>
      <c r="K1157" s="10" t="str">
        <f t="shared" si="3"/>
        <v>Duraznillo; Chirlobirlo; Sacaojos Colorado</v>
      </c>
      <c r="L1157" s="10" t="str">
        <f t="shared" si="4"/>
        <v>1161 Duraznillo; Chirlobirlo; Sacaojos Colorado</v>
      </c>
      <c r="M1157" s="10" t="s">
        <v>35</v>
      </c>
      <c r="N1157" s="10" t="s">
        <v>36</v>
      </c>
      <c r="O1157" s="10" t="s">
        <v>37</v>
      </c>
      <c r="P1157" s="10" t="s">
        <v>3132</v>
      </c>
      <c r="Q1157" s="13">
        <v>20.0</v>
      </c>
      <c r="R1157" s="13" t="s">
        <v>39</v>
      </c>
      <c r="S1157" s="13"/>
      <c r="T1157" s="13"/>
      <c r="U1157" s="13" t="s">
        <v>40</v>
      </c>
      <c r="V1157" s="13"/>
      <c r="W1157" s="13"/>
      <c r="X1157" s="13"/>
    </row>
    <row r="1158" ht="14.25" customHeight="1">
      <c r="A1158" s="10" t="s">
        <v>3128</v>
      </c>
      <c r="B1158" s="10" t="s">
        <v>3129</v>
      </c>
      <c r="C1158" s="10">
        <v>1162.0</v>
      </c>
      <c r="D1158" s="11" t="s">
        <v>3133</v>
      </c>
      <c r="E1158" s="11" t="s">
        <v>3134</v>
      </c>
      <c r="F1158" s="11" t="s">
        <v>286</v>
      </c>
      <c r="G1158" s="10">
        <v>1162.0</v>
      </c>
      <c r="H1158" s="10">
        <f>VLOOKUP(F1158,'Generos y Familia'!$A$1:$C$623,2,FALSE)</f>
        <v>8</v>
      </c>
      <c r="I1158" s="12" t="str">
        <f t="shared" si="1"/>
        <v>Annona sp</v>
      </c>
      <c r="J1158" s="10" t="str">
        <f t="shared" si="2"/>
        <v>1162 Annona sp</v>
      </c>
      <c r="K1158" s="10" t="str">
        <f t="shared" si="3"/>
        <v>Anón</v>
      </c>
      <c r="L1158" s="10" t="str">
        <f t="shared" si="4"/>
        <v>1162 Anón</v>
      </c>
      <c r="M1158" s="10" t="s">
        <v>35</v>
      </c>
      <c r="N1158" s="10" t="s">
        <v>36</v>
      </c>
      <c r="O1158" s="10" t="s">
        <v>37</v>
      </c>
      <c r="P1158" s="10" t="s">
        <v>287</v>
      </c>
      <c r="Q1158" s="13"/>
      <c r="R1158" s="13"/>
      <c r="S1158" s="13"/>
      <c r="T1158" s="13"/>
      <c r="U1158" s="13"/>
      <c r="V1158" s="13"/>
      <c r="W1158" s="13"/>
      <c r="X1158" s="13"/>
    </row>
    <row r="1159" ht="14.25" customHeight="1">
      <c r="A1159" s="23" t="s">
        <v>3128</v>
      </c>
      <c r="B1159" s="23" t="s">
        <v>3129</v>
      </c>
      <c r="C1159" s="10">
        <v>1163.0</v>
      </c>
      <c r="D1159" s="11" t="s">
        <v>206</v>
      </c>
      <c r="E1159" s="11" t="s">
        <v>26</v>
      </c>
      <c r="F1159" s="11" t="s">
        <v>206</v>
      </c>
      <c r="G1159" s="10">
        <v>1163.0</v>
      </c>
      <c r="H1159" s="10">
        <f>VLOOKUP(F1159,'Generos y Familia'!$A$1:$C$623,2,FALSE)</f>
        <v>9</v>
      </c>
      <c r="I1159" s="12" t="str">
        <f t="shared" si="1"/>
        <v>Apocynaceae</v>
      </c>
      <c r="J1159" s="10" t="str">
        <f t="shared" si="2"/>
        <v>1163 Apocynaceae</v>
      </c>
      <c r="K1159" s="10" t="str">
        <f t="shared" si="3"/>
        <v>Indeterminado</v>
      </c>
      <c r="L1159" s="10" t="str">
        <f t="shared" si="4"/>
        <v>1163 Indeterminado</v>
      </c>
      <c r="M1159" s="10" t="s">
        <v>3135</v>
      </c>
      <c r="N1159" s="10" t="s">
        <v>3105</v>
      </c>
      <c r="O1159" s="10" t="s">
        <v>3135</v>
      </c>
      <c r="P1159" s="10" t="s">
        <v>206</v>
      </c>
      <c r="Q1159" s="13"/>
      <c r="R1159" s="13"/>
      <c r="S1159" s="13" t="s">
        <v>3136</v>
      </c>
      <c r="T1159" s="13"/>
      <c r="U1159" s="13"/>
      <c r="V1159" s="13"/>
      <c r="W1159" s="13"/>
      <c r="X1159" s="13"/>
    </row>
    <row r="1160" ht="14.25" customHeight="1">
      <c r="A1160" s="23" t="s">
        <v>3128</v>
      </c>
      <c r="B1160" s="23" t="s">
        <v>3129</v>
      </c>
      <c r="C1160" s="10">
        <v>1165.0</v>
      </c>
      <c r="D1160" s="11" t="s">
        <v>362</v>
      </c>
      <c r="E1160" s="11" t="s">
        <v>26</v>
      </c>
      <c r="F1160" s="11" t="s">
        <v>362</v>
      </c>
      <c r="G1160" s="10">
        <v>1164.0</v>
      </c>
      <c r="H1160" s="10">
        <f>VLOOKUP(F1160,'Generos y Familia'!$A$1:$C$623,2,FALSE)</f>
        <v>17</v>
      </c>
      <c r="I1160" s="12" t="str">
        <f t="shared" si="1"/>
        <v>Asteraceae</v>
      </c>
      <c r="J1160" s="10" t="str">
        <f t="shared" si="2"/>
        <v>1164 Asteraceae</v>
      </c>
      <c r="K1160" s="10" t="str">
        <f t="shared" si="3"/>
        <v>Indeterminado</v>
      </c>
      <c r="L1160" s="10" t="str">
        <f t="shared" si="4"/>
        <v>1164 Indeterminado</v>
      </c>
      <c r="M1160" s="10" t="s">
        <v>3135</v>
      </c>
      <c r="N1160" s="10" t="s">
        <v>3105</v>
      </c>
      <c r="O1160" s="10" t="s">
        <v>3135</v>
      </c>
      <c r="P1160" s="10" t="s">
        <v>362</v>
      </c>
      <c r="Q1160" s="13"/>
      <c r="R1160" s="13"/>
      <c r="S1160" s="13" t="s">
        <v>3136</v>
      </c>
      <c r="T1160" s="13"/>
      <c r="U1160" s="13"/>
      <c r="V1160" s="13"/>
      <c r="W1160" s="13"/>
      <c r="X1160" s="13"/>
    </row>
    <row r="1161" ht="14.25" customHeight="1">
      <c r="A1161" s="10" t="s">
        <v>3128</v>
      </c>
      <c r="B1161" s="10" t="s">
        <v>3129</v>
      </c>
      <c r="C1161" s="10">
        <v>1166.0</v>
      </c>
      <c r="D1161" s="11" t="s">
        <v>3137</v>
      </c>
      <c r="E1161" s="11" t="s">
        <v>3138</v>
      </c>
      <c r="F1161" s="11" t="s">
        <v>362</v>
      </c>
      <c r="G1161" s="10">
        <v>1165.0</v>
      </c>
      <c r="H1161" s="10">
        <f>VLOOKUP(F1161,'Generos y Familia'!$A$1:$C$623,2,FALSE)</f>
        <v>17</v>
      </c>
      <c r="I1161" s="12" t="str">
        <f t="shared" si="1"/>
        <v>Baccharis sp</v>
      </c>
      <c r="J1161" s="10" t="str">
        <f t="shared" si="2"/>
        <v>1165 Baccharis sp</v>
      </c>
      <c r="K1161" s="10" t="str">
        <f t="shared" si="3"/>
        <v>Chilco</v>
      </c>
      <c r="L1161" s="10" t="str">
        <f t="shared" si="4"/>
        <v>1165 Chilco</v>
      </c>
      <c r="M1161" s="10" t="s">
        <v>35</v>
      </c>
      <c r="N1161" s="10" t="s">
        <v>36</v>
      </c>
      <c r="O1161" s="10" t="s">
        <v>47</v>
      </c>
      <c r="P1161" s="10" t="s">
        <v>415</v>
      </c>
      <c r="Q1161" s="13"/>
      <c r="R1161" s="13"/>
      <c r="S1161" s="13"/>
      <c r="T1161" s="13"/>
      <c r="U1161" s="13"/>
      <c r="V1161" s="13"/>
      <c r="W1161" s="13"/>
      <c r="X1161" s="13"/>
    </row>
    <row r="1162" ht="14.25" customHeight="1">
      <c r="A1162" s="10" t="s">
        <v>3128</v>
      </c>
      <c r="B1162" s="10" t="s">
        <v>3129</v>
      </c>
      <c r="C1162" s="10">
        <v>1167.0</v>
      </c>
      <c r="D1162" s="11" t="s">
        <v>3139</v>
      </c>
      <c r="E1162" s="11" t="s">
        <v>3140</v>
      </c>
      <c r="F1162" s="11" t="s">
        <v>431</v>
      </c>
      <c r="G1162" s="10">
        <v>1166.0</v>
      </c>
      <c r="H1162" s="10">
        <f>VLOOKUP(F1162,'Generos y Familia'!$A$1:$C$623,2,FALSE)</f>
        <v>70</v>
      </c>
      <c r="I1162" s="12" t="str">
        <f t="shared" si="1"/>
        <v>Bambusa sp</v>
      </c>
      <c r="J1162" s="10" t="str">
        <f t="shared" si="2"/>
        <v>1166 Bambusa sp</v>
      </c>
      <c r="K1162" s="10" t="str">
        <f t="shared" si="3"/>
        <v>Bambú</v>
      </c>
      <c r="L1162" s="10" t="str">
        <f t="shared" si="4"/>
        <v>1166 Bambú</v>
      </c>
      <c r="M1162" s="10" t="s">
        <v>46</v>
      </c>
      <c r="N1162" s="10" t="s">
        <v>36</v>
      </c>
      <c r="O1162" s="10" t="s">
        <v>432</v>
      </c>
      <c r="P1162" s="10" t="s">
        <v>433</v>
      </c>
      <c r="Q1162" s="13">
        <v>20.0</v>
      </c>
      <c r="R1162" s="13" t="s">
        <v>53</v>
      </c>
      <c r="S1162" s="13">
        <v>15.0</v>
      </c>
      <c r="T1162" s="13"/>
      <c r="U1162" s="13" t="s">
        <v>55</v>
      </c>
      <c r="V1162" s="13"/>
      <c r="W1162" s="13"/>
      <c r="X1162" s="14" t="s">
        <v>41</v>
      </c>
    </row>
    <row r="1163" ht="14.25" customHeight="1">
      <c r="A1163" s="10" t="s">
        <v>3128</v>
      </c>
      <c r="B1163" s="10" t="s">
        <v>3129</v>
      </c>
      <c r="C1163" s="10">
        <v>1168.0</v>
      </c>
      <c r="D1163" s="11" t="s">
        <v>3141</v>
      </c>
      <c r="E1163" s="11" t="s">
        <v>3142</v>
      </c>
      <c r="F1163" s="11" t="s">
        <v>803</v>
      </c>
      <c r="G1163" s="10">
        <v>1167.0</v>
      </c>
      <c r="H1163" s="10">
        <f>VLOOKUP(F1163,'Generos y Familia'!$A$1:$C$623,2,FALSE)</f>
        <v>23</v>
      </c>
      <c r="I1163" s="12" t="str">
        <f t="shared" si="1"/>
        <v>Bejaria aestuans</v>
      </c>
      <c r="J1163" s="10" t="str">
        <f t="shared" si="2"/>
        <v>1167 Bejaria aestuans</v>
      </c>
      <c r="K1163" s="10" t="str">
        <f t="shared" si="3"/>
        <v>Carbonero de Monte; Pegamosco</v>
      </c>
      <c r="L1163" s="10" t="str">
        <f t="shared" si="4"/>
        <v>1167 Carbonero de Monte; Pegamosco</v>
      </c>
      <c r="M1163" s="10" t="s">
        <v>35</v>
      </c>
      <c r="N1163" s="10" t="s">
        <v>36</v>
      </c>
      <c r="O1163" s="10" t="s">
        <v>37</v>
      </c>
      <c r="P1163" s="10" t="s">
        <v>3143</v>
      </c>
      <c r="Q1163" s="13"/>
      <c r="R1163" s="13"/>
      <c r="S1163" s="13"/>
      <c r="T1163" s="13"/>
      <c r="U1163" s="13"/>
      <c r="V1163" s="13"/>
      <c r="W1163" s="13"/>
      <c r="X1163" s="13"/>
    </row>
    <row r="1164" ht="14.25" customHeight="1">
      <c r="A1164" s="10" t="s">
        <v>3128</v>
      </c>
      <c r="B1164" s="10" t="s">
        <v>3129</v>
      </c>
      <c r="C1164" s="10">
        <v>1169.0</v>
      </c>
      <c r="D1164" s="11" t="s">
        <v>3144</v>
      </c>
      <c r="E1164" s="11" t="s">
        <v>3145</v>
      </c>
      <c r="F1164" s="11" t="s">
        <v>498</v>
      </c>
      <c r="G1164" s="10">
        <v>1168.0</v>
      </c>
      <c r="H1164" s="10">
        <f>VLOOKUP(F1164,'Generos y Familia'!$A$1:$C$623,2,FALSE)</f>
        <v>58</v>
      </c>
      <c r="I1164" s="12" t="str">
        <f t="shared" si="1"/>
        <v>Bocconia frutescens</v>
      </c>
      <c r="J1164" s="10" t="str">
        <f t="shared" si="2"/>
        <v>1168 Bocconia frutescens</v>
      </c>
      <c r="K1164" s="10" t="str">
        <f t="shared" si="3"/>
        <v>Trompeto; Curador</v>
      </c>
      <c r="L1164" s="10" t="str">
        <f t="shared" si="4"/>
        <v>1168 Trompeto; Curador</v>
      </c>
      <c r="M1164" s="10" t="s">
        <v>35</v>
      </c>
      <c r="N1164" s="10" t="s">
        <v>36</v>
      </c>
      <c r="O1164" s="10" t="s">
        <v>47</v>
      </c>
      <c r="P1164" s="10" t="s">
        <v>499</v>
      </c>
      <c r="Q1164" s="13">
        <v>10.0</v>
      </c>
      <c r="R1164" s="13" t="s">
        <v>53</v>
      </c>
      <c r="S1164" s="13"/>
      <c r="T1164" s="13"/>
      <c r="U1164" s="13"/>
      <c r="V1164" s="13"/>
      <c r="W1164" s="13"/>
      <c r="X1164" s="13"/>
    </row>
    <row r="1165" ht="14.25" customHeight="1">
      <c r="A1165" s="10" t="s">
        <v>3128</v>
      </c>
      <c r="B1165" s="10" t="s">
        <v>3129</v>
      </c>
      <c r="C1165" s="10">
        <v>1170.0</v>
      </c>
      <c r="D1165" s="11" t="s">
        <v>3146</v>
      </c>
      <c r="E1165" s="11" t="s">
        <v>3147</v>
      </c>
      <c r="F1165" s="11" t="s">
        <v>516</v>
      </c>
      <c r="G1165" s="10">
        <v>1169.0</v>
      </c>
      <c r="H1165" s="10">
        <f>VLOOKUP(F1165,'Generos y Familia'!$A$1:$C$623,2,FALSE)</f>
        <v>50</v>
      </c>
      <c r="I1165" s="12" t="str">
        <f t="shared" si="1"/>
        <v>Bougainvillea sp</v>
      </c>
      <c r="J1165" s="10" t="str">
        <f t="shared" si="2"/>
        <v>1169 Bougainvillea sp</v>
      </c>
      <c r="K1165" s="10" t="str">
        <f t="shared" si="3"/>
        <v>Veranera; Curazao</v>
      </c>
      <c r="L1165" s="10" t="str">
        <f t="shared" si="4"/>
        <v>1169 Veranera; Curazao</v>
      </c>
      <c r="M1165" s="10" t="s">
        <v>46</v>
      </c>
      <c r="N1165" s="10" t="s">
        <v>36</v>
      </c>
      <c r="O1165" s="10" t="s">
        <v>47</v>
      </c>
      <c r="P1165" s="10" t="s">
        <v>517</v>
      </c>
      <c r="Q1165" s="13"/>
      <c r="R1165" s="13"/>
      <c r="S1165" s="13"/>
      <c r="T1165" s="13"/>
      <c r="U1165" s="13"/>
      <c r="V1165" s="13"/>
      <c r="W1165" s="13"/>
      <c r="X1165" s="13"/>
    </row>
    <row r="1166" ht="14.25" customHeight="1">
      <c r="A1166" s="10" t="s">
        <v>3128</v>
      </c>
      <c r="B1166" s="10" t="s">
        <v>3129</v>
      </c>
      <c r="C1166" s="10">
        <v>1171.0</v>
      </c>
      <c r="D1166" s="11" t="s">
        <v>3148</v>
      </c>
      <c r="E1166" s="11" t="s">
        <v>3147</v>
      </c>
      <c r="F1166" s="11" t="s">
        <v>516</v>
      </c>
      <c r="G1166" s="10">
        <v>1170.0</v>
      </c>
      <c r="H1166" s="10">
        <f>VLOOKUP(F1166,'Generos y Familia'!$A$1:$C$623,2,FALSE)</f>
        <v>50</v>
      </c>
      <c r="I1166" s="12" t="str">
        <f t="shared" si="1"/>
        <v>Bougainvillea spectabilis</v>
      </c>
      <c r="J1166" s="10" t="str">
        <f t="shared" si="2"/>
        <v>1170 Bougainvillea spectabilis</v>
      </c>
      <c r="K1166" s="10" t="str">
        <f t="shared" si="3"/>
        <v>Veranera; Curazao</v>
      </c>
      <c r="L1166" s="10" t="str">
        <f t="shared" si="4"/>
        <v>1170 Veranera; Curazao</v>
      </c>
      <c r="M1166" s="10" t="s">
        <v>46</v>
      </c>
      <c r="N1166" s="10" t="s">
        <v>36</v>
      </c>
      <c r="O1166" s="10" t="s">
        <v>47</v>
      </c>
      <c r="P1166" s="10" t="s">
        <v>517</v>
      </c>
      <c r="Q1166" s="13"/>
      <c r="R1166" s="13"/>
      <c r="S1166" s="13"/>
      <c r="T1166" s="13"/>
      <c r="U1166" s="13"/>
      <c r="V1166" s="13"/>
      <c r="W1166" s="13"/>
      <c r="X1166" s="13"/>
    </row>
    <row r="1167" ht="14.25" customHeight="1">
      <c r="A1167" s="10" t="s">
        <v>3128</v>
      </c>
      <c r="B1167" s="10" t="s">
        <v>3129</v>
      </c>
      <c r="C1167" s="10">
        <v>1172.0</v>
      </c>
      <c r="D1167" s="11" t="s">
        <v>3149</v>
      </c>
      <c r="E1167" s="11" t="s">
        <v>3150</v>
      </c>
      <c r="F1167" s="11" t="s">
        <v>103</v>
      </c>
      <c r="G1167" s="10">
        <v>1171.0</v>
      </c>
      <c r="H1167" s="10">
        <f>VLOOKUP(F1167,'Generos y Familia'!$A$1:$C$623,2,FALSE)</f>
        <v>89</v>
      </c>
      <c r="I1167" s="12" t="str">
        <f t="shared" si="1"/>
        <v>Brugmansia candida</v>
      </c>
      <c r="J1167" s="10" t="str">
        <f t="shared" si="2"/>
        <v>1171 Brugmansia candida</v>
      </c>
      <c r="K1167" s="10" t="str">
        <f t="shared" si="3"/>
        <v>Borrachero; Borrachero Blanco</v>
      </c>
      <c r="L1167" s="10" t="str">
        <f t="shared" si="4"/>
        <v>1171 Borrachero; Borrachero Blanco</v>
      </c>
      <c r="M1167" s="10" t="s">
        <v>35</v>
      </c>
      <c r="N1167" s="10" t="s">
        <v>36</v>
      </c>
      <c r="O1167" s="10" t="s">
        <v>47</v>
      </c>
      <c r="P1167" s="10" t="s">
        <v>558</v>
      </c>
      <c r="Q1167" s="13">
        <v>5.0</v>
      </c>
      <c r="R1167" s="13" t="s">
        <v>53</v>
      </c>
      <c r="S1167" s="13"/>
      <c r="T1167" s="13"/>
      <c r="U1167" s="13" t="s">
        <v>40</v>
      </c>
      <c r="V1167" s="13"/>
      <c r="W1167" s="13"/>
      <c r="X1167" s="13"/>
    </row>
    <row r="1168" ht="14.25" customHeight="1">
      <c r="A1168" s="10" t="s">
        <v>3128</v>
      </c>
      <c r="B1168" s="10" t="s">
        <v>3129</v>
      </c>
      <c r="C1168" s="10">
        <v>1173.0</v>
      </c>
      <c r="D1168" s="11" t="s">
        <v>3151</v>
      </c>
      <c r="E1168" s="11" t="s">
        <v>213</v>
      </c>
      <c r="F1168" s="11" t="s">
        <v>3152</v>
      </c>
      <c r="G1168" s="10">
        <v>1172.0</v>
      </c>
      <c r="H1168" s="10">
        <f>VLOOKUP(F1168,'Generos y Familia'!$A$1:$C$623,2,FALSE)</f>
        <v>23</v>
      </c>
      <c r="I1168" s="12" t="str">
        <f t="shared" si="1"/>
        <v>Brunellia sp</v>
      </c>
      <c r="J1168" s="10" t="str">
        <f t="shared" si="2"/>
        <v>1172 Brunellia sp</v>
      </c>
      <c r="K1168" s="10" t="str">
        <f t="shared" si="3"/>
        <v>Cedrillo</v>
      </c>
      <c r="L1168" s="10" t="str">
        <f t="shared" si="4"/>
        <v>1172 Cedrillo</v>
      </c>
      <c r="M1168" s="10" t="s">
        <v>3135</v>
      </c>
      <c r="N1168" s="10" t="s">
        <v>3105</v>
      </c>
      <c r="O1168" s="10" t="s">
        <v>3135</v>
      </c>
      <c r="P1168" s="10" t="s">
        <v>3153</v>
      </c>
      <c r="Q1168" s="13"/>
      <c r="R1168" s="13"/>
      <c r="S1168" s="13"/>
      <c r="T1168" s="13"/>
      <c r="U1168" s="13"/>
      <c r="V1168" s="13"/>
      <c r="W1168" s="13"/>
      <c r="X1168" s="13"/>
    </row>
    <row r="1169" ht="14.25" customHeight="1">
      <c r="A1169" s="10" t="s">
        <v>3128</v>
      </c>
      <c r="B1169" s="10" t="s">
        <v>3129</v>
      </c>
      <c r="C1169" s="10">
        <v>1174.0</v>
      </c>
      <c r="D1169" s="11" t="s">
        <v>3154</v>
      </c>
      <c r="E1169" s="11" t="s">
        <v>3155</v>
      </c>
      <c r="F1169" s="11" t="s">
        <v>103</v>
      </c>
      <c r="G1169" s="10">
        <v>1173.0</v>
      </c>
      <c r="H1169" s="10">
        <f>VLOOKUP(F1169,'Generos y Familia'!$A$1:$C$623,2,FALSE)</f>
        <v>89</v>
      </c>
      <c r="I1169" s="12" t="str">
        <f t="shared" si="1"/>
        <v>Brunfelsia australis</v>
      </c>
      <c r="J1169" s="10" t="str">
        <f t="shared" si="2"/>
        <v>1173 Brunfelsia australis</v>
      </c>
      <c r="K1169" s="10" t="str">
        <f t="shared" si="3"/>
        <v>Francesino; Jazmín de Malabar</v>
      </c>
      <c r="L1169" s="10" t="str">
        <f t="shared" si="4"/>
        <v>1173 Francesino; Jazmín de Malabar</v>
      </c>
      <c r="M1169" s="10" t="s">
        <v>46</v>
      </c>
      <c r="N1169" s="10" t="s">
        <v>36</v>
      </c>
      <c r="O1169" s="10" t="s">
        <v>47</v>
      </c>
      <c r="P1169" s="10" t="s">
        <v>563</v>
      </c>
      <c r="Q1169" s="13"/>
      <c r="R1169" s="13"/>
      <c r="S1169" s="13"/>
      <c r="T1169" s="13"/>
      <c r="U1169" s="13"/>
      <c r="V1169" s="13"/>
      <c r="W1169" s="16"/>
      <c r="X1169" s="13"/>
    </row>
    <row r="1170" ht="14.25" customHeight="1">
      <c r="A1170" s="10" t="s">
        <v>3128</v>
      </c>
      <c r="B1170" s="10" t="s">
        <v>3129</v>
      </c>
      <c r="C1170" s="10">
        <v>1179.0</v>
      </c>
      <c r="D1170" s="11" t="s">
        <v>3156</v>
      </c>
      <c r="E1170" s="11" t="s">
        <v>3157</v>
      </c>
      <c r="F1170" s="11" t="s">
        <v>34</v>
      </c>
      <c r="G1170" s="10">
        <v>1177.0</v>
      </c>
      <c r="H1170" s="10">
        <f>VLOOKUP(F1170,'Generos y Familia'!$A$1:$C$623,2,FALSE)</f>
        <v>27</v>
      </c>
      <c r="I1170" s="12" t="str">
        <f t="shared" si="1"/>
        <v>Cassia sp</v>
      </c>
      <c r="J1170" s="10" t="str">
        <f t="shared" si="2"/>
        <v>1177 Cassia sp</v>
      </c>
      <c r="K1170" s="10" t="str">
        <f t="shared" si="3"/>
        <v>Cañafístula; Acacia</v>
      </c>
      <c r="L1170" s="10" t="str">
        <f t="shared" si="4"/>
        <v>1177 Cañafístula; Acacia</v>
      </c>
      <c r="M1170" s="10" t="s">
        <v>35</v>
      </c>
      <c r="N1170" s="10" t="s">
        <v>36</v>
      </c>
      <c r="O1170" s="10" t="s">
        <v>37</v>
      </c>
      <c r="P1170" s="10" t="s">
        <v>775</v>
      </c>
      <c r="Q1170" s="13"/>
      <c r="R1170" s="13"/>
      <c r="S1170" s="13"/>
      <c r="T1170" s="13"/>
      <c r="U1170" s="13"/>
      <c r="V1170" s="13"/>
      <c r="W1170" s="13"/>
      <c r="X1170" s="13"/>
    </row>
    <row r="1171" ht="14.25" customHeight="1">
      <c r="A1171" s="10" t="s">
        <v>3128</v>
      </c>
      <c r="B1171" s="10" t="s">
        <v>3129</v>
      </c>
      <c r="C1171" s="10">
        <v>1180.0</v>
      </c>
      <c r="D1171" s="11" t="s">
        <v>3158</v>
      </c>
      <c r="E1171" s="11" t="s">
        <v>3159</v>
      </c>
      <c r="F1171" s="11" t="s">
        <v>769</v>
      </c>
      <c r="G1171" s="10">
        <v>1178.0</v>
      </c>
      <c r="H1171" s="10">
        <f>VLOOKUP(F1171,'Generos y Familia'!$A$1:$C$623,2,FALSE)</f>
        <v>80</v>
      </c>
      <c r="I1171" s="12" t="str">
        <f t="shared" si="1"/>
        <v>Citrus limon</v>
      </c>
      <c r="J1171" s="10" t="str">
        <f t="shared" si="2"/>
        <v>1178 Citrus limon</v>
      </c>
      <c r="K1171" s="10" t="str">
        <f t="shared" si="3"/>
        <v>Limón; Limón Dulce</v>
      </c>
      <c r="L1171" s="10" t="str">
        <f t="shared" si="4"/>
        <v>1178 Limón; Limón Dulce</v>
      </c>
      <c r="M1171" s="10" t="s">
        <v>46</v>
      </c>
      <c r="N1171" s="10" t="s">
        <v>36</v>
      </c>
      <c r="O1171" s="10" t="s">
        <v>47</v>
      </c>
      <c r="P1171" s="10" t="s">
        <v>939</v>
      </c>
      <c r="Q1171" s="13">
        <v>6.0</v>
      </c>
      <c r="R1171" s="13" t="s">
        <v>39</v>
      </c>
      <c r="S1171" s="13">
        <v>25.0</v>
      </c>
      <c r="T1171" s="13" t="s">
        <v>39</v>
      </c>
      <c r="U1171" s="13" t="s">
        <v>73</v>
      </c>
      <c r="V1171" s="13"/>
      <c r="W1171" s="13"/>
      <c r="X1171" s="13"/>
    </row>
    <row r="1172" ht="14.25" customHeight="1">
      <c r="A1172" s="10" t="s">
        <v>3128</v>
      </c>
      <c r="B1172" s="10" t="s">
        <v>3129</v>
      </c>
      <c r="C1172" s="10">
        <v>1182.0</v>
      </c>
      <c r="D1172" s="11" t="s">
        <v>3160</v>
      </c>
      <c r="E1172" s="11" t="s">
        <v>3161</v>
      </c>
      <c r="F1172" s="11" t="s">
        <v>984</v>
      </c>
      <c r="G1172" s="10">
        <v>1179.0</v>
      </c>
      <c r="H1172" s="10">
        <f>VLOOKUP(F1172,'Generos y Familia'!$A$1:$C$623,2,FALSE)</f>
        <v>36</v>
      </c>
      <c r="I1172" s="12" t="str">
        <f t="shared" si="1"/>
        <v>Clethra fagifolia</v>
      </c>
      <c r="J1172" s="10" t="str">
        <f t="shared" si="2"/>
        <v>1179 Clethra fagifolia</v>
      </c>
      <c r="K1172" s="10" t="str">
        <f t="shared" si="3"/>
        <v>Chiriguaco; Cargagua; Ahuyamo</v>
      </c>
      <c r="L1172" s="10" t="str">
        <f t="shared" si="4"/>
        <v>1179 Chiriguaco; Cargagua; Ahuyamo</v>
      </c>
      <c r="M1172" s="10" t="s">
        <v>35</v>
      </c>
      <c r="N1172" s="10" t="s">
        <v>36</v>
      </c>
      <c r="O1172" s="10" t="s">
        <v>37</v>
      </c>
      <c r="P1172" s="10" t="s">
        <v>985</v>
      </c>
      <c r="Q1172" s="13"/>
      <c r="R1172" s="13"/>
      <c r="S1172" s="13"/>
      <c r="T1172" s="13"/>
      <c r="U1172" s="13"/>
      <c r="V1172" s="13"/>
      <c r="W1172" s="13"/>
      <c r="X1172" s="13"/>
    </row>
    <row r="1173" ht="14.25" customHeight="1">
      <c r="A1173" s="10" t="s">
        <v>3128</v>
      </c>
      <c r="B1173" s="10" t="s">
        <v>3129</v>
      </c>
      <c r="C1173" s="10">
        <v>1183.0</v>
      </c>
      <c r="D1173" s="11" t="s">
        <v>3162</v>
      </c>
      <c r="E1173" s="11" t="s">
        <v>3163</v>
      </c>
      <c r="F1173" s="11" t="s">
        <v>999</v>
      </c>
      <c r="G1173" s="10">
        <v>1180.0</v>
      </c>
      <c r="H1173" s="10">
        <f>VLOOKUP(F1173,'Generos y Familia'!$A$1:$C$623,2,FALSE)</f>
        <v>37</v>
      </c>
      <c r="I1173" s="12" t="str">
        <f t="shared" si="1"/>
        <v>Clusia ducuoides</v>
      </c>
      <c r="J1173" s="10" t="str">
        <f t="shared" si="2"/>
        <v>1180 Clusia ducuoides</v>
      </c>
      <c r="K1173" s="10" t="str">
        <f t="shared" si="3"/>
        <v>Chagualo; Chagualito</v>
      </c>
      <c r="L1173" s="10" t="str">
        <f t="shared" si="4"/>
        <v>1180 Chagualo; Chagualito</v>
      </c>
      <c r="M1173" s="10" t="s">
        <v>35</v>
      </c>
      <c r="N1173" s="10" t="s">
        <v>36</v>
      </c>
      <c r="O1173" s="10" t="s">
        <v>37</v>
      </c>
      <c r="P1173" s="10" t="s">
        <v>1000</v>
      </c>
      <c r="Q1173" s="13"/>
      <c r="R1173" s="13"/>
      <c r="S1173" s="13"/>
      <c r="T1173" s="13"/>
      <c r="U1173" s="13"/>
      <c r="V1173" s="13"/>
      <c r="W1173" s="13"/>
      <c r="X1173" s="13"/>
    </row>
    <row r="1174" ht="14.25" customHeight="1">
      <c r="A1174" s="10" t="s">
        <v>3128</v>
      </c>
      <c r="B1174" s="10" t="s">
        <v>3129</v>
      </c>
      <c r="C1174" s="10">
        <v>1184.0</v>
      </c>
      <c r="D1174" s="11" t="s">
        <v>3164</v>
      </c>
      <c r="E1174" s="11" t="s">
        <v>998</v>
      </c>
      <c r="F1174" s="11" t="s">
        <v>999</v>
      </c>
      <c r="G1174" s="10">
        <v>1181.0</v>
      </c>
      <c r="H1174" s="10">
        <f>VLOOKUP(F1174,'Generos y Familia'!$A$1:$C$623,2,FALSE)</f>
        <v>37</v>
      </c>
      <c r="I1174" s="12" t="str">
        <f t="shared" si="1"/>
        <v>Clusia trochiformis</v>
      </c>
      <c r="J1174" s="10" t="str">
        <f t="shared" si="2"/>
        <v>1181 Clusia trochiformis</v>
      </c>
      <c r="K1174" s="10" t="str">
        <f t="shared" si="3"/>
        <v>Chagualo</v>
      </c>
      <c r="L1174" s="10" t="str">
        <f t="shared" si="4"/>
        <v>1181 Chagualo</v>
      </c>
      <c r="M1174" s="10" t="s">
        <v>35</v>
      </c>
      <c r="N1174" s="10" t="s">
        <v>36</v>
      </c>
      <c r="O1174" s="10" t="s">
        <v>47</v>
      </c>
      <c r="P1174" s="10" t="s">
        <v>1000</v>
      </c>
      <c r="Q1174" s="13"/>
      <c r="R1174" s="13"/>
      <c r="S1174" s="13"/>
      <c r="T1174" s="13"/>
      <c r="U1174" s="13"/>
      <c r="V1174" s="13"/>
      <c r="W1174" s="13"/>
      <c r="X1174" s="13"/>
    </row>
    <row r="1175" ht="14.25" customHeight="1">
      <c r="A1175" s="10" t="s">
        <v>3128</v>
      </c>
      <c r="B1175" s="10" t="s">
        <v>3129</v>
      </c>
      <c r="C1175" s="10">
        <v>1185.0</v>
      </c>
      <c r="D1175" s="11" t="s">
        <v>3165</v>
      </c>
      <c r="E1175" s="11" t="s">
        <v>3166</v>
      </c>
      <c r="F1175" s="11" t="s">
        <v>310</v>
      </c>
      <c r="G1175" s="10">
        <v>1182.0</v>
      </c>
      <c r="H1175" s="10">
        <f>VLOOKUP(F1175,'Generos y Familia'!$A$1:$C$623,2,FALSE)</f>
        <v>79</v>
      </c>
      <c r="I1175" s="12" t="str">
        <f t="shared" si="1"/>
        <v>Coffea sp</v>
      </c>
      <c r="J1175" s="10" t="str">
        <f t="shared" si="2"/>
        <v>1182 Coffea sp</v>
      </c>
      <c r="K1175" s="10" t="str">
        <f t="shared" si="3"/>
        <v>Café; Cafeto</v>
      </c>
      <c r="L1175" s="10" t="str">
        <f t="shared" si="4"/>
        <v>1182 Café; Cafeto</v>
      </c>
      <c r="M1175" s="10" t="s">
        <v>3135</v>
      </c>
      <c r="N1175" s="10" t="s">
        <v>3105</v>
      </c>
      <c r="O1175" s="10" t="s">
        <v>3135</v>
      </c>
      <c r="P1175" s="10" t="s">
        <v>1037</v>
      </c>
      <c r="Q1175" s="13"/>
      <c r="R1175" s="13"/>
      <c r="S1175" s="13"/>
      <c r="T1175" s="13"/>
      <c r="U1175" s="13"/>
      <c r="V1175" s="13"/>
      <c r="W1175" s="13"/>
      <c r="X1175" s="13"/>
    </row>
    <row r="1176" ht="14.25" customHeight="1">
      <c r="A1176" s="10" t="s">
        <v>3128</v>
      </c>
      <c r="B1176" s="10" t="s">
        <v>3129</v>
      </c>
      <c r="C1176" s="10">
        <v>1186.0</v>
      </c>
      <c r="D1176" s="11" t="s">
        <v>3167</v>
      </c>
      <c r="E1176" s="11" t="s">
        <v>3168</v>
      </c>
      <c r="F1176" s="11" t="s">
        <v>34</v>
      </c>
      <c r="G1176" s="10">
        <v>1183.0</v>
      </c>
      <c r="H1176" s="10">
        <f>VLOOKUP(F1176,'Generos y Familia'!$A$1:$C$623,2,FALSE)</f>
        <v>27</v>
      </c>
      <c r="I1176" s="12" t="str">
        <f t="shared" si="1"/>
        <v>Crotalaria micans</v>
      </c>
      <c r="J1176" s="10" t="str">
        <f t="shared" si="2"/>
        <v>1183 Crotalaria micans</v>
      </c>
      <c r="K1176" s="10" t="str">
        <f t="shared" si="3"/>
        <v>Cascabelito; Guache; Chucho</v>
      </c>
      <c r="L1176" s="10" t="str">
        <f t="shared" si="4"/>
        <v>1183 Cascabelito; Guache; Chucho</v>
      </c>
      <c r="M1176" s="10" t="s">
        <v>46</v>
      </c>
      <c r="N1176" s="10" t="s">
        <v>36</v>
      </c>
      <c r="O1176" s="10" t="s">
        <v>47</v>
      </c>
      <c r="P1176" s="10" t="s">
        <v>3169</v>
      </c>
      <c r="Q1176" s="13"/>
      <c r="R1176" s="13"/>
      <c r="S1176" s="13"/>
      <c r="T1176" s="13"/>
      <c r="U1176" s="13"/>
      <c r="V1176" s="13"/>
      <c r="W1176" s="13"/>
      <c r="X1176" s="13"/>
    </row>
    <row r="1177" ht="14.25" customHeight="1">
      <c r="A1177" s="10" t="s">
        <v>3128</v>
      </c>
      <c r="B1177" s="10" t="s">
        <v>3129</v>
      </c>
      <c r="C1177" s="10">
        <v>1187.0</v>
      </c>
      <c r="D1177" s="11" t="s">
        <v>3170</v>
      </c>
      <c r="E1177" s="11" t="s">
        <v>3171</v>
      </c>
      <c r="F1177" s="11" t="s">
        <v>673</v>
      </c>
      <c r="G1177" s="10">
        <v>1184.0</v>
      </c>
      <c r="H1177" s="10">
        <f>VLOOKUP(F1177,'Generos y Familia'!$A$1:$C$623,2,FALSE)</f>
        <v>45</v>
      </c>
      <c r="I1177" s="12" t="str">
        <f t="shared" si="1"/>
        <v>Cupressus macrocarpa</v>
      </c>
      <c r="J1177" s="10" t="str">
        <f t="shared" si="2"/>
        <v>1184 Cupressus macrocarpa</v>
      </c>
      <c r="K1177" s="10" t="str">
        <f t="shared" si="3"/>
        <v>Ciprés; Pino; Pino Limon</v>
      </c>
      <c r="L1177" s="10" t="str">
        <f t="shared" si="4"/>
        <v>1184 Ciprés; Pino; Pino Limon</v>
      </c>
      <c r="M1177" s="10" t="s">
        <v>46</v>
      </c>
      <c r="N1177" s="10" t="s">
        <v>36</v>
      </c>
      <c r="O1177" s="10" t="s">
        <v>37</v>
      </c>
      <c r="P1177" s="10" t="s">
        <v>1151</v>
      </c>
      <c r="Q1177" s="17" t="s">
        <v>338</v>
      </c>
      <c r="R1177" s="14" t="s">
        <v>39</v>
      </c>
      <c r="S1177" s="17" t="s">
        <v>821</v>
      </c>
      <c r="T1177" s="14" t="s">
        <v>39</v>
      </c>
      <c r="U1177" s="14" t="s">
        <v>55</v>
      </c>
      <c r="V1177" s="14">
        <v>0.48</v>
      </c>
      <c r="W1177" s="18"/>
      <c r="X1177" s="14"/>
    </row>
    <row r="1178" ht="14.25" customHeight="1">
      <c r="A1178" s="10" t="s">
        <v>3128</v>
      </c>
      <c r="B1178" s="10" t="s">
        <v>3129</v>
      </c>
      <c r="C1178" s="10">
        <v>1188.0</v>
      </c>
      <c r="D1178" s="11" t="s">
        <v>3172</v>
      </c>
      <c r="E1178" s="11" t="s">
        <v>3173</v>
      </c>
      <c r="F1178" s="11" t="s">
        <v>1171</v>
      </c>
      <c r="G1178" s="10">
        <v>1185.0</v>
      </c>
      <c r="H1178" s="10">
        <f>VLOOKUP(F1178,'Generos y Familia'!$A$1:$C$623,2,FALSE)</f>
        <v>47</v>
      </c>
      <c r="I1178" s="12" t="str">
        <f t="shared" si="1"/>
        <v>Cycas sp</v>
      </c>
      <c r="J1178" s="10" t="str">
        <f t="shared" si="2"/>
        <v>1185 Cycas sp</v>
      </c>
      <c r="K1178" s="10" t="str">
        <f t="shared" si="3"/>
        <v>Palma Cica; Cyca; Cica; Palma de Sagú</v>
      </c>
      <c r="L1178" s="10" t="str">
        <f t="shared" si="4"/>
        <v>1185 Palma Cica; Cyca; Cica; Palma de Sagú</v>
      </c>
      <c r="M1178" s="10" t="s">
        <v>46</v>
      </c>
      <c r="N1178" s="10" t="s">
        <v>36</v>
      </c>
      <c r="O1178" s="10" t="s">
        <v>117</v>
      </c>
      <c r="P1178" s="10" t="s">
        <v>1175</v>
      </c>
      <c r="Q1178" s="13"/>
      <c r="R1178" s="13"/>
      <c r="S1178" s="13"/>
      <c r="T1178" s="13"/>
      <c r="U1178" s="13"/>
      <c r="V1178" s="13"/>
      <c r="W1178" s="13"/>
      <c r="X1178" s="13"/>
    </row>
    <row r="1179" ht="14.25" customHeight="1">
      <c r="A1179" s="10" t="s">
        <v>3128</v>
      </c>
      <c r="B1179" s="10" t="s">
        <v>3129</v>
      </c>
      <c r="C1179" s="10">
        <v>1189.0</v>
      </c>
      <c r="D1179" s="11" t="s">
        <v>3174</v>
      </c>
      <c r="E1179" s="11" t="s">
        <v>3175</v>
      </c>
      <c r="F1179" s="11" t="s">
        <v>3176</v>
      </c>
      <c r="G1179" s="10">
        <v>1186.0</v>
      </c>
      <c r="H1179" s="10">
        <f>VLOOKUP(F1179,'Generos y Familia'!$A$1:$C$623,2,FALSE)</f>
        <v>93</v>
      </c>
      <c r="I1179" s="12" t="str">
        <f t="shared" si="1"/>
        <v>Daphnopsis caracasana</v>
      </c>
      <c r="J1179" s="10" t="str">
        <f t="shared" si="2"/>
        <v>1186 Daphnopsis caracasana</v>
      </c>
      <c r="K1179" s="10" t="str">
        <f t="shared" si="3"/>
        <v>Guasco; Granado; Mote</v>
      </c>
      <c r="L1179" s="10" t="str">
        <f t="shared" si="4"/>
        <v>1186 Guasco; Granado; Mote</v>
      </c>
      <c r="M1179" s="10" t="s">
        <v>35</v>
      </c>
      <c r="N1179" s="10" t="s">
        <v>36</v>
      </c>
      <c r="O1179" s="10" t="s">
        <v>47</v>
      </c>
      <c r="P1179" s="10" t="s">
        <v>3177</v>
      </c>
      <c r="Q1179" s="13">
        <v>10.0</v>
      </c>
      <c r="R1179" s="13" t="s">
        <v>53</v>
      </c>
      <c r="S1179" s="13"/>
      <c r="T1179" s="13"/>
      <c r="U1179" s="13" t="s">
        <v>55</v>
      </c>
      <c r="V1179" s="13"/>
      <c r="W1179" s="13"/>
      <c r="X1179" s="13"/>
    </row>
    <row r="1180" ht="14.25" customHeight="1">
      <c r="A1180" s="10" t="s">
        <v>3128</v>
      </c>
      <c r="B1180" s="10" t="s">
        <v>3129</v>
      </c>
      <c r="C1180" s="10">
        <v>1190.0</v>
      </c>
      <c r="D1180" s="11" t="s">
        <v>3178</v>
      </c>
      <c r="E1180" s="11" t="s">
        <v>1258</v>
      </c>
      <c r="F1180" s="11" t="s">
        <v>328</v>
      </c>
      <c r="G1180" s="10">
        <v>1187.0</v>
      </c>
      <c r="H1180" s="10">
        <f>VLOOKUP(F1180,'Generos y Familia'!$A$1:$C$623,2,FALSE)</f>
        <v>13</v>
      </c>
      <c r="I1180" s="12" t="str">
        <f t="shared" si="1"/>
        <v>Dombeya cayeuxii</v>
      </c>
      <c r="J1180" s="10" t="str">
        <f t="shared" si="2"/>
        <v>1187 Dombeya cayeuxii</v>
      </c>
      <c r="K1180" s="10" t="str">
        <f t="shared" si="3"/>
        <v>Dombeya</v>
      </c>
      <c r="L1180" s="10" t="str">
        <f t="shared" si="4"/>
        <v>1187 Dombeya</v>
      </c>
      <c r="M1180" s="10" t="s">
        <v>46</v>
      </c>
      <c r="N1180" s="10" t="s">
        <v>36</v>
      </c>
      <c r="O1180" s="10" t="s">
        <v>47</v>
      </c>
      <c r="P1180" s="10" t="s">
        <v>1258</v>
      </c>
      <c r="Q1180" s="13"/>
      <c r="R1180" s="13"/>
      <c r="S1180" s="13"/>
      <c r="T1180" s="13"/>
      <c r="U1180" s="13"/>
      <c r="V1180" s="13"/>
      <c r="W1180" s="13"/>
      <c r="X1180" s="13"/>
    </row>
    <row r="1181" ht="14.25" customHeight="1">
      <c r="A1181" s="10" t="s">
        <v>3128</v>
      </c>
      <c r="B1181" s="10" t="s">
        <v>3129</v>
      </c>
      <c r="C1181" s="10">
        <v>1191.0</v>
      </c>
      <c r="D1181" s="11" t="s">
        <v>3179</v>
      </c>
      <c r="E1181" s="11" t="s">
        <v>3180</v>
      </c>
      <c r="F1181" s="11" t="s">
        <v>3181</v>
      </c>
      <c r="G1181" s="10">
        <v>1188.0</v>
      </c>
      <c r="H1181" s="10">
        <f>VLOOKUP(F1181,'Generos y Familia'!$A$1:$C$623,2,FALSE)</f>
        <v>99</v>
      </c>
      <c r="I1181" s="12" t="str">
        <f t="shared" si="1"/>
        <v>Drimys granadensis</v>
      </c>
      <c r="J1181" s="10" t="str">
        <f t="shared" si="2"/>
        <v>1188 Drimys granadensis</v>
      </c>
      <c r="K1181" s="10" t="str">
        <f t="shared" si="3"/>
        <v>Canelo de Páramo; Ají de Páramo; Canelo</v>
      </c>
      <c r="L1181" s="10" t="str">
        <f t="shared" si="4"/>
        <v>1188 Canelo de Páramo; Ají de Páramo; Canelo</v>
      </c>
      <c r="M1181" s="10" t="s">
        <v>35</v>
      </c>
      <c r="N1181" s="10" t="s">
        <v>36</v>
      </c>
      <c r="O1181" s="10" t="s">
        <v>37</v>
      </c>
      <c r="P1181" s="10" t="s">
        <v>3182</v>
      </c>
      <c r="Q1181" s="13">
        <v>20.0</v>
      </c>
      <c r="R1181" s="13" t="s">
        <v>53</v>
      </c>
      <c r="S1181" s="13"/>
      <c r="T1181" s="13"/>
      <c r="U1181" s="13"/>
      <c r="V1181" s="13"/>
      <c r="W1181" s="13"/>
      <c r="X1181" s="13"/>
    </row>
    <row r="1182" ht="14.25" customHeight="1">
      <c r="A1182" s="10" t="s">
        <v>3128</v>
      </c>
      <c r="B1182" s="10" t="s">
        <v>3129</v>
      </c>
      <c r="C1182" s="10">
        <v>1194.0</v>
      </c>
      <c r="D1182" s="11" t="s">
        <v>3183</v>
      </c>
      <c r="E1182" s="11" t="s">
        <v>3184</v>
      </c>
      <c r="F1182" s="11" t="s">
        <v>34</v>
      </c>
      <c r="G1182" s="10">
        <v>1189.0</v>
      </c>
      <c r="H1182" s="10">
        <f>VLOOKUP(F1182,'Generos y Familia'!$A$1:$C$623,2,FALSE)</f>
        <v>27</v>
      </c>
      <c r="I1182" s="12" t="str">
        <f t="shared" si="1"/>
        <v>Erythrina costaricensis</v>
      </c>
      <c r="J1182" s="10" t="str">
        <f t="shared" si="2"/>
        <v>1189 Erythrina costaricensis</v>
      </c>
      <c r="K1182" s="10" t="str">
        <f t="shared" si="3"/>
        <v>Chocho; Gachingo; Secó</v>
      </c>
      <c r="L1182" s="10" t="str">
        <f t="shared" si="4"/>
        <v>1189 Chocho; Gachingo; Secó</v>
      </c>
      <c r="M1182" s="10" t="s">
        <v>35</v>
      </c>
      <c r="N1182" s="10" t="s">
        <v>36</v>
      </c>
      <c r="O1182" s="10" t="s">
        <v>37</v>
      </c>
      <c r="P1182" s="10" t="s">
        <v>1326</v>
      </c>
      <c r="Q1182" s="13"/>
      <c r="R1182" s="13"/>
      <c r="S1182" s="13"/>
      <c r="T1182" s="13"/>
      <c r="U1182" s="13"/>
      <c r="V1182" s="13"/>
      <c r="W1182" s="13"/>
      <c r="X1182" s="13"/>
    </row>
    <row r="1183" ht="14.25" customHeight="1">
      <c r="A1183" s="10" t="s">
        <v>3128</v>
      </c>
      <c r="B1183" s="10" t="s">
        <v>3129</v>
      </c>
      <c r="C1183" s="10">
        <v>1195.0</v>
      </c>
      <c r="D1183" s="11" t="s">
        <v>3185</v>
      </c>
      <c r="E1183" s="11" t="s">
        <v>3186</v>
      </c>
      <c r="F1183" s="11" t="s">
        <v>1349</v>
      </c>
      <c r="G1183" s="10">
        <v>1190.0</v>
      </c>
      <c r="H1183" s="10">
        <f>VLOOKUP(F1183,'Generos y Familia'!$A$1:$C$623,2,FALSE)</f>
        <v>25</v>
      </c>
      <c r="I1183" s="12" t="str">
        <f t="shared" si="1"/>
        <v>Escallonia paniculata</v>
      </c>
      <c r="J1183" s="10" t="str">
        <f t="shared" si="2"/>
        <v>1190 Escallonia paniculata</v>
      </c>
      <c r="K1183" s="10" t="str">
        <f t="shared" si="3"/>
        <v>Chilco Colorado; Chilco; Carbón; Tíbar</v>
      </c>
      <c r="L1183" s="10" t="str">
        <f t="shared" si="4"/>
        <v>1190 Chilco Colorado; Chilco; Carbón; Tíbar</v>
      </c>
      <c r="M1183" s="10" t="s">
        <v>35</v>
      </c>
      <c r="N1183" s="10" t="s">
        <v>36</v>
      </c>
      <c r="O1183" s="10" t="s">
        <v>37</v>
      </c>
      <c r="P1183" s="10" t="s">
        <v>1350</v>
      </c>
      <c r="Q1183" s="17" t="s">
        <v>145</v>
      </c>
      <c r="R1183" s="14" t="s">
        <v>53</v>
      </c>
      <c r="S1183" s="17" t="s">
        <v>1351</v>
      </c>
      <c r="T1183" s="14" t="s">
        <v>39</v>
      </c>
      <c r="U1183" s="14" t="s">
        <v>40</v>
      </c>
      <c r="V1183" s="14"/>
      <c r="W1183" s="18"/>
      <c r="X1183" s="14"/>
    </row>
    <row r="1184" ht="14.25" customHeight="1">
      <c r="A1184" s="10" t="s">
        <v>3128</v>
      </c>
      <c r="B1184" s="10" t="s">
        <v>3129</v>
      </c>
      <c r="C1184" s="10">
        <v>1196.0</v>
      </c>
      <c r="D1184" s="11" t="s">
        <v>3187</v>
      </c>
      <c r="E1184" s="11" t="s">
        <v>3188</v>
      </c>
      <c r="F1184" s="11" t="s">
        <v>95</v>
      </c>
      <c r="G1184" s="10">
        <v>1191.0</v>
      </c>
      <c r="H1184" s="10">
        <f>VLOOKUP(F1184,'Generos y Familia'!$A$1:$C$623,2,FALSE)</f>
        <v>49</v>
      </c>
      <c r="I1184" s="12" t="str">
        <f t="shared" si="1"/>
        <v>Eugenia sp</v>
      </c>
      <c r="J1184" s="10" t="str">
        <f t="shared" si="2"/>
        <v>1191 Eugenia sp</v>
      </c>
      <c r="K1184" s="10" t="str">
        <f t="shared" si="3"/>
        <v>Eugenia; Grosello</v>
      </c>
      <c r="L1184" s="10" t="str">
        <f t="shared" si="4"/>
        <v>1191 Eugenia; Grosello</v>
      </c>
      <c r="M1184" s="10" t="s">
        <v>3135</v>
      </c>
      <c r="N1184" s="10" t="s">
        <v>3105</v>
      </c>
      <c r="O1184" s="10" t="s">
        <v>3135</v>
      </c>
      <c r="P1184" s="10" t="s">
        <v>1385</v>
      </c>
      <c r="Q1184" s="17" t="s">
        <v>3189</v>
      </c>
      <c r="R1184" s="14" t="s">
        <v>53</v>
      </c>
      <c r="S1184" s="17" t="s">
        <v>54</v>
      </c>
      <c r="T1184" s="14"/>
      <c r="U1184" s="14" t="s">
        <v>40</v>
      </c>
      <c r="V1184" s="14"/>
      <c r="W1184" s="18"/>
      <c r="X1184" s="14" t="s">
        <v>41</v>
      </c>
    </row>
    <row r="1185" ht="14.25" customHeight="1">
      <c r="A1185" s="10" t="s">
        <v>3128</v>
      </c>
      <c r="B1185" s="10" t="s">
        <v>3129</v>
      </c>
      <c r="C1185" s="10">
        <v>1198.0</v>
      </c>
      <c r="D1185" s="11" t="s">
        <v>3190</v>
      </c>
      <c r="E1185" s="11" t="s">
        <v>3191</v>
      </c>
      <c r="F1185" s="11" t="s">
        <v>365</v>
      </c>
      <c r="G1185" s="10">
        <v>1193.0</v>
      </c>
      <c r="H1185" s="10">
        <f>VLOOKUP(F1185,'Generos y Familia'!$A$1:$C$623,2,FALSE)</f>
        <v>43</v>
      </c>
      <c r="I1185" s="12" t="str">
        <f t="shared" si="1"/>
        <v>Ficus cyathistipula</v>
      </c>
      <c r="J1185" s="10" t="str">
        <f t="shared" si="2"/>
        <v>1193 Ficus cyathistipula</v>
      </c>
      <c r="K1185" s="10" t="str">
        <f t="shared" si="3"/>
        <v>Ficus Bomba</v>
      </c>
      <c r="L1185" s="10" t="str">
        <f t="shared" si="4"/>
        <v>1193 Ficus Bomba</v>
      </c>
      <c r="M1185" s="10" t="s">
        <v>46</v>
      </c>
      <c r="N1185" s="10" t="s">
        <v>36</v>
      </c>
      <c r="O1185" s="10" t="s">
        <v>47</v>
      </c>
      <c r="P1185" s="10" t="s">
        <v>158</v>
      </c>
      <c r="Q1185" s="13">
        <v>7.0</v>
      </c>
      <c r="R1185" s="13" t="s">
        <v>53</v>
      </c>
      <c r="S1185" s="13"/>
      <c r="T1185" s="13"/>
      <c r="U1185" s="13" t="s">
        <v>40</v>
      </c>
      <c r="V1185" s="13"/>
      <c r="W1185" s="13"/>
      <c r="X1185" s="13"/>
    </row>
    <row r="1186" ht="14.25" customHeight="1">
      <c r="A1186" s="10" t="s">
        <v>3128</v>
      </c>
      <c r="B1186" s="10" t="s">
        <v>3129</v>
      </c>
      <c r="C1186" s="10">
        <v>1199.0</v>
      </c>
      <c r="D1186" s="11" t="s">
        <v>45</v>
      </c>
      <c r="E1186" s="11" t="s">
        <v>3192</v>
      </c>
      <c r="F1186" s="11" t="s">
        <v>45</v>
      </c>
      <c r="G1186" s="10">
        <v>1194.0</v>
      </c>
      <c r="H1186" s="10">
        <f>VLOOKUP(F1186,'Generos y Familia'!$A$1:$C$623,2,FALSE)</f>
        <v>40</v>
      </c>
      <c r="I1186" s="12" t="str">
        <f t="shared" si="1"/>
        <v>Malvaceae</v>
      </c>
      <c r="J1186" s="10" t="str">
        <f t="shared" si="2"/>
        <v>1194 Malvaceae</v>
      </c>
      <c r="K1186" s="10" t="str">
        <f t="shared" si="3"/>
        <v>Caucho; Higuerón</v>
      </c>
      <c r="L1186" s="10" t="str">
        <f t="shared" si="4"/>
        <v>1194 Caucho; Higuerón</v>
      </c>
      <c r="M1186" s="10" t="s">
        <v>35</v>
      </c>
      <c r="N1186" s="10" t="s">
        <v>36</v>
      </c>
      <c r="O1186" s="10" t="s">
        <v>37</v>
      </c>
      <c r="P1186" s="10" t="s">
        <v>45</v>
      </c>
      <c r="Q1186" s="13"/>
      <c r="R1186" s="13"/>
      <c r="S1186" s="13"/>
      <c r="T1186" s="13"/>
      <c r="U1186" s="13"/>
      <c r="V1186" s="13"/>
      <c r="W1186" s="13"/>
      <c r="X1186" s="13"/>
    </row>
    <row r="1187" ht="14.25" customHeight="1">
      <c r="A1187" s="10" t="s">
        <v>3128</v>
      </c>
      <c r="B1187" s="10" t="s">
        <v>3129</v>
      </c>
      <c r="C1187" s="10">
        <v>1200.0</v>
      </c>
      <c r="D1187" s="11" t="s">
        <v>95</v>
      </c>
      <c r="E1187" s="11" t="s">
        <v>3193</v>
      </c>
      <c r="F1187" s="11" t="s">
        <v>95</v>
      </c>
      <c r="G1187" s="10">
        <v>1195.0</v>
      </c>
      <c r="H1187" s="10">
        <f>VLOOKUP(F1187,'Generos y Familia'!$A$1:$C$623,2,FALSE)</f>
        <v>49</v>
      </c>
      <c r="I1187" s="12" t="str">
        <f t="shared" si="1"/>
        <v>Myrtaceae</v>
      </c>
      <c r="J1187" s="10" t="str">
        <f t="shared" si="2"/>
        <v>1195 Myrtaceae</v>
      </c>
      <c r="K1187" s="10" t="str">
        <f t="shared" si="3"/>
        <v>Cerezo de Monte</v>
      </c>
      <c r="L1187" s="10" t="str">
        <f t="shared" si="4"/>
        <v>1195 Cerezo de Monte</v>
      </c>
      <c r="M1187" s="10" t="s">
        <v>3135</v>
      </c>
      <c r="N1187" s="10" t="s">
        <v>3105</v>
      </c>
      <c r="O1187" s="10" t="s">
        <v>3135</v>
      </c>
      <c r="P1187" s="10" t="s">
        <v>95</v>
      </c>
      <c r="Q1187" s="13"/>
      <c r="R1187" s="13"/>
      <c r="S1187" s="13"/>
      <c r="T1187" s="13"/>
      <c r="U1187" s="13"/>
      <c r="V1187" s="13"/>
      <c r="W1187" s="13"/>
      <c r="X1187" s="13"/>
    </row>
    <row r="1188" ht="14.25" customHeight="1">
      <c r="A1188" s="10" t="s">
        <v>3128</v>
      </c>
      <c r="B1188" s="10" t="s">
        <v>3129</v>
      </c>
      <c r="C1188" s="10">
        <v>1201.0</v>
      </c>
      <c r="D1188" s="11" t="s">
        <v>3194</v>
      </c>
      <c r="E1188" s="11" t="s">
        <v>3195</v>
      </c>
      <c r="F1188" s="11" t="s">
        <v>148</v>
      </c>
      <c r="G1188" s="10">
        <v>1196.0</v>
      </c>
      <c r="H1188" s="10">
        <f>VLOOKUP(F1188,'Generos y Familia'!$A$1:$C$623,2,FALSE)</f>
        <v>15</v>
      </c>
      <c r="I1188" s="12" t="str">
        <f t="shared" si="1"/>
        <v>Fucraea sp</v>
      </c>
      <c r="J1188" s="10" t="str">
        <f t="shared" si="2"/>
        <v>1196 Fucraea sp</v>
      </c>
      <c r="K1188" s="10" t="str">
        <f t="shared" si="3"/>
        <v>Fique</v>
      </c>
      <c r="L1188" s="10" t="str">
        <f t="shared" si="4"/>
        <v>1196 Fique</v>
      </c>
      <c r="M1188" s="10" t="s">
        <v>3135</v>
      </c>
      <c r="N1188" s="10" t="s">
        <v>3105</v>
      </c>
      <c r="O1188" s="10" t="s">
        <v>3135</v>
      </c>
      <c r="P1188" s="10" t="s">
        <v>498</v>
      </c>
      <c r="Q1188" s="13"/>
      <c r="R1188" s="13"/>
      <c r="S1188" s="13"/>
      <c r="T1188" s="13"/>
      <c r="U1188" s="13"/>
      <c r="V1188" s="13"/>
      <c r="W1188" s="13"/>
      <c r="X1188" s="13"/>
    </row>
    <row r="1189" ht="14.25" customHeight="1">
      <c r="A1189" s="10" t="s">
        <v>3128</v>
      </c>
      <c r="B1189" s="10" t="s">
        <v>3129</v>
      </c>
      <c r="C1189" s="10">
        <v>1202.0</v>
      </c>
      <c r="D1189" s="11" t="s">
        <v>3196</v>
      </c>
      <c r="E1189" s="11" t="s">
        <v>3197</v>
      </c>
      <c r="F1189" s="11" t="s">
        <v>148</v>
      </c>
      <c r="G1189" s="10">
        <v>1197.0</v>
      </c>
      <c r="H1189" s="10">
        <f>VLOOKUP(F1189,'Generos y Familia'!$A$1:$C$623,2,FALSE)</f>
        <v>15</v>
      </c>
      <c r="I1189" s="12" t="str">
        <f t="shared" si="1"/>
        <v>Furcraea andina</v>
      </c>
      <c r="J1189" s="10" t="str">
        <f t="shared" si="2"/>
        <v>1197 Furcraea andina</v>
      </c>
      <c r="K1189" s="10" t="str">
        <f t="shared" si="3"/>
        <v>Fique; Cabuya; Maguey</v>
      </c>
      <c r="L1189" s="10" t="str">
        <f t="shared" si="4"/>
        <v>1197 Fique; Cabuya; Maguey</v>
      </c>
      <c r="M1189" s="10" t="s">
        <v>35</v>
      </c>
      <c r="N1189" s="10" t="s">
        <v>36</v>
      </c>
      <c r="O1189" s="10" t="s">
        <v>149</v>
      </c>
      <c r="P1189" s="10" t="s">
        <v>2400</v>
      </c>
      <c r="Q1189" s="13"/>
      <c r="R1189" s="13"/>
      <c r="S1189" s="13"/>
      <c r="T1189" s="13"/>
      <c r="U1189" s="13"/>
      <c r="V1189" s="13"/>
      <c r="W1189" s="13"/>
      <c r="X1189" s="13"/>
    </row>
    <row r="1190" ht="14.25" customHeight="1">
      <c r="A1190" s="10" t="s">
        <v>3128</v>
      </c>
      <c r="B1190" s="10" t="s">
        <v>3129</v>
      </c>
      <c r="C1190" s="10">
        <v>1203.0</v>
      </c>
      <c r="D1190" s="11" t="s">
        <v>3198</v>
      </c>
      <c r="E1190" s="11" t="s">
        <v>3199</v>
      </c>
      <c r="F1190" s="11" t="s">
        <v>132</v>
      </c>
      <c r="G1190" s="10">
        <v>1198.0</v>
      </c>
      <c r="H1190" s="10">
        <f>VLOOKUP(F1190,'Generos y Familia'!$A$1:$C$623,2,FALSE)</f>
        <v>74</v>
      </c>
      <c r="I1190" s="12" t="str">
        <f t="shared" si="1"/>
        <v>Geissanthus kalbreyeri</v>
      </c>
      <c r="J1190" s="10" t="str">
        <f t="shared" si="2"/>
        <v>1198 Geissanthus kalbreyeri</v>
      </c>
      <c r="K1190" s="10" t="str">
        <f t="shared" si="3"/>
        <v>Colorado; Cucharo</v>
      </c>
      <c r="L1190" s="10" t="str">
        <f t="shared" si="4"/>
        <v>1198 Colorado; Cucharo</v>
      </c>
      <c r="M1190" s="10" t="s">
        <v>35</v>
      </c>
      <c r="N1190" s="10" t="s">
        <v>36</v>
      </c>
      <c r="O1190" s="10" t="s">
        <v>37</v>
      </c>
      <c r="P1190" s="10" t="s">
        <v>1105</v>
      </c>
      <c r="Q1190" s="13"/>
      <c r="R1190" s="13"/>
      <c r="S1190" s="13"/>
      <c r="T1190" s="13"/>
      <c r="U1190" s="13"/>
      <c r="V1190" s="13"/>
      <c r="W1190" s="13"/>
      <c r="X1190" s="13"/>
    </row>
    <row r="1191" ht="14.25" customHeight="1">
      <c r="A1191" s="10" t="s">
        <v>3128</v>
      </c>
      <c r="B1191" s="10" t="s">
        <v>3129</v>
      </c>
      <c r="C1191" s="10">
        <v>1204.0</v>
      </c>
      <c r="D1191" s="11" t="s">
        <v>310</v>
      </c>
      <c r="E1191" s="11" t="s">
        <v>3200</v>
      </c>
      <c r="F1191" s="11" t="s">
        <v>310</v>
      </c>
      <c r="G1191" s="10">
        <v>1199.0</v>
      </c>
      <c r="H1191" s="10">
        <f>VLOOKUP(F1191,'Generos y Familia'!$A$1:$C$623,2,FALSE)</f>
        <v>79</v>
      </c>
      <c r="I1191" s="12" t="str">
        <f t="shared" si="1"/>
        <v>Rubiaceae</v>
      </c>
      <c r="J1191" s="10" t="str">
        <f t="shared" si="2"/>
        <v>1199 Rubiaceae</v>
      </c>
      <c r="K1191" s="10" t="str">
        <f t="shared" si="3"/>
        <v>Caunce; Floramarillo</v>
      </c>
      <c r="L1191" s="10" t="str">
        <f t="shared" si="4"/>
        <v>1199 Caunce; Floramarillo</v>
      </c>
      <c r="M1191" s="10" t="s">
        <v>35</v>
      </c>
      <c r="N1191" s="10" t="s">
        <v>36</v>
      </c>
      <c r="O1191" s="10" t="s">
        <v>37</v>
      </c>
      <c r="P1191" s="10" t="s">
        <v>310</v>
      </c>
      <c r="Q1191" s="13"/>
      <c r="R1191" s="13"/>
      <c r="S1191" s="13"/>
      <c r="T1191" s="13"/>
      <c r="U1191" s="13"/>
      <c r="V1191" s="13"/>
      <c r="W1191" s="13"/>
      <c r="X1191" s="13"/>
    </row>
    <row r="1192" ht="14.25" customHeight="1">
      <c r="A1192" s="10" t="s">
        <v>3128</v>
      </c>
      <c r="B1192" s="10" t="s">
        <v>3129</v>
      </c>
      <c r="C1192" s="10">
        <v>1205.0</v>
      </c>
      <c r="D1192" s="11" t="s">
        <v>762</v>
      </c>
      <c r="E1192" s="11" t="s">
        <v>3201</v>
      </c>
      <c r="F1192" s="11" t="s">
        <v>762</v>
      </c>
      <c r="G1192" s="10">
        <v>1200.0</v>
      </c>
      <c r="H1192" s="10">
        <f>VLOOKUP(F1192,'Generos y Familia'!$A$1:$C$623,2,FALSE)</f>
        <v>82</v>
      </c>
      <c r="I1192" s="12" t="str">
        <f t="shared" si="1"/>
        <v>Salicaceae</v>
      </c>
      <c r="J1192" s="10" t="str">
        <f t="shared" si="2"/>
        <v>1200 Salicaceae</v>
      </c>
      <c r="K1192" s="10" t="str">
        <f t="shared" si="3"/>
        <v>Cargadero; Cargadera; Garrapato</v>
      </c>
      <c r="L1192" s="10" t="str">
        <f t="shared" si="4"/>
        <v>1200 Cargadero; Cargadera; Garrapato</v>
      </c>
      <c r="M1192" s="10" t="s">
        <v>35</v>
      </c>
      <c r="N1192" s="10" t="s">
        <v>36</v>
      </c>
      <c r="O1192" s="10" t="s">
        <v>37</v>
      </c>
      <c r="P1192" s="10" t="s">
        <v>762</v>
      </c>
      <c r="Q1192" s="13"/>
      <c r="R1192" s="13"/>
      <c r="S1192" s="13"/>
      <c r="T1192" s="13"/>
      <c r="U1192" s="13"/>
      <c r="V1192" s="13"/>
      <c r="W1192" s="13"/>
      <c r="X1192" s="13"/>
    </row>
    <row r="1193" ht="14.25" customHeight="1">
      <c r="A1193" s="10" t="s">
        <v>3128</v>
      </c>
      <c r="B1193" s="10" t="s">
        <v>3129</v>
      </c>
      <c r="C1193" s="10">
        <v>1206.0</v>
      </c>
      <c r="D1193" s="11" t="s">
        <v>918</v>
      </c>
      <c r="E1193" s="11" t="s">
        <v>3202</v>
      </c>
      <c r="F1193" s="11" t="s">
        <v>762</v>
      </c>
      <c r="G1193" s="10">
        <v>1201.0</v>
      </c>
      <c r="H1193" s="10">
        <f>VLOOKUP(F1193,'Generos y Familia'!$A$1:$C$623,2,FALSE)</f>
        <v>82</v>
      </c>
      <c r="I1193" s="12" t="str">
        <f t="shared" si="1"/>
        <v>Sapotaceae</v>
      </c>
      <c r="J1193" s="10" t="str">
        <f t="shared" si="2"/>
        <v>1201 Sapotaceae</v>
      </c>
      <c r="K1193" s="10" t="str">
        <f t="shared" si="3"/>
        <v>Lechero</v>
      </c>
      <c r="L1193" s="10" t="str">
        <f t="shared" si="4"/>
        <v>1201 Lechero</v>
      </c>
      <c r="M1193" s="10" t="s">
        <v>35</v>
      </c>
      <c r="N1193" s="10" t="s">
        <v>36</v>
      </c>
      <c r="O1193" s="10" t="s">
        <v>37</v>
      </c>
      <c r="P1193" s="10" t="s">
        <v>918</v>
      </c>
      <c r="Q1193" s="13"/>
      <c r="R1193" s="13"/>
      <c r="S1193" s="13"/>
      <c r="T1193" s="13"/>
      <c r="U1193" s="13"/>
      <c r="V1193" s="13"/>
      <c r="W1193" s="13"/>
      <c r="X1193" s="13"/>
    </row>
    <row r="1194" ht="14.25" customHeight="1">
      <c r="A1194" s="10" t="s">
        <v>3128</v>
      </c>
      <c r="B1194" s="10" t="s">
        <v>3129</v>
      </c>
      <c r="C1194" s="10">
        <v>1207.0</v>
      </c>
      <c r="D1194" s="11" t="s">
        <v>103</v>
      </c>
      <c r="E1194" s="11" t="s">
        <v>3203</v>
      </c>
      <c r="F1194" s="11" t="s">
        <v>103</v>
      </c>
      <c r="G1194" s="10">
        <v>1202.0</v>
      </c>
      <c r="H1194" s="10">
        <f>VLOOKUP(F1194,'Generos y Familia'!$A$1:$C$623,2,FALSE)</f>
        <v>89</v>
      </c>
      <c r="I1194" s="12" t="str">
        <f t="shared" si="1"/>
        <v>Solanaceae</v>
      </c>
      <c r="J1194" s="10" t="str">
        <f t="shared" si="2"/>
        <v>1202 Solanaceae</v>
      </c>
      <c r="K1194" s="10" t="str">
        <f t="shared" si="3"/>
        <v>Balso Blanco; Balso; Pestaña de Mula</v>
      </c>
      <c r="L1194" s="10" t="str">
        <f t="shared" si="4"/>
        <v>1202 Balso Blanco; Balso; Pestaña de Mula</v>
      </c>
      <c r="M1194" s="10" t="s">
        <v>35</v>
      </c>
      <c r="N1194" s="10" t="s">
        <v>36</v>
      </c>
      <c r="O1194" s="10" t="s">
        <v>37</v>
      </c>
      <c r="P1194" s="10" t="s">
        <v>103</v>
      </c>
      <c r="Q1194" s="13"/>
      <c r="R1194" s="13"/>
      <c r="S1194" s="13"/>
      <c r="T1194" s="13"/>
      <c r="U1194" s="13"/>
      <c r="V1194" s="13"/>
      <c r="W1194" s="13"/>
      <c r="X1194" s="13"/>
    </row>
    <row r="1195" ht="14.25" customHeight="1">
      <c r="A1195" s="10" t="s">
        <v>3128</v>
      </c>
      <c r="B1195" s="10" t="s">
        <v>3129</v>
      </c>
      <c r="C1195" s="10">
        <v>1208.0</v>
      </c>
      <c r="D1195" s="11" t="s">
        <v>227</v>
      </c>
      <c r="E1195" s="11" t="s">
        <v>285</v>
      </c>
      <c r="F1195" s="11" t="s">
        <v>227</v>
      </c>
      <c r="G1195" s="10">
        <v>1203.0</v>
      </c>
      <c r="H1195" s="10">
        <f>VLOOKUP(F1195,'Generos y Familia'!$A$1:$C$623,2,FALSE)</f>
        <v>96</v>
      </c>
      <c r="I1195" s="12" t="str">
        <f t="shared" si="1"/>
        <v>Verbenaceae</v>
      </c>
      <c r="J1195" s="10" t="str">
        <f t="shared" si="2"/>
        <v>1203 Verbenaceae</v>
      </c>
      <c r="K1195" s="10" t="str">
        <f t="shared" si="3"/>
        <v>Majagua</v>
      </c>
      <c r="L1195" s="10" t="str">
        <f t="shared" si="4"/>
        <v>1203 Majagua</v>
      </c>
      <c r="M1195" s="10" t="s">
        <v>3135</v>
      </c>
      <c r="N1195" s="10" t="s">
        <v>3105</v>
      </c>
      <c r="O1195" s="10" t="s">
        <v>3135</v>
      </c>
      <c r="P1195" s="10" t="s">
        <v>227</v>
      </c>
      <c r="Q1195" s="13"/>
      <c r="R1195" s="13"/>
      <c r="S1195" s="13"/>
      <c r="T1195" s="13"/>
      <c r="U1195" s="13"/>
      <c r="V1195" s="13"/>
      <c r="W1195" s="13"/>
      <c r="X1195" s="13"/>
    </row>
    <row r="1196" ht="14.25" customHeight="1">
      <c r="A1196" s="10" t="s">
        <v>3128</v>
      </c>
      <c r="B1196" s="10" t="s">
        <v>3129</v>
      </c>
      <c r="C1196" s="10">
        <v>1209.0</v>
      </c>
      <c r="D1196" s="11" t="s">
        <v>3204</v>
      </c>
      <c r="E1196" s="11" t="s">
        <v>3205</v>
      </c>
      <c r="F1196" s="11" t="s">
        <v>480</v>
      </c>
      <c r="G1196" s="10">
        <v>1204.0</v>
      </c>
      <c r="H1196" s="10">
        <f>VLOOKUP(F1196,'Generos y Familia'!$A$1:$C$623,2,FALSE)</f>
        <v>64</v>
      </c>
      <c r="I1196" s="12" t="str">
        <f t="shared" si="1"/>
        <v>Hieronyma antioquensis</v>
      </c>
      <c r="J1196" s="10" t="str">
        <f t="shared" si="2"/>
        <v>1204 Hieronyma antioquensis</v>
      </c>
      <c r="K1196" s="10" t="str">
        <f t="shared" si="3"/>
        <v>Candelo; Motilon</v>
      </c>
      <c r="L1196" s="10" t="str">
        <f t="shared" si="4"/>
        <v>1204 Candelo; Motilon</v>
      </c>
      <c r="M1196" s="10" t="s">
        <v>35</v>
      </c>
      <c r="N1196" s="10" t="s">
        <v>36</v>
      </c>
      <c r="O1196" s="10" t="s">
        <v>37</v>
      </c>
      <c r="P1196" s="10" t="s">
        <v>1638</v>
      </c>
      <c r="Q1196" s="13"/>
      <c r="R1196" s="13"/>
      <c r="S1196" s="13"/>
      <c r="T1196" s="13"/>
      <c r="U1196" s="13"/>
      <c r="V1196" s="13"/>
      <c r="W1196" s="13"/>
      <c r="X1196" s="13"/>
    </row>
    <row r="1197" ht="14.25" customHeight="1">
      <c r="A1197" s="10" t="s">
        <v>3128</v>
      </c>
      <c r="B1197" s="10" t="s">
        <v>3129</v>
      </c>
      <c r="C1197" s="10">
        <v>1210.0</v>
      </c>
      <c r="D1197" s="11" t="s">
        <v>3206</v>
      </c>
      <c r="E1197" s="11" t="s">
        <v>1669</v>
      </c>
      <c r="F1197" s="11" t="s">
        <v>1670</v>
      </c>
      <c r="G1197" s="10">
        <v>1205.0</v>
      </c>
      <c r="H1197" s="10">
        <f>VLOOKUP(F1197,'Generos y Familia'!$A$1:$C$623,2,FALSE)</f>
        <v>10</v>
      </c>
      <c r="I1197" s="12" t="str">
        <f t="shared" si="1"/>
        <v>Ilex danielis</v>
      </c>
      <c r="J1197" s="10" t="str">
        <f t="shared" si="2"/>
        <v>1205 Ilex danielis</v>
      </c>
      <c r="K1197" s="10" t="str">
        <f t="shared" si="3"/>
        <v>Cardenillo</v>
      </c>
      <c r="L1197" s="10" t="str">
        <f t="shared" si="4"/>
        <v>1205 Cardenillo</v>
      </c>
      <c r="M1197" s="10" t="s">
        <v>46</v>
      </c>
      <c r="N1197" s="10" t="s">
        <v>36</v>
      </c>
      <c r="O1197" s="10" t="s">
        <v>47</v>
      </c>
      <c r="P1197" s="10" t="s">
        <v>1671</v>
      </c>
      <c r="Q1197" s="13"/>
      <c r="R1197" s="13"/>
      <c r="S1197" s="13"/>
      <c r="T1197" s="13"/>
      <c r="U1197" s="13"/>
      <c r="V1197" s="13"/>
      <c r="W1197" s="13"/>
      <c r="X1197" s="13"/>
    </row>
    <row r="1198" ht="14.25" customHeight="1">
      <c r="A1198" s="10" t="s">
        <v>3128</v>
      </c>
      <c r="B1198" s="10" t="s">
        <v>3129</v>
      </c>
      <c r="C1198" s="10">
        <v>1211.0</v>
      </c>
      <c r="D1198" s="11" t="s">
        <v>3207</v>
      </c>
      <c r="E1198" s="11" t="s">
        <v>3208</v>
      </c>
      <c r="F1198" s="11" t="s">
        <v>1670</v>
      </c>
      <c r="G1198" s="10">
        <v>1206.0</v>
      </c>
      <c r="H1198" s="10">
        <f>VLOOKUP(F1198,'Generos y Familia'!$A$1:$C$623,2,FALSE)</f>
        <v>10</v>
      </c>
      <c r="I1198" s="12" t="str">
        <f t="shared" si="1"/>
        <v>Ilex laurina</v>
      </c>
      <c r="J1198" s="10" t="str">
        <f t="shared" si="2"/>
        <v>1206 Ilex laurina</v>
      </c>
      <c r="K1198" s="10" t="str">
        <f t="shared" si="3"/>
        <v>Cardenillo; Piedro; Algodón</v>
      </c>
      <c r="L1198" s="10" t="str">
        <f t="shared" si="4"/>
        <v>1206 Cardenillo; Piedro; Algodón</v>
      </c>
      <c r="M1198" s="10" t="s">
        <v>46</v>
      </c>
      <c r="N1198" s="10" t="s">
        <v>36</v>
      </c>
      <c r="O1198" s="10" t="s">
        <v>47</v>
      </c>
      <c r="P1198" s="10" t="s">
        <v>1671</v>
      </c>
      <c r="Q1198" s="13"/>
      <c r="R1198" s="13"/>
      <c r="S1198" s="13"/>
      <c r="T1198" s="13"/>
      <c r="U1198" s="13"/>
      <c r="V1198" s="13"/>
      <c r="W1198" s="13"/>
      <c r="X1198" s="13"/>
    </row>
    <row r="1199" ht="14.25" customHeight="1">
      <c r="A1199" s="10" t="s">
        <v>3128</v>
      </c>
      <c r="B1199" s="10" t="s">
        <v>3129</v>
      </c>
      <c r="C1199" s="10">
        <v>1212.0</v>
      </c>
      <c r="D1199" s="11" t="s">
        <v>3209</v>
      </c>
      <c r="E1199" s="11" t="s">
        <v>3210</v>
      </c>
      <c r="F1199" s="11" t="s">
        <v>34</v>
      </c>
      <c r="G1199" s="10">
        <v>1207.0</v>
      </c>
      <c r="H1199" s="10">
        <f>VLOOKUP(F1199,'Generos y Familia'!$A$1:$C$623,2,FALSE)</f>
        <v>27</v>
      </c>
      <c r="I1199" s="12" t="str">
        <f t="shared" si="1"/>
        <v>Inga capitata</v>
      </c>
      <c r="J1199" s="10" t="str">
        <f t="shared" si="2"/>
        <v>1207 Inga capitata</v>
      </c>
      <c r="K1199" s="10" t="str">
        <f t="shared" si="3"/>
        <v>Guamo; Churimo; Barbasco</v>
      </c>
      <c r="L1199" s="10" t="str">
        <f t="shared" si="4"/>
        <v>1207 Guamo; Churimo; Barbasco</v>
      </c>
      <c r="M1199" s="10" t="s">
        <v>35</v>
      </c>
      <c r="N1199" s="10" t="s">
        <v>36</v>
      </c>
      <c r="O1199" s="10" t="s">
        <v>37</v>
      </c>
      <c r="P1199" s="10" t="s">
        <v>1677</v>
      </c>
      <c r="Q1199" s="13"/>
      <c r="R1199" s="13"/>
      <c r="S1199" s="13"/>
      <c r="T1199" s="13"/>
      <c r="U1199" s="13"/>
      <c r="V1199" s="13"/>
      <c r="W1199" s="13"/>
      <c r="X1199" s="13"/>
    </row>
    <row r="1200" ht="14.25" customHeight="1">
      <c r="A1200" s="10" t="s">
        <v>3128</v>
      </c>
      <c r="B1200" s="10" t="s">
        <v>3129</v>
      </c>
      <c r="C1200" s="10">
        <v>1213.0</v>
      </c>
      <c r="D1200" s="11" t="s">
        <v>3211</v>
      </c>
      <c r="E1200" s="11" t="s">
        <v>3212</v>
      </c>
      <c r="F1200" s="11" t="s">
        <v>34</v>
      </c>
      <c r="G1200" s="10">
        <v>1208.0</v>
      </c>
      <c r="H1200" s="10">
        <f>VLOOKUP(F1200,'Generos y Familia'!$A$1:$C$623,2,FALSE)</f>
        <v>27</v>
      </c>
      <c r="I1200" s="12" t="str">
        <f t="shared" si="1"/>
        <v>Inga punctata</v>
      </c>
      <c r="J1200" s="10" t="str">
        <f t="shared" si="2"/>
        <v>1208 Inga punctata</v>
      </c>
      <c r="K1200" s="10" t="str">
        <f t="shared" si="3"/>
        <v>Guamo; Guama; Guabo; Churimo de Orilla;</v>
      </c>
      <c r="L1200" s="10" t="str">
        <f t="shared" si="4"/>
        <v>1208 Guamo; Guama; Guabo; Churimo de Orilla;</v>
      </c>
      <c r="M1200" s="10" t="s">
        <v>35</v>
      </c>
      <c r="N1200" s="10" t="s">
        <v>36</v>
      </c>
      <c r="O1200" s="10" t="s">
        <v>37</v>
      </c>
      <c r="P1200" s="10" t="s">
        <v>1677</v>
      </c>
      <c r="Q1200" s="13"/>
      <c r="R1200" s="13"/>
      <c r="S1200" s="13"/>
      <c r="T1200" s="13"/>
      <c r="U1200" s="13"/>
      <c r="V1200" s="13"/>
      <c r="W1200" s="13"/>
      <c r="X1200" s="13"/>
    </row>
    <row r="1201" ht="14.25" customHeight="1">
      <c r="A1201" s="10" t="s">
        <v>3128</v>
      </c>
      <c r="B1201" s="10" t="s">
        <v>3129</v>
      </c>
      <c r="C1201" s="10">
        <v>1214.0</v>
      </c>
      <c r="D1201" s="11" t="s">
        <v>3213</v>
      </c>
      <c r="E1201" s="11" t="s">
        <v>3214</v>
      </c>
      <c r="F1201" s="11" t="s">
        <v>34</v>
      </c>
      <c r="G1201" s="10">
        <v>1209.0</v>
      </c>
      <c r="H1201" s="10">
        <f>VLOOKUP(F1201,'Generos y Familia'!$A$1:$C$623,2,FALSE)</f>
        <v>27</v>
      </c>
      <c r="I1201" s="12" t="str">
        <f t="shared" si="1"/>
        <v>Inga marginata</v>
      </c>
      <c r="J1201" s="10" t="str">
        <f t="shared" si="2"/>
        <v>1209 Inga marginata</v>
      </c>
      <c r="K1201" s="10" t="str">
        <f t="shared" si="3"/>
        <v>Guamo Churimo; Guamo; Guamo Cazamuelas; Brijolito</v>
      </c>
      <c r="L1201" s="10" t="str">
        <f t="shared" si="4"/>
        <v>1209 Guamo Churimo; Guamo; Guamo Cazamuelas; Brijolito</v>
      </c>
      <c r="M1201" s="10" t="s">
        <v>35</v>
      </c>
      <c r="N1201" s="10" t="s">
        <v>36</v>
      </c>
      <c r="O1201" s="10" t="s">
        <v>37</v>
      </c>
      <c r="P1201" s="10" t="s">
        <v>1677</v>
      </c>
      <c r="Q1201" s="13"/>
      <c r="R1201" s="13"/>
      <c r="S1201" s="13"/>
      <c r="T1201" s="13"/>
      <c r="U1201" s="13"/>
      <c r="V1201" s="13"/>
      <c r="W1201" s="13"/>
      <c r="X1201" s="13"/>
    </row>
    <row r="1202" ht="14.25" customHeight="1">
      <c r="A1202" s="10" t="s">
        <v>3128</v>
      </c>
      <c r="B1202" s="10" t="s">
        <v>3129</v>
      </c>
      <c r="C1202" s="10">
        <v>1215.0</v>
      </c>
      <c r="D1202" s="11" t="s">
        <v>3215</v>
      </c>
      <c r="E1202" s="11" t="s">
        <v>1150</v>
      </c>
      <c r="F1202" s="11" t="s">
        <v>673</v>
      </c>
      <c r="G1202" s="10">
        <v>1210.0</v>
      </c>
      <c r="H1202" s="10">
        <f>VLOOKUP(F1202,'Generos y Familia'!$A$1:$C$623,2,FALSE)</f>
        <v>45</v>
      </c>
      <c r="I1202" s="12" t="str">
        <f t="shared" si="1"/>
        <v>Juniperus sp</v>
      </c>
      <c r="J1202" s="10" t="str">
        <f t="shared" si="2"/>
        <v>1210 Juniperus sp</v>
      </c>
      <c r="K1202" s="10" t="str">
        <f t="shared" si="3"/>
        <v>Pino Azul</v>
      </c>
      <c r="L1202" s="10" t="str">
        <f t="shared" si="4"/>
        <v>1210 Pino Azul</v>
      </c>
      <c r="M1202" s="10" t="s">
        <v>3135</v>
      </c>
      <c r="N1202" s="10" t="s">
        <v>3105</v>
      </c>
      <c r="O1202" s="10" t="s">
        <v>3135</v>
      </c>
      <c r="P1202" s="10" t="s">
        <v>1751</v>
      </c>
      <c r="Q1202" s="17" t="s">
        <v>106</v>
      </c>
      <c r="R1202" s="14"/>
      <c r="S1202" s="17" t="s">
        <v>821</v>
      </c>
      <c r="T1202" s="14"/>
      <c r="U1202" s="14" t="s">
        <v>40</v>
      </c>
      <c r="V1202" s="14"/>
      <c r="W1202" s="18"/>
      <c r="X1202" s="14" t="s">
        <v>41</v>
      </c>
    </row>
    <row r="1203" ht="14.25" customHeight="1">
      <c r="A1203" s="10" t="s">
        <v>3128</v>
      </c>
      <c r="B1203" s="10" t="s">
        <v>3129</v>
      </c>
      <c r="C1203" s="10">
        <v>1216.0</v>
      </c>
      <c r="D1203" s="11" t="s">
        <v>3216</v>
      </c>
      <c r="E1203" s="11" t="s">
        <v>3217</v>
      </c>
      <c r="F1203" s="11" t="s">
        <v>673</v>
      </c>
      <c r="G1203" s="10">
        <v>1211.0</v>
      </c>
      <c r="H1203" s="10">
        <f>VLOOKUP(F1203,'Generos y Familia'!$A$1:$C$623,2,FALSE)</f>
        <v>45</v>
      </c>
      <c r="I1203" s="12" t="str">
        <f t="shared" si="1"/>
        <v>Juniperus squamata</v>
      </c>
      <c r="J1203" s="10" t="str">
        <f t="shared" si="2"/>
        <v>1211 Juniperus squamata</v>
      </c>
      <c r="K1203" s="10" t="str">
        <f t="shared" si="3"/>
        <v>Enebro azul; Ciprés Azul; Juníspero</v>
      </c>
      <c r="L1203" s="10" t="str">
        <f t="shared" si="4"/>
        <v>1211 Enebro azul; Ciprés Azul; Juníspero</v>
      </c>
      <c r="M1203" s="10" t="s">
        <v>46</v>
      </c>
      <c r="N1203" s="10" t="s">
        <v>36</v>
      </c>
      <c r="O1203" s="10" t="s">
        <v>37</v>
      </c>
      <c r="P1203" s="10" t="s">
        <v>1751</v>
      </c>
      <c r="Q1203" s="13"/>
      <c r="R1203" s="13"/>
      <c r="S1203" s="13"/>
      <c r="T1203" s="13"/>
      <c r="U1203" s="13"/>
      <c r="V1203" s="13"/>
      <c r="W1203" s="13"/>
      <c r="X1203" s="13"/>
    </row>
    <row r="1204" ht="14.25" customHeight="1">
      <c r="A1204" s="10" t="s">
        <v>3128</v>
      </c>
      <c r="B1204" s="10" t="s">
        <v>3129</v>
      </c>
      <c r="C1204" s="10">
        <v>1218.0</v>
      </c>
      <c r="D1204" s="11" t="s">
        <v>3218</v>
      </c>
      <c r="E1204" s="11" t="s">
        <v>3219</v>
      </c>
      <c r="F1204" s="11" t="s">
        <v>34</v>
      </c>
      <c r="G1204" s="10">
        <v>1213.0</v>
      </c>
      <c r="H1204" s="10">
        <f>VLOOKUP(F1204,'Generos y Familia'!$A$1:$C$623,2,FALSE)</f>
        <v>27</v>
      </c>
      <c r="I1204" s="12" t="str">
        <f t="shared" si="1"/>
        <v>Leucaena sp</v>
      </c>
      <c r="J1204" s="10" t="str">
        <f t="shared" si="2"/>
        <v>1213 Leucaena sp</v>
      </c>
      <c r="K1204" s="10" t="str">
        <f t="shared" si="3"/>
        <v>Leucaena; Acacia Blanca; Panelo; Carbonero Blanco</v>
      </c>
      <c r="L1204" s="10" t="str">
        <f t="shared" si="4"/>
        <v>1213 Leucaena; Acacia Blanca; Panelo; Carbonero Blanco</v>
      </c>
      <c r="M1204" s="10" t="s">
        <v>3135</v>
      </c>
      <c r="N1204" s="10" t="s">
        <v>3105</v>
      </c>
      <c r="O1204" s="10" t="s">
        <v>3135</v>
      </c>
      <c r="P1204" s="10" t="s">
        <v>1839</v>
      </c>
      <c r="Q1204" s="13"/>
      <c r="R1204" s="13"/>
      <c r="S1204" s="13"/>
      <c r="T1204" s="13"/>
      <c r="U1204" s="13"/>
      <c r="V1204" s="13"/>
      <c r="W1204" s="13"/>
      <c r="X1204" s="13"/>
    </row>
    <row r="1205" ht="14.25" customHeight="1">
      <c r="A1205" s="10" t="s">
        <v>3128</v>
      </c>
      <c r="B1205" s="10" t="s">
        <v>3129</v>
      </c>
      <c r="C1205" s="10">
        <v>1219.0</v>
      </c>
      <c r="D1205" s="11" t="s">
        <v>3220</v>
      </c>
      <c r="E1205" s="11" t="s">
        <v>3221</v>
      </c>
      <c r="F1205" s="11" t="s">
        <v>1920</v>
      </c>
      <c r="G1205" s="10">
        <v>1214.0</v>
      </c>
      <c r="H1205" s="10">
        <f>VLOOKUP(F1205,'Generos y Familia'!$A$1:$C$623,2,FALSE)</f>
        <v>38</v>
      </c>
      <c r="I1205" s="12" t="str">
        <f t="shared" si="1"/>
        <v>Magnolia polyhypsophylla</v>
      </c>
      <c r="J1205" s="10" t="str">
        <f t="shared" si="2"/>
        <v>1214 Magnolia polyhypsophylla</v>
      </c>
      <c r="K1205" s="10" t="str">
        <f t="shared" si="3"/>
        <v>Almanegra; Bolenillo</v>
      </c>
      <c r="L1205" s="10" t="str">
        <f t="shared" si="4"/>
        <v>1214 Almanegra; Bolenillo</v>
      </c>
      <c r="M1205" s="10" t="s">
        <v>797</v>
      </c>
      <c r="N1205" s="10" t="s">
        <v>36</v>
      </c>
      <c r="O1205" s="10" t="s">
        <v>37</v>
      </c>
      <c r="P1205" s="10" t="s">
        <v>1921</v>
      </c>
      <c r="Q1205" s="13"/>
      <c r="R1205" s="13"/>
      <c r="S1205" s="13"/>
      <c r="T1205" s="13"/>
      <c r="U1205" s="13"/>
      <c r="V1205" s="13"/>
      <c r="W1205" s="13"/>
      <c r="X1205" s="13"/>
    </row>
    <row r="1206" ht="14.25" customHeight="1">
      <c r="A1206" s="10" t="s">
        <v>3128</v>
      </c>
      <c r="B1206" s="10" t="s">
        <v>3129</v>
      </c>
      <c r="C1206" s="10">
        <v>1221.0</v>
      </c>
      <c r="D1206" s="11" t="s">
        <v>3222</v>
      </c>
      <c r="E1206" s="11" t="s">
        <v>3223</v>
      </c>
      <c r="F1206" s="11" t="s">
        <v>214</v>
      </c>
      <c r="G1206" s="10">
        <v>1216.0</v>
      </c>
      <c r="H1206" s="10">
        <f>VLOOKUP(F1206,'Generos y Familia'!$A$1:$C$623,2,FALSE)</f>
        <v>84</v>
      </c>
      <c r="I1206" s="12" t="str">
        <f t="shared" si="1"/>
        <v>Matayba elegans </v>
      </c>
      <c r="J1206" s="10" t="str">
        <f t="shared" si="2"/>
        <v>1216 Matayba elegans </v>
      </c>
      <c r="K1206" s="10" t="str">
        <f t="shared" si="3"/>
        <v>Guacharaco; Patepaujil; Joropo; Bálsamo</v>
      </c>
      <c r="L1206" s="10" t="str">
        <f t="shared" si="4"/>
        <v>1216 Guacharaco; Patepaujil; Joropo; Bálsamo</v>
      </c>
      <c r="M1206" s="10" t="s">
        <v>35</v>
      </c>
      <c r="N1206" s="10" t="s">
        <v>36</v>
      </c>
      <c r="O1206" s="10" t="s">
        <v>37</v>
      </c>
      <c r="P1206" s="10" t="s">
        <v>1964</v>
      </c>
      <c r="Q1206" s="13"/>
      <c r="R1206" s="13"/>
      <c r="S1206" s="13"/>
      <c r="T1206" s="13"/>
      <c r="U1206" s="13"/>
      <c r="V1206" s="13"/>
      <c r="W1206" s="13"/>
      <c r="X1206" s="13"/>
    </row>
    <row r="1207" ht="14.25" customHeight="1">
      <c r="A1207" s="10" t="s">
        <v>3128</v>
      </c>
      <c r="B1207" s="10" t="s">
        <v>3129</v>
      </c>
      <c r="C1207" s="10">
        <v>1217.0</v>
      </c>
      <c r="D1207" s="11" t="s">
        <v>3224</v>
      </c>
      <c r="E1207" s="11" t="s">
        <v>3225</v>
      </c>
      <c r="F1207" s="11" t="s">
        <v>258</v>
      </c>
      <c r="G1207" s="10">
        <v>1217.0</v>
      </c>
      <c r="H1207" s="10">
        <f>VLOOKUP(F1207,'Generos y Familia'!$A$1:$C$623,2,FALSE)</f>
        <v>7</v>
      </c>
      <c r="I1207" s="12" t="str">
        <f t="shared" si="1"/>
        <v>Mauria heterophylla</v>
      </c>
      <c r="J1207" s="10" t="str">
        <f t="shared" si="2"/>
        <v>1217 Mauria heterophylla</v>
      </c>
      <c r="K1207" s="10" t="str">
        <f t="shared" si="3"/>
        <v>Sarno; Manguito; Caspi; Palo de Sarno</v>
      </c>
      <c r="L1207" s="10" t="str">
        <f t="shared" si="4"/>
        <v>1217 Sarno; Manguito; Caspi; Palo de Sarno</v>
      </c>
      <c r="M1207" s="10" t="s">
        <v>35</v>
      </c>
      <c r="N1207" s="10" t="s">
        <v>36</v>
      </c>
      <c r="O1207" s="10" t="s">
        <v>37</v>
      </c>
      <c r="P1207" s="10" t="s">
        <v>1972</v>
      </c>
      <c r="Q1207" s="13"/>
      <c r="R1207" s="13"/>
      <c r="S1207" s="13"/>
      <c r="T1207" s="13"/>
      <c r="U1207" s="13"/>
      <c r="V1207" s="13"/>
      <c r="W1207" s="13"/>
      <c r="X1207" s="13"/>
    </row>
    <row r="1208" ht="14.25" customHeight="1">
      <c r="A1208" s="10" t="s">
        <v>3128</v>
      </c>
      <c r="B1208" s="10" t="s">
        <v>3129</v>
      </c>
      <c r="C1208" s="10">
        <v>1223.0</v>
      </c>
      <c r="D1208" s="11" t="s">
        <v>3226</v>
      </c>
      <c r="E1208" s="11" t="s">
        <v>3227</v>
      </c>
      <c r="F1208" s="11" t="s">
        <v>471</v>
      </c>
      <c r="G1208" s="10">
        <v>1218.0</v>
      </c>
      <c r="H1208" s="10">
        <f>VLOOKUP(F1208,'Generos y Familia'!$A$1:$C$623,2,FALSE)</f>
        <v>41</v>
      </c>
      <c r="I1208" s="12" t="str">
        <f t="shared" si="1"/>
        <v>Miconia sp</v>
      </c>
      <c r="J1208" s="10" t="str">
        <f t="shared" si="2"/>
        <v>1218 Miconia sp</v>
      </c>
      <c r="K1208" s="10" t="str">
        <f t="shared" si="3"/>
        <v>Niguito; Esmeraldo; Tuno; Mortiño</v>
      </c>
      <c r="L1208" s="10" t="str">
        <f t="shared" si="4"/>
        <v>1218 Niguito; Esmeraldo; Tuno; Mortiño</v>
      </c>
      <c r="M1208" s="10" t="s">
        <v>3135</v>
      </c>
      <c r="N1208" s="10" t="s">
        <v>3105</v>
      </c>
      <c r="O1208" s="10" t="s">
        <v>3135</v>
      </c>
      <c r="P1208" s="10" t="s">
        <v>2010</v>
      </c>
      <c r="Q1208" s="13"/>
      <c r="R1208" s="13"/>
      <c r="S1208" s="13"/>
      <c r="T1208" s="13"/>
      <c r="U1208" s="13"/>
      <c r="V1208" s="13"/>
      <c r="W1208" s="13"/>
      <c r="X1208" s="13"/>
    </row>
    <row r="1209" ht="14.25" customHeight="1">
      <c r="A1209" s="10" t="s">
        <v>3128</v>
      </c>
      <c r="B1209" s="10" t="s">
        <v>3129</v>
      </c>
      <c r="C1209" s="10">
        <v>1224.0</v>
      </c>
      <c r="D1209" s="11" t="s">
        <v>3228</v>
      </c>
      <c r="E1209" s="11" t="s">
        <v>3229</v>
      </c>
      <c r="F1209" s="11" t="s">
        <v>136</v>
      </c>
      <c r="G1209" s="10">
        <v>1219.0</v>
      </c>
      <c r="H1209" s="10">
        <f>VLOOKUP(F1209,'Generos y Familia'!$A$1:$C$623,2,FALSE)</f>
        <v>34</v>
      </c>
      <c r="I1209" s="12" t="str">
        <f t="shared" si="1"/>
        <v>Melissa officinalis</v>
      </c>
      <c r="J1209" s="10" t="str">
        <f t="shared" si="2"/>
        <v>1219 Melissa officinalis</v>
      </c>
      <c r="K1209" s="10" t="str">
        <f t="shared" si="3"/>
        <v>Toronjil</v>
      </c>
      <c r="L1209" s="10" t="str">
        <f t="shared" si="4"/>
        <v>1219 Toronjil</v>
      </c>
      <c r="M1209" s="10" t="s">
        <v>46</v>
      </c>
      <c r="N1209" s="10" t="s">
        <v>36</v>
      </c>
      <c r="O1209" s="10" t="s">
        <v>47</v>
      </c>
      <c r="P1209" s="10" t="s">
        <v>3230</v>
      </c>
      <c r="Q1209" s="13"/>
      <c r="R1209" s="13"/>
      <c r="S1209" s="13"/>
      <c r="T1209" s="13"/>
      <c r="U1209" s="13"/>
      <c r="V1209" s="13"/>
      <c r="W1209" s="13"/>
      <c r="X1209" s="13"/>
    </row>
    <row r="1210" ht="14.25" customHeight="1">
      <c r="A1210" s="10" t="s">
        <v>3128</v>
      </c>
      <c r="B1210" s="10" t="s">
        <v>3129</v>
      </c>
      <c r="C1210" s="10">
        <v>1225.0</v>
      </c>
      <c r="D1210" s="11" t="s">
        <v>3231</v>
      </c>
      <c r="E1210" s="11" t="s">
        <v>3232</v>
      </c>
      <c r="F1210" s="11" t="s">
        <v>471</v>
      </c>
      <c r="G1210" s="10">
        <v>1220.0</v>
      </c>
      <c r="H1210" s="10">
        <f>VLOOKUP(F1210,'Generos y Familia'!$A$1:$C$623,2,FALSE)</f>
        <v>41</v>
      </c>
      <c r="I1210" s="12" t="str">
        <f t="shared" si="1"/>
        <v>Miconia lehmannii </v>
      </c>
      <c r="J1210" s="10" t="str">
        <f t="shared" si="2"/>
        <v>1220 Miconia lehmannii </v>
      </c>
      <c r="K1210" s="10" t="str">
        <f t="shared" si="3"/>
        <v>Niguito; Morochillo; Mortiño; Granizo</v>
      </c>
      <c r="L1210" s="10" t="str">
        <f t="shared" si="4"/>
        <v>1220 Niguito; Morochillo; Mortiño; Granizo</v>
      </c>
      <c r="M1210" s="10" t="s">
        <v>35</v>
      </c>
      <c r="N1210" s="10" t="s">
        <v>36</v>
      </c>
      <c r="O1210" s="10" t="s">
        <v>47</v>
      </c>
      <c r="P1210" s="10" t="s">
        <v>2010</v>
      </c>
      <c r="Q1210" s="13"/>
      <c r="R1210" s="13"/>
      <c r="S1210" s="13"/>
      <c r="T1210" s="13"/>
      <c r="U1210" s="13"/>
      <c r="V1210" s="13"/>
      <c r="W1210" s="13"/>
      <c r="X1210" s="13"/>
    </row>
    <row r="1211" ht="14.25" customHeight="1">
      <c r="A1211" s="10" t="s">
        <v>3128</v>
      </c>
      <c r="B1211" s="10" t="s">
        <v>3129</v>
      </c>
      <c r="C1211" s="10">
        <v>1227.0</v>
      </c>
      <c r="D1211" s="11" t="s">
        <v>3233</v>
      </c>
      <c r="E1211" s="11" t="s">
        <v>3234</v>
      </c>
      <c r="F1211" s="11" t="s">
        <v>3235</v>
      </c>
      <c r="G1211" s="10">
        <v>1221.0</v>
      </c>
      <c r="H1211" s="10">
        <f>VLOOKUP(F1211,'Generos y Familia'!$A$1:$C$623,2,FALSE)</f>
        <v>72</v>
      </c>
      <c r="I1211" s="12" t="str">
        <f t="shared" si="1"/>
        <v>Monnina solandrifolia</v>
      </c>
      <c r="J1211" s="10" t="str">
        <f t="shared" si="2"/>
        <v>1221 Monnina solandrifolia</v>
      </c>
      <c r="K1211" s="10" t="str">
        <f t="shared" si="3"/>
        <v>Rúchica</v>
      </c>
      <c r="L1211" s="10" t="str">
        <f t="shared" si="4"/>
        <v>1221 Rúchica</v>
      </c>
      <c r="M1211" s="10" t="s">
        <v>35</v>
      </c>
      <c r="N1211" s="10" t="s">
        <v>36</v>
      </c>
      <c r="O1211" s="10" t="s">
        <v>47</v>
      </c>
      <c r="P1211" s="10" t="s">
        <v>3236</v>
      </c>
      <c r="Q1211" s="13"/>
      <c r="R1211" s="13"/>
      <c r="S1211" s="13"/>
      <c r="T1211" s="13"/>
      <c r="U1211" s="13"/>
      <c r="V1211" s="13"/>
      <c r="W1211" s="13"/>
      <c r="X1211" s="13"/>
    </row>
    <row r="1212" ht="14.25" customHeight="1">
      <c r="A1212" s="10" t="s">
        <v>3128</v>
      </c>
      <c r="B1212" s="10" t="s">
        <v>3129</v>
      </c>
      <c r="C1212" s="10">
        <v>1222.0</v>
      </c>
      <c r="D1212" s="11" t="s">
        <v>3237</v>
      </c>
      <c r="E1212" s="11" t="s">
        <v>3238</v>
      </c>
      <c r="F1212" s="11" t="s">
        <v>3235</v>
      </c>
      <c r="G1212" s="10">
        <v>1222.0</v>
      </c>
      <c r="H1212" s="10">
        <f>VLOOKUP(F1212,'Generos y Familia'!$A$1:$C$623,2,FALSE)</f>
        <v>72</v>
      </c>
      <c r="I1212" s="12" t="str">
        <f t="shared" si="1"/>
        <v>Monnina speciosa</v>
      </c>
      <c r="J1212" s="10" t="str">
        <f t="shared" si="2"/>
        <v>1222 Monnina speciosa</v>
      </c>
      <c r="K1212" s="10" t="str">
        <f t="shared" si="3"/>
        <v>Monina</v>
      </c>
      <c r="L1212" s="10" t="str">
        <f t="shared" si="4"/>
        <v>1222 Monina</v>
      </c>
      <c r="M1212" s="10" t="s">
        <v>35</v>
      </c>
      <c r="N1212" s="10" t="s">
        <v>36</v>
      </c>
      <c r="O1212" s="10" t="s">
        <v>47</v>
      </c>
      <c r="P1212" s="10" t="s">
        <v>3236</v>
      </c>
      <c r="Q1212" s="13"/>
      <c r="R1212" s="13"/>
      <c r="S1212" s="13"/>
      <c r="T1212" s="13"/>
      <c r="U1212" s="13"/>
      <c r="V1212" s="13"/>
      <c r="W1212" s="13"/>
      <c r="X1212" s="13"/>
    </row>
    <row r="1213" ht="14.25" customHeight="1">
      <c r="A1213" s="10" t="s">
        <v>3128</v>
      </c>
      <c r="B1213" s="10" t="s">
        <v>3129</v>
      </c>
      <c r="C1213" s="10">
        <v>1229.0</v>
      </c>
      <c r="D1213" s="11" t="s">
        <v>3239</v>
      </c>
      <c r="E1213" s="11" t="s">
        <v>3240</v>
      </c>
      <c r="F1213" s="11" t="s">
        <v>365</v>
      </c>
      <c r="G1213" s="10">
        <v>1223.0</v>
      </c>
      <c r="H1213" s="10">
        <f>VLOOKUP(F1213,'Generos y Familia'!$A$1:$C$623,2,FALSE)</f>
        <v>43</v>
      </c>
      <c r="I1213" s="12" t="str">
        <f t="shared" si="1"/>
        <v>Morus alba</v>
      </c>
      <c r="J1213" s="10" t="str">
        <f t="shared" si="2"/>
        <v>1223 Morus alba</v>
      </c>
      <c r="K1213" s="10" t="str">
        <f t="shared" si="3"/>
        <v>Morera; Mora</v>
      </c>
      <c r="L1213" s="10" t="str">
        <f t="shared" si="4"/>
        <v>1223 Morera; Mora</v>
      </c>
      <c r="M1213" s="10" t="s">
        <v>46</v>
      </c>
      <c r="N1213" s="10" t="s">
        <v>36</v>
      </c>
      <c r="O1213" s="10" t="s">
        <v>37</v>
      </c>
      <c r="P1213" s="10" t="s">
        <v>2074</v>
      </c>
      <c r="Q1213" s="13"/>
      <c r="R1213" s="13"/>
      <c r="S1213" s="13"/>
      <c r="T1213" s="13"/>
      <c r="U1213" s="13"/>
      <c r="V1213" s="13"/>
      <c r="W1213" s="13"/>
      <c r="X1213" s="13"/>
    </row>
    <row r="1214" ht="14.25" customHeight="1">
      <c r="A1214" s="10" t="s">
        <v>3128</v>
      </c>
      <c r="B1214" s="10" t="s">
        <v>3129</v>
      </c>
      <c r="C1214" s="10">
        <v>1230.0</v>
      </c>
      <c r="D1214" s="11" t="s">
        <v>3241</v>
      </c>
      <c r="E1214" s="11" t="s">
        <v>3242</v>
      </c>
      <c r="F1214" s="11" t="s">
        <v>95</v>
      </c>
      <c r="G1214" s="10">
        <v>1224.0</v>
      </c>
      <c r="H1214" s="10">
        <f>VLOOKUP(F1214,'Generos y Familia'!$A$1:$C$623,2,FALSE)</f>
        <v>49</v>
      </c>
      <c r="I1214" s="12" t="str">
        <f t="shared" si="1"/>
        <v>Myrcianthes leucoxyla</v>
      </c>
      <c r="J1214" s="10" t="str">
        <f t="shared" si="2"/>
        <v>1224 Myrcianthes leucoxyla</v>
      </c>
      <c r="K1214" s="10" t="str">
        <f t="shared" si="3"/>
        <v>Arrayán Grande; Arrayán; Guayabito; Guayabito Liso</v>
      </c>
      <c r="L1214" s="10" t="str">
        <f t="shared" si="4"/>
        <v>1224 Arrayán Grande; Arrayán; Guayabito; Guayabito Liso</v>
      </c>
      <c r="M1214" s="10" t="s">
        <v>35</v>
      </c>
      <c r="N1214" s="10" t="s">
        <v>36</v>
      </c>
      <c r="O1214" s="10" t="s">
        <v>37</v>
      </c>
      <c r="P1214" s="10" t="s">
        <v>2108</v>
      </c>
      <c r="Q1214" s="13"/>
      <c r="R1214" s="13"/>
      <c r="S1214" s="13"/>
      <c r="T1214" s="13"/>
      <c r="U1214" s="13"/>
      <c r="V1214" s="13"/>
      <c r="W1214" s="13"/>
      <c r="X1214" s="13"/>
    </row>
    <row r="1215" ht="14.25" customHeight="1">
      <c r="A1215" s="10" t="s">
        <v>3128</v>
      </c>
      <c r="B1215" s="10" t="s">
        <v>3129</v>
      </c>
      <c r="C1215" s="10">
        <v>1231.0</v>
      </c>
      <c r="D1215" s="11" t="s">
        <v>3243</v>
      </c>
      <c r="E1215" s="11" t="s">
        <v>3244</v>
      </c>
      <c r="F1215" s="11" t="s">
        <v>95</v>
      </c>
      <c r="G1215" s="10">
        <v>1225.0</v>
      </c>
      <c r="H1215" s="10">
        <f>VLOOKUP(F1215,'Generos y Familia'!$A$1:$C$623,2,FALSE)</f>
        <v>49</v>
      </c>
      <c r="I1215" s="12" t="str">
        <f t="shared" si="1"/>
        <v>Myrcianthes rhopaloides</v>
      </c>
      <c r="J1215" s="10" t="str">
        <f t="shared" si="2"/>
        <v>1225 Myrcianthes rhopaloides</v>
      </c>
      <c r="K1215" s="10" t="str">
        <f t="shared" si="3"/>
        <v>Arrayán Negro; Almanegra; Chiso; Chisa</v>
      </c>
      <c r="L1215" s="10" t="str">
        <f t="shared" si="4"/>
        <v>1225 Arrayán Negro; Almanegra; Chiso; Chisa</v>
      </c>
      <c r="M1215" s="10" t="s">
        <v>35</v>
      </c>
      <c r="N1215" s="10" t="s">
        <v>36</v>
      </c>
      <c r="O1215" s="10" t="s">
        <v>37</v>
      </c>
      <c r="P1215" s="10" t="s">
        <v>2108</v>
      </c>
      <c r="Q1215" s="17" t="s">
        <v>229</v>
      </c>
      <c r="R1215" s="14" t="s">
        <v>39</v>
      </c>
      <c r="S1215" s="17" t="s">
        <v>229</v>
      </c>
      <c r="T1215" s="14"/>
      <c r="U1215" s="14" t="s">
        <v>40</v>
      </c>
      <c r="V1215" s="14"/>
      <c r="W1215" s="18"/>
      <c r="X1215" s="14" t="s">
        <v>41</v>
      </c>
    </row>
    <row r="1216" ht="14.25" customHeight="1">
      <c r="A1216" s="10" t="s">
        <v>3128</v>
      </c>
      <c r="B1216" s="10" t="s">
        <v>3129</v>
      </c>
      <c r="C1216" s="10">
        <v>1232.0</v>
      </c>
      <c r="D1216" s="11" t="s">
        <v>3245</v>
      </c>
      <c r="E1216" s="11" t="s">
        <v>3246</v>
      </c>
      <c r="F1216" s="11" t="s">
        <v>132</v>
      </c>
      <c r="G1216" s="10">
        <v>1226.0</v>
      </c>
      <c r="H1216" s="10">
        <f>VLOOKUP(F1216,'Generos y Familia'!$A$1:$C$623,2,FALSE)</f>
        <v>74</v>
      </c>
      <c r="I1216" s="12" t="str">
        <f t="shared" si="1"/>
        <v>Myrsine sp</v>
      </c>
      <c r="J1216" s="10" t="str">
        <f t="shared" si="2"/>
        <v>1226 Myrsine sp</v>
      </c>
      <c r="K1216" s="10" t="str">
        <f t="shared" si="3"/>
        <v>Cucharo; Espadero; Cucharo Blanco; Chagualo; Garrocho</v>
      </c>
      <c r="L1216" s="10" t="str">
        <f t="shared" si="4"/>
        <v>1226 Cucharo; Espadero; Cucharo Blanco; Chagualo; Garrocho</v>
      </c>
      <c r="M1216" s="10" t="s">
        <v>3135</v>
      </c>
      <c r="N1216" s="10" t="s">
        <v>3105</v>
      </c>
      <c r="O1216" s="10" t="s">
        <v>3135</v>
      </c>
      <c r="P1216" s="10" t="s">
        <v>3245</v>
      </c>
      <c r="Q1216" s="13"/>
      <c r="R1216" s="13"/>
      <c r="S1216" s="13"/>
      <c r="T1216" s="13"/>
      <c r="U1216" s="13"/>
      <c r="V1216" s="13"/>
      <c r="W1216" s="13"/>
      <c r="X1216" s="13"/>
    </row>
    <row r="1217" ht="14.25" customHeight="1">
      <c r="A1217" s="10" t="s">
        <v>3128</v>
      </c>
      <c r="B1217" s="10" t="s">
        <v>3129</v>
      </c>
      <c r="C1217" s="10">
        <v>1228.0</v>
      </c>
      <c r="D1217" s="11" t="s">
        <v>3247</v>
      </c>
      <c r="E1217" s="11" t="s">
        <v>3248</v>
      </c>
      <c r="F1217" s="11" t="s">
        <v>158</v>
      </c>
      <c r="G1217" s="10">
        <v>1228.0</v>
      </c>
      <c r="H1217" s="10">
        <f>VLOOKUP(F1217,'Generos y Familia'!$A$1:$C$623,2,FALSE)</f>
        <v>35</v>
      </c>
      <c r="I1217" s="12" t="str">
        <f t="shared" si="1"/>
        <v>Nectandra reticulata</v>
      </c>
      <c r="J1217" s="10" t="str">
        <f t="shared" si="2"/>
        <v>1228 Nectandra reticulata</v>
      </c>
      <c r="K1217" s="10" t="str">
        <f t="shared" si="3"/>
        <v>Jigua Laurel; Guacharaco; Laurel; Jigua Negro; Laurel Amarillo</v>
      </c>
      <c r="L1217" s="10" t="str">
        <f t="shared" si="4"/>
        <v>1228 Jigua Laurel; Guacharaco; Laurel; Jigua Negro; Laurel Amarillo</v>
      </c>
      <c r="M1217" s="10" t="s">
        <v>35</v>
      </c>
      <c r="N1217" s="10" t="s">
        <v>36</v>
      </c>
      <c r="O1217" s="10" t="s">
        <v>37</v>
      </c>
      <c r="P1217" s="10" t="s">
        <v>2122</v>
      </c>
      <c r="Q1217" s="13"/>
      <c r="R1217" s="13"/>
      <c r="S1217" s="13"/>
      <c r="T1217" s="13"/>
      <c r="U1217" s="13"/>
      <c r="V1217" s="13"/>
      <c r="W1217" s="13"/>
      <c r="X1217" s="13"/>
    </row>
    <row r="1218" ht="14.25" customHeight="1">
      <c r="A1218" s="10" t="s">
        <v>3128</v>
      </c>
      <c r="B1218" s="10" t="s">
        <v>3129</v>
      </c>
      <c r="C1218" s="10">
        <v>1235.0</v>
      </c>
      <c r="D1218" s="11" t="s">
        <v>3249</v>
      </c>
      <c r="E1218" s="11" t="s">
        <v>3250</v>
      </c>
      <c r="F1218" s="11" t="s">
        <v>158</v>
      </c>
      <c r="G1218" s="10">
        <v>1229.0</v>
      </c>
      <c r="H1218" s="10">
        <f>VLOOKUP(F1218,'Generos y Familia'!$A$1:$C$623,2,FALSE)</f>
        <v>35</v>
      </c>
      <c r="I1218" s="12" t="str">
        <f t="shared" si="1"/>
        <v>Nectandra laurel</v>
      </c>
      <c r="J1218" s="10" t="str">
        <f t="shared" si="2"/>
        <v>1229 Nectandra laurel</v>
      </c>
      <c r="K1218" s="10" t="str">
        <f t="shared" si="3"/>
        <v>Laurel; Amargo; Laurel Amarillo; Laurel Llanero</v>
      </c>
      <c r="L1218" s="10" t="str">
        <f t="shared" si="4"/>
        <v>1229 Laurel; Amargo; Laurel Amarillo; Laurel Llanero</v>
      </c>
      <c r="M1218" s="10" t="s">
        <v>35</v>
      </c>
      <c r="N1218" s="10" t="s">
        <v>36</v>
      </c>
      <c r="O1218" s="10" t="s">
        <v>37</v>
      </c>
      <c r="P1218" s="10" t="s">
        <v>2122</v>
      </c>
      <c r="Q1218" s="13"/>
      <c r="R1218" s="13"/>
      <c r="S1218" s="13"/>
      <c r="T1218" s="13"/>
      <c r="U1218" s="13"/>
      <c r="V1218" s="13"/>
      <c r="W1218" s="13"/>
      <c r="X1218" s="13"/>
    </row>
    <row r="1219" ht="14.25" customHeight="1">
      <c r="A1219" s="10" t="s">
        <v>3128</v>
      </c>
      <c r="B1219" s="10" t="s">
        <v>3129</v>
      </c>
      <c r="C1219" s="10">
        <v>1236.0</v>
      </c>
      <c r="D1219" s="11" t="s">
        <v>3251</v>
      </c>
      <c r="E1219" s="11" t="s">
        <v>3252</v>
      </c>
      <c r="F1219" s="11" t="s">
        <v>324</v>
      </c>
      <c r="G1219" s="10">
        <v>1230.0</v>
      </c>
      <c r="H1219" s="10">
        <f>VLOOKUP(F1219,'Generos y Familia'!$A$1:$C$623,2,FALSE)</f>
        <v>12</v>
      </c>
      <c r="I1219" s="12" t="str">
        <f t="shared" si="1"/>
        <v>Oreopanax bogotensis</v>
      </c>
      <c r="J1219" s="10" t="str">
        <f t="shared" si="2"/>
        <v>1230 Oreopanax bogotensis</v>
      </c>
      <c r="K1219" s="10" t="str">
        <f t="shared" si="3"/>
        <v>Mano de Oso; Amarillo; Higuerón; Higuerillo</v>
      </c>
      <c r="L1219" s="10" t="str">
        <f t="shared" si="4"/>
        <v>1230 Mano de Oso; Amarillo; Higuerón; Higuerillo</v>
      </c>
      <c r="M1219" s="10" t="s">
        <v>35</v>
      </c>
      <c r="N1219" s="10" t="s">
        <v>36</v>
      </c>
      <c r="O1219" s="10" t="s">
        <v>37</v>
      </c>
      <c r="P1219" s="10" t="s">
        <v>2172</v>
      </c>
      <c r="Q1219" s="13"/>
      <c r="R1219" s="13"/>
      <c r="S1219" s="13"/>
      <c r="T1219" s="13"/>
      <c r="U1219" s="13"/>
      <c r="V1219" s="13"/>
      <c r="W1219" s="13"/>
      <c r="X1219" s="13"/>
    </row>
    <row r="1220" ht="14.25" customHeight="1">
      <c r="A1220" s="10" t="s">
        <v>3128</v>
      </c>
      <c r="B1220" s="10" t="s">
        <v>3129</v>
      </c>
      <c r="C1220" s="10">
        <v>1237.0</v>
      </c>
      <c r="D1220" s="11" t="s">
        <v>3253</v>
      </c>
      <c r="E1220" s="11" t="s">
        <v>3254</v>
      </c>
      <c r="F1220" s="11" t="s">
        <v>324</v>
      </c>
      <c r="G1220" s="10">
        <v>1231.0</v>
      </c>
      <c r="H1220" s="10">
        <f>VLOOKUP(F1220,'Generos y Familia'!$A$1:$C$623,2,FALSE)</f>
        <v>12</v>
      </c>
      <c r="I1220" s="12" t="str">
        <f t="shared" si="1"/>
        <v>Oreopanax incisus</v>
      </c>
      <c r="J1220" s="10" t="str">
        <f t="shared" si="2"/>
        <v>1231 Oreopanax incisus</v>
      </c>
      <c r="K1220" s="10" t="str">
        <f t="shared" si="3"/>
        <v>Mano de Oso; Guache; Candelero; Pata de Gallina</v>
      </c>
      <c r="L1220" s="10" t="str">
        <f t="shared" si="4"/>
        <v>1231 Mano de Oso; Guache; Candelero; Pata de Gallina</v>
      </c>
      <c r="M1220" s="10" t="s">
        <v>35</v>
      </c>
      <c r="N1220" s="10" t="s">
        <v>36</v>
      </c>
      <c r="O1220" s="10" t="s">
        <v>37</v>
      </c>
      <c r="P1220" s="10" t="s">
        <v>2172</v>
      </c>
      <c r="Q1220" s="13"/>
      <c r="R1220" s="13"/>
      <c r="S1220" s="13"/>
      <c r="T1220" s="13"/>
      <c r="U1220" s="13"/>
      <c r="V1220" s="13"/>
      <c r="W1220" s="13"/>
      <c r="X1220" s="13"/>
    </row>
    <row r="1221" ht="14.25" customHeight="1">
      <c r="A1221" s="10" t="s">
        <v>3128</v>
      </c>
      <c r="B1221" s="10" t="s">
        <v>3129</v>
      </c>
      <c r="C1221" s="10">
        <v>1233.0</v>
      </c>
      <c r="D1221" s="11" t="s">
        <v>3255</v>
      </c>
      <c r="E1221" s="11" t="s">
        <v>3256</v>
      </c>
      <c r="F1221" s="11" t="s">
        <v>2327</v>
      </c>
      <c r="G1221" s="10">
        <v>1233.0</v>
      </c>
      <c r="H1221" s="10">
        <f>VLOOKUP(F1221,'Generos y Familia'!$A$1:$C$623,2,FALSE)</f>
        <v>66</v>
      </c>
      <c r="I1221" s="12" t="str">
        <f t="shared" si="1"/>
        <v>Pinus maximinoi</v>
      </c>
      <c r="J1221" s="10" t="str">
        <f t="shared" si="2"/>
        <v>1233 Pinus maximinoi</v>
      </c>
      <c r="K1221" s="10" t="str">
        <f t="shared" si="3"/>
        <v>Pino Maximinoi</v>
      </c>
      <c r="L1221" s="10" t="str">
        <f t="shared" si="4"/>
        <v>1233 Pino Maximinoi</v>
      </c>
      <c r="M1221" s="10" t="s">
        <v>46</v>
      </c>
      <c r="N1221" s="10" t="s">
        <v>36</v>
      </c>
      <c r="O1221" s="10" t="s">
        <v>37</v>
      </c>
      <c r="P1221" s="10" t="s">
        <v>2328</v>
      </c>
      <c r="Q1221" s="17" t="s">
        <v>817</v>
      </c>
      <c r="R1221" s="14" t="s">
        <v>2331</v>
      </c>
      <c r="S1221" s="17" t="s">
        <v>821</v>
      </c>
      <c r="T1221" s="14" t="s">
        <v>2331</v>
      </c>
      <c r="U1221" s="14" t="s">
        <v>40</v>
      </c>
      <c r="V1221" s="14"/>
      <c r="W1221" s="18"/>
      <c r="X1221" s="14"/>
    </row>
    <row r="1222" ht="14.25" customHeight="1">
      <c r="A1222" s="10" t="s">
        <v>3128</v>
      </c>
      <c r="B1222" s="10" t="s">
        <v>3129</v>
      </c>
      <c r="C1222" s="10">
        <v>1241.0</v>
      </c>
      <c r="D1222" s="11" t="s">
        <v>3257</v>
      </c>
      <c r="E1222" s="11" t="s">
        <v>3258</v>
      </c>
      <c r="F1222" s="11" t="s">
        <v>136</v>
      </c>
      <c r="G1222" s="10">
        <v>1241.0</v>
      </c>
      <c r="H1222" s="10">
        <f>VLOOKUP(F1222,'Generos y Familia'!$A$1:$C$623,2,FALSE)</f>
        <v>34</v>
      </c>
      <c r="I1222" s="12" t="str">
        <f t="shared" si="1"/>
        <v>Rosmarinus officinalis</v>
      </c>
      <c r="J1222" s="10" t="str">
        <f t="shared" si="2"/>
        <v>1241 Rosmarinus officinalis</v>
      </c>
      <c r="K1222" s="10" t="str">
        <f t="shared" si="3"/>
        <v>Romero; Romero Común</v>
      </c>
      <c r="L1222" s="10" t="str">
        <f t="shared" si="4"/>
        <v>1241 Romero; Romero Común</v>
      </c>
      <c r="M1222" s="10" t="s">
        <v>46</v>
      </c>
      <c r="N1222" s="10" t="s">
        <v>36</v>
      </c>
      <c r="O1222" s="10" t="s">
        <v>47</v>
      </c>
      <c r="P1222" s="10" t="s">
        <v>3259</v>
      </c>
      <c r="Q1222" s="13"/>
      <c r="R1222" s="13"/>
      <c r="S1222" s="13"/>
      <c r="T1222" s="13"/>
      <c r="U1222" s="13"/>
      <c r="V1222" s="13"/>
      <c r="W1222" s="13"/>
      <c r="X1222" s="13"/>
    </row>
    <row r="1223" ht="14.25" customHeight="1">
      <c r="A1223" s="10" t="s">
        <v>3128</v>
      </c>
      <c r="B1223" s="10" t="s">
        <v>3129</v>
      </c>
      <c r="C1223" s="10">
        <v>1234.0</v>
      </c>
      <c r="D1223" s="11" t="s">
        <v>3260</v>
      </c>
      <c r="E1223" s="11" t="s">
        <v>3261</v>
      </c>
      <c r="F1223" s="11" t="s">
        <v>2327</v>
      </c>
      <c r="G1223" s="10">
        <v>1234.0</v>
      </c>
      <c r="H1223" s="10">
        <f>VLOOKUP(F1223,'Generos y Familia'!$A$1:$C$623,2,FALSE)</f>
        <v>66</v>
      </c>
      <c r="I1223" s="12" t="str">
        <f t="shared" si="1"/>
        <v>Pinus sp</v>
      </c>
      <c r="J1223" s="10" t="str">
        <f t="shared" si="2"/>
        <v>1234 Pinus sp</v>
      </c>
      <c r="K1223" s="10" t="str">
        <f t="shared" si="3"/>
        <v>Pino</v>
      </c>
      <c r="L1223" s="10" t="str">
        <f t="shared" si="4"/>
        <v>1234 Pino</v>
      </c>
      <c r="M1223" s="10" t="s">
        <v>3135</v>
      </c>
      <c r="N1223" s="10" t="s">
        <v>3105</v>
      </c>
      <c r="O1223" s="10" t="s">
        <v>3135</v>
      </c>
      <c r="P1223" s="10" t="s">
        <v>2328</v>
      </c>
      <c r="Q1223" s="13"/>
      <c r="R1223" s="13"/>
      <c r="S1223" s="13"/>
      <c r="T1223" s="13"/>
      <c r="U1223" s="13"/>
      <c r="V1223" s="13"/>
      <c r="W1223" s="13"/>
      <c r="X1223" s="13"/>
    </row>
    <row r="1224" ht="14.25" customHeight="1">
      <c r="A1224" s="10" t="s">
        <v>3128</v>
      </c>
      <c r="B1224" s="10" t="s">
        <v>3129</v>
      </c>
      <c r="C1224" s="10">
        <v>1242.0</v>
      </c>
      <c r="D1224" s="11" t="s">
        <v>3262</v>
      </c>
      <c r="E1224" s="11" t="s">
        <v>3263</v>
      </c>
      <c r="F1224" s="11" t="s">
        <v>1549</v>
      </c>
      <c r="G1224" s="10">
        <v>1242.0</v>
      </c>
      <c r="H1224" s="10">
        <f>VLOOKUP(F1224,'Generos y Familia'!$A$1:$C$623,2,FALSE)</f>
        <v>75</v>
      </c>
      <c r="I1224" s="12" t="str">
        <f t="shared" si="1"/>
        <v>Roupala monosperma</v>
      </c>
      <c r="J1224" s="10" t="str">
        <f t="shared" si="2"/>
        <v>1242 Roupala monosperma</v>
      </c>
      <c r="K1224" s="10" t="str">
        <f t="shared" si="3"/>
        <v>Carnefiambre; Jigracaspi; Azufre; Carafiambre; Carneasao; Fiambre</v>
      </c>
      <c r="L1224" s="10" t="str">
        <f t="shared" si="4"/>
        <v>1242 Carnefiambre; Jigracaspi; Azufre; Carafiambre; Carneasao; Fiambre</v>
      </c>
      <c r="M1224" s="10" t="s">
        <v>35</v>
      </c>
      <c r="N1224" s="10" t="s">
        <v>36</v>
      </c>
      <c r="O1224" s="10" t="s">
        <v>37</v>
      </c>
      <c r="P1224" s="10" t="s">
        <v>3264</v>
      </c>
      <c r="Q1224" s="13"/>
      <c r="R1224" s="13"/>
      <c r="S1224" s="13"/>
      <c r="T1224" s="13"/>
      <c r="U1224" s="13"/>
      <c r="V1224" s="13"/>
      <c r="W1224" s="13"/>
      <c r="X1224" s="13"/>
    </row>
    <row r="1225" ht="14.25" customHeight="1">
      <c r="A1225" s="10" t="s">
        <v>3128</v>
      </c>
      <c r="B1225" s="10" t="s">
        <v>3129</v>
      </c>
      <c r="C1225" s="10">
        <v>1243.0</v>
      </c>
      <c r="D1225" s="11" t="s">
        <v>3265</v>
      </c>
      <c r="E1225" s="11" t="s">
        <v>3266</v>
      </c>
      <c r="F1225" s="11" t="s">
        <v>362</v>
      </c>
      <c r="G1225" s="10">
        <v>1235.0</v>
      </c>
      <c r="H1225" s="10">
        <f>VLOOKUP(F1225,'Generos y Familia'!$A$1:$C$623,2,FALSE)</f>
        <v>17</v>
      </c>
      <c r="I1225" s="12" t="str">
        <f t="shared" si="1"/>
        <v>Piptocoma discolor </v>
      </c>
      <c r="J1225" s="10" t="str">
        <f t="shared" si="2"/>
        <v>1235 Piptocoma discolor </v>
      </c>
      <c r="K1225" s="10" t="str">
        <f t="shared" si="3"/>
        <v>Gallinazo; Cenizo; Cacique</v>
      </c>
      <c r="L1225" s="10" t="str">
        <f t="shared" si="4"/>
        <v>1235 Gallinazo; Cenizo; Cacique</v>
      </c>
      <c r="M1225" s="10" t="s">
        <v>35</v>
      </c>
      <c r="N1225" s="10" t="s">
        <v>36</v>
      </c>
      <c r="O1225" s="10" t="s">
        <v>37</v>
      </c>
      <c r="P1225" s="10" t="s">
        <v>3267</v>
      </c>
      <c r="Q1225" s="13"/>
      <c r="R1225" s="13"/>
      <c r="S1225" s="13"/>
      <c r="T1225" s="13"/>
      <c r="U1225" s="13"/>
      <c r="V1225" s="13"/>
      <c r="W1225" s="13"/>
      <c r="X1225" s="13"/>
    </row>
    <row r="1226" ht="14.25" customHeight="1">
      <c r="A1226" s="10" t="s">
        <v>3128</v>
      </c>
      <c r="B1226" s="10" t="s">
        <v>3129</v>
      </c>
      <c r="C1226" s="10">
        <v>1245.0</v>
      </c>
      <c r="D1226" s="11" t="s">
        <v>3268</v>
      </c>
      <c r="E1226" s="11" t="s">
        <v>3269</v>
      </c>
      <c r="F1226" s="11" t="s">
        <v>1105</v>
      </c>
      <c r="G1226" s="10">
        <v>1237.0</v>
      </c>
      <c r="H1226" s="10">
        <f>VLOOKUP(F1226,'Generos y Familia'!$A$1:$C$623,2,FALSE)</f>
        <v>78</v>
      </c>
      <c r="I1226" s="12" t="str">
        <f t="shared" si="1"/>
        <v>Prunus muris </v>
      </c>
      <c r="J1226" s="10" t="str">
        <f t="shared" si="2"/>
        <v>1237 Prunus muris </v>
      </c>
      <c r="K1226" s="10" t="str">
        <f t="shared" si="3"/>
        <v>Ciruelo; Ciruela</v>
      </c>
      <c r="L1226" s="10" t="str">
        <f t="shared" si="4"/>
        <v>1237 Ciruelo; Ciruela</v>
      </c>
      <c r="M1226" s="10" t="s">
        <v>35</v>
      </c>
      <c r="N1226" s="10" t="s">
        <v>36</v>
      </c>
      <c r="O1226" s="10" t="s">
        <v>37</v>
      </c>
      <c r="P1226" s="10" t="s">
        <v>2485</v>
      </c>
      <c r="Q1226" s="13"/>
      <c r="R1226" s="13"/>
      <c r="S1226" s="13"/>
      <c r="T1226" s="13"/>
      <c r="U1226" s="13"/>
      <c r="V1226" s="13"/>
      <c r="W1226" s="13"/>
      <c r="X1226" s="13"/>
    </row>
    <row r="1227" ht="14.25" customHeight="1">
      <c r="A1227" s="10" t="s">
        <v>3128</v>
      </c>
      <c r="B1227" s="10" t="s">
        <v>3129</v>
      </c>
      <c r="C1227" s="10">
        <v>1247.0</v>
      </c>
      <c r="D1227" s="11" t="s">
        <v>3270</v>
      </c>
      <c r="E1227" s="11" t="s">
        <v>3271</v>
      </c>
      <c r="F1227" s="11" t="s">
        <v>1105</v>
      </c>
      <c r="G1227" s="10">
        <v>1238.0</v>
      </c>
      <c r="H1227" s="10">
        <f>VLOOKUP(F1227,'Generos y Familia'!$A$1:$C$623,2,FALSE)</f>
        <v>78</v>
      </c>
      <c r="I1227" s="12" t="str">
        <f t="shared" si="1"/>
        <v>Pyracantha angustifolia</v>
      </c>
      <c r="J1227" s="10" t="str">
        <f t="shared" si="2"/>
        <v>1238 Pyracantha angustifolia</v>
      </c>
      <c r="K1227" s="10" t="str">
        <f t="shared" si="3"/>
        <v>Piracanto; Coralito</v>
      </c>
      <c r="L1227" s="10" t="str">
        <f t="shared" si="4"/>
        <v>1238 Piracanto; Coralito</v>
      </c>
      <c r="M1227" s="10" t="s">
        <v>46</v>
      </c>
      <c r="N1227" s="10" t="s">
        <v>36</v>
      </c>
      <c r="O1227" s="10" t="s">
        <v>47</v>
      </c>
      <c r="P1227" s="10" t="s">
        <v>2534</v>
      </c>
      <c r="Q1227" s="13"/>
      <c r="R1227" s="13"/>
      <c r="S1227" s="13"/>
      <c r="T1227" s="13"/>
      <c r="U1227" s="13"/>
      <c r="V1227" s="13"/>
      <c r="W1227" s="13"/>
      <c r="X1227" s="13"/>
    </row>
    <row r="1228" ht="14.25" customHeight="1">
      <c r="A1228" s="10" t="s">
        <v>3128</v>
      </c>
      <c r="B1228" s="10" t="s">
        <v>3129</v>
      </c>
      <c r="C1228" s="10">
        <v>1239.0</v>
      </c>
      <c r="D1228" s="11" t="s">
        <v>3272</v>
      </c>
      <c r="E1228" s="11" t="s">
        <v>3273</v>
      </c>
      <c r="F1228" s="11" t="s">
        <v>1105</v>
      </c>
      <c r="G1228" s="10">
        <v>1239.0</v>
      </c>
      <c r="H1228" s="10">
        <f>VLOOKUP(F1228,'Generos y Familia'!$A$1:$C$623,2,FALSE)</f>
        <v>78</v>
      </c>
      <c r="I1228" s="12" t="str">
        <f t="shared" si="1"/>
        <v>Pyracantha sp,</v>
      </c>
      <c r="J1228" s="10" t="str">
        <f t="shared" si="2"/>
        <v>1239 Pyracantha sp,</v>
      </c>
      <c r="K1228" s="10" t="str">
        <f t="shared" si="3"/>
        <v>Coralito; Holly; Mortiño</v>
      </c>
      <c r="L1228" s="10" t="str">
        <f t="shared" si="4"/>
        <v>1239 Coralito; Holly; Mortiño</v>
      </c>
      <c r="M1228" s="10" t="s">
        <v>3135</v>
      </c>
      <c r="N1228" s="10" t="s">
        <v>3105</v>
      </c>
      <c r="O1228" s="10" t="s">
        <v>3135</v>
      </c>
      <c r="P1228" s="10" t="s">
        <v>2534</v>
      </c>
      <c r="Q1228" s="13"/>
      <c r="R1228" s="13"/>
      <c r="S1228" s="13"/>
      <c r="T1228" s="13"/>
      <c r="U1228" s="13"/>
      <c r="V1228" s="13"/>
      <c r="W1228" s="13"/>
      <c r="X1228" s="13"/>
    </row>
    <row r="1229" ht="14.25" customHeight="1">
      <c r="A1229" s="10" t="s">
        <v>3128</v>
      </c>
      <c r="B1229" s="10" t="s">
        <v>3129</v>
      </c>
      <c r="C1229" s="10">
        <v>1251.0</v>
      </c>
      <c r="D1229" s="11" t="s">
        <v>3274</v>
      </c>
      <c r="E1229" s="11" t="s">
        <v>3275</v>
      </c>
      <c r="F1229" s="11" t="s">
        <v>3276</v>
      </c>
      <c r="G1229" s="10">
        <v>1251.0</v>
      </c>
      <c r="H1229" s="10">
        <f>VLOOKUP(F1229,'Generos y Familia'!$A$1:$C$623,2,FALSE)</f>
        <v>90</v>
      </c>
      <c r="I1229" s="12" t="str">
        <f t="shared" si="1"/>
        <v>Turpinia occidentalis</v>
      </c>
      <c r="J1229" s="10" t="str">
        <f t="shared" si="2"/>
        <v>1251 Turpinia occidentalis</v>
      </c>
      <c r="K1229" s="10" t="str">
        <f t="shared" si="3"/>
        <v>Mantequillo; Almendro</v>
      </c>
      <c r="L1229" s="10" t="str">
        <f t="shared" si="4"/>
        <v>1251 Mantequillo; Almendro</v>
      </c>
      <c r="M1229" s="10" t="s">
        <v>35</v>
      </c>
      <c r="N1229" s="10" t="s">
        <v>36</v>
      </c>
      <c r="O1229" s="10" t="s">
        <v>37</v>
      </c>
      <c r="P1229" s="10" t="s">
        <v>3277</v>
      </c>
      <c r="Q1229" s="13"/>
      <c r="R1229" s="13"/>
      <c r="S1229" s="13"/>
      <c r="T1229" s="13"/>
      <c r="U1229" s="13"/>
      <c r="V1229" s="13"/>
      <c r="W1229" s="13"/>
      <c r="X1229" s="13"/>
    </row>
    <row r="1230" ht="14.25" customHeight="1">
      <c r="A1230" s="10" t="s">
        <v>3128</v>
      </c>
      <c r="B1230" s="10" t="s">
        <v>3129</v>
      </c>
      <c r="C1230" s="10">
        <v>1253.0</v>
      </c>
      <c r="D1230" s="11" t="s">
        <v>3278</v>
      </c>
      <c r="E1230" s="11" t="s">
        <v>3279</v>
      </c>
      <c r="F1230" s="11" t="s">
        <v>574</v>
      </c>
      <c r="G1230" s="10">
        <v>1253.0</v>
      </c>
      <c r="H1230" s="10">
        <f>VLOOKUP(F1230,'Generos y Familia'!$A$1:$C$623,2,FALSE)</f>
        <v>39</v>
      </c>
      <c r="I1230" s="12" t="str">
        <f t="shared" si="1"/>
        <v>Terminalia sp</v>
      </c>
      <c r="J1230" s="10" t="str">
        <f t="shared" si="2"/>
        <v>1253 Terminalia sp</v>
      </c>
      <c r="K1230" s="10" t="str">
        <f t="shared" si="3"/>
        <v>Terminalia; Almendro</v>
      </c>
      <c r="L1230" s="10" t="str">
        <f t="shared" si="4"/>
        <v>1253 Terminalia; Almendro</v>
      </c>
      <c r="M1230" s="10" t="s">
        <v>3135</v>
      </c>
      <c r="N1230" s="10" t="s">
        <v>3105</v>
      </c>
      <c r="O1230" s="10" t="s">
        <v>3135</v>
      </c>
      <c r="P1230" s="10" t="s">
        <v>575</v>
      </c>
      <c r="Q1230" s="13"/>
      <c r="R1230" s="13"/>
      <c r="S1230" s="13"/>
      <c r="T1230" s="13"/>
      <c r="U1230" s="13"/>
      <c r="V1230" s="13"/>
      <c r="W1230" s="13"/>
      <c r="X1230" s="13"/>
    </row>
    <row r="1231" ht="14.25" customHeight="1">
      <c r="A1231" s="10" t="s">
        <v>3128</v>
      </c>
      <c r="B1231" s="10" t="s">
        <v>3129</v>
      </c>
      <c r="C1231" s="10">
        <v>1254.0</v>
      </c>
      <c r="D1231" s="11" t="s">
        <v>3280</v>
      </c>
      <c r="E1231" s="11" t="s">
        <v>3281</v>
      </c>
      <c r="F1231" s="11" t="s">
        <v>1064</v>
      </c>
      <c r="G1231" s="10">
        <v>1254.0</v>
      </c>
      <c r="H1231" s="10">
        <f>VLOOKUP(F1231,'Generos y Familia'!$A$1:$C$623,2,FALSE)</f>
        <v>22</v>
      </c>
      <c r="I1231" s="12" t="str">
        <f t="shared" si="1"/>
        <v>Tournefortia fuliginosa</v>
      </c>
      <c r="J1231" s="10" t="str">
        <f t="shared" si="2"/>
        <v>1254 Tournefortia fuliginosa</v>
      </c>
      <c r="K1231" s="10" t="str">
        <f t="shared" si="3"/>
        <v>Verdenegro; Guásimo</v>
      </c>
      <c r="L1231" s="10" t="str">
        <f t="shared" si="4"/>
        <v>1254 Verdenegro; Guásimo</v>
      </c>
      <c r="M1231" s="10" t="s">
        <v>35</v>
      </c>
      <c r="N1231" s="10" t="s">
        <v>36</v>
      </c>
      <c r="O1231" s="10" t="s">
        <v>47</v>
      </c>
      <c r="P1231" s="10" t="s">
        <v>3282</v>
      </c>
      <c r="Q1231" s="13"/>
      <c r="R1231" s="13"/>
      <c r="S1231" s="13"/>
      <c r="T1231" s="13"/>
      <c r="U1231" s="13"/>
      <c r="V1231" s="13"/>
      <c r="W1231" s="13"/>
      <c r="X1231" s="13"/>
    </row>
    <row r="1232" ht="14.25" customHeight="1">
      <c r="A1232" s="10" t="s">
        <v>3128</v>
      </c>
      <c r="B1232" s="10" t="s">
        <v>3129</v>
      </c>
      <c r="C1232" s="10">
        <v>1255.0</v>
      </c>
      <c r="D1232" s="11" t="s">
        <v>3283</v>
      </c>
      <c r="E1232" s="11" t="s">
        <v>3284</v>
      </c>
      <c r="F1232" s="11" t="s">
        <v>1064</v>
      </c>
      <c r="G1232" s="10">
        <v>1255.0</v>
      </c>
      <c r="H1232" s="10">
        <f>VLOOKUP(F1232,'Generos y Familia'!$A$1:$C$623,2,FALSE)</f>
        <v>22</v>
      </c>
      <c r="I1232" s="12" t="str">
        <f t="shared" si="1"/>
        <v>Tournefortia scabrida</v>
      </c>
      <c r="J1232" s="10" t="str">
        <f t="shared" si="2"/>
        <v>1255 Tournefortia scabrida</v>
      </c>
      <c r="K1232" s="10" t="str">
        <f t="shared" si="3"/>
        <v>Guácimo Blanco</v>
      </c>
      <c r="L1232" s="10" t="str">
        <f t="shared" si="4"/>
        <v>1255 Guácimo Blanco</v>
      </c>
      <c r="M1232" s="10" t="s">
        <v>35</v>
      </c>
      <c r="N1232" s="10" t="s">
        <v>36</v>
      </c>
      <c r="O1232" s="10" t="s">
        <v>47</v>
      </c>
      <c r="P1232" s="10" t="s">
        <v>3282</v>
      </c>
      <c r="Q1232" s="13"/>
      <c r="R1232" s="13"/>
      <c r="S1232" s="13"/>
      <c r="T1232" s="13"/>
      <c r="U1232" s="13"/>
      <c r="V1232" s="13"/>
      <c r="W1232" s="13"/>
      <c r="X1232" s="13"/>
    </row>
    <row r="1233" ht="14.25" customHeight="1">
      <c r="A1233" s="10" t="s">
        <v>3128</v>
      </c>
      <c r="B1233" s="10" t="s">
        <v>3129</v>
      </c>
      <c r="C1233" s="10">
        <v>1244.0</v>
      </c>
      <c r="D1233" s="11" t="s">
        <v>3285</v>
      </c>
      <c r="E1233" s="11" t="s">
        <v>3286</v>
      </c>
      <c r="F1233" s="11" t="s">
        <v>837</v>
      </c>
      <c r="G1233" s="10">
        <v>1244.0</v>
      </c>
      <c r="H1233" s="10">
        <f>VLOOKUP(F1233,'Generos y Familia'!$A$1:$C$623,2,FALSE)</f>
        <v>34</v>
      </c>
      <c r="I1233" s="12" t="str">
        <f t="shared" si="1"/>
        <v>Salacia sp</v>
      </c>
      <c r="J1233" s="10" t="str">
        <f t="shared" si="2"/>
        <v>1244 Salacia sp</v>
      </c>
      <c r="K1233" s="10" t="str">
        <f t="shared" si="3"/>
        <v>Cabuyo</v>
      </c>
      <c r="L1233" s="10" t="str">
        <f t="shared" si="4"/>
        <v>1244 Cabuyo</v>
      </c>
      <c r="M1233" s="10" t="s">
        <v>3135</v>
      </c>
      <c r="N1233" s="10" t="s">
        <v>3105</v>
      </c>
      <c r="O1233" s="10" t="s">
        <v>3135</v>
      </c>
      <c r="P1233" s="10" t="s">
        <v>3287</v>
      </c>
      <c r="Q1233" s="13"/>
      <c r="R1233" s="13"/>
      <c r="S1233" s="13"/>
      <c r="T1233" s="13"/>
      <c r="U1233" s="13"/>
      <c r="V1233" s="13"/>
      <c r="W1233" s="13"/>
      <c r="X1233" s="13"/>
    </row>
    <row r="1234" ht="14.25" customHeight="1">
      <c r="A1234" s="10" t="s">
        <v>3128</v>
      </c>
      <c r="B1234" s="10" t="s">
        <v>3129</v>
      </c>
      <c r="C1234" s="10">
        <v>1256.0</v>
      </c>
      <c r="D1234" s="11" t="s">
        <v>3288</v>
      </c>
      <c r="E1234" s="11" t="s">
        <v>3289</v>
      </c>
      <c r="F1234" s="11" t="s">
        <v>1064</v>
      </c>
      <c r="G1234" s="10">
        <v>1256.0</v>
      </c>
      <c r="H1234" s="10">
        <f>VLOOKUP(F1234,'Generos y Familia'!$A$1:$C$623,2,FALSE)</f>
        <v>22</v>
      </c>
      <c r="I1234" s="12" t="str">
        <f t="shared" si="1"/>
        <v>Tournefortia sp</v>
      </c>
      <c r="J1234" s="10" t="str">
        <f t="shared" si="2"/>
        <v>1256 Tournefortia sp</v>
      </c>
      <c r="K1234" s="10" t="str">
        <f t="shared" si="3"/>
        <v>Guasco</v>
      </c>
      <c r="L1234" s="10" t="str">
        <f t="shared" si="4"/>
        <v>1256 Guasco</v>
      </c>
      <c r="M1234" s="10" t="s">
        <v>3135</v>
      </c>
      <c r="N1234" s="10" t="s">
        <v>3105</v>
      </c>
      <c r="O1234" s="10" t="s">
        <v>3135</v>
      </c>
      <c r="P1234" s="10" t="s">
        <v>3282</v>
      </c>
      <c r="Q1234" s="13"/>
      <c r="R1234" s="13"/>
      <c r="S1234" s="13"/>
      <c r="T1234" s="13"/>
      <c r="U1234" s="13"/>
      <c r="V1234" s="13"/>
      <c r="W1234" s="16"/>
      <c r="X1234" s="13"/>
    </row>
    <row r="1235" ht="14.25" customHeight="1">
      <c r="A1235" s="10" t="s">
        <v>3128</v>
      </c>
      <c r="B1235" s="10" t="s">
        <v>3129</v>
      </c>
      <c r="C1235" s="10">
        <v>1257.0</v>
      </c>
      <c r="D1235" s="11" t="s">
        <v>3290</v>
      </c>
      <c r="E1235" s="11" t="s">
        <v>3291</v>
      </c>
      <c r="F1235" s="11" t="s">
        <v>721</v>
      </c>
      <c r="G1235" s="10">
        <v>1257.0</v>
      </c>
      <c r="H1235" s="10">
        <f>VLOOKUP(F1235,'Generos y Familia'!$A$1:$C$623,2,FALSE)</f>
        <v>31</v>
      </c>
      <c r="I1235" s="12" t="str">
        <f t="shared" si="1"/>
        <v>Vasconcellea pubescens </v>
      </c>
      <c r="J1235" s="10" t="str">
        <f t="shared" si="2"/>
        <v>1257 Vasconcellea pubescens </v>
      </c>
      <c r="K1235" s="10" t="str">
        <f t="shared" si="3"/>
        <v>Papayuela; Papayuelo</v>
      </c>
      <c r="L1235" s="10" t="str">
        <f t="shared" si="4"/>
        <v>1257 Papayuela; Papayuelo</v>
      </c>
      <c r="M1235" s="10" t="s">
        <v>35</v>
      </c>
      <c r="N1235" s="10" t="s">
        <v>36</v>
      </c>
      <c r="O1235" s="10" t="s">
        <v>47</v>
      </c>
      <c r="P1235" s="10" t="s">
        <v>3001</v>
      </c>
      <c r="Q1235" s="13"/>
      <c r="R1235" s="13"/>
      <c r="S1235" s="13"/>
      <c r="T1235" s="13"/>
      <c r="U1235" s="13"/>
      <c r="V1235" s="13"/>
      <c r="W1235" s="13"/>
      <c r="X1235" s="13"/>
    </row>
    <row r="1236" ht="14.25" customHeight="1">
      <c r="A1236" s="10" t="s">
        <v>3128</v>
      </c>
      <c r="B1236" s="10" t="s">
        <v>3129</v>
      </c>
      <c r="C1236" s="10">
        <v>1258.0</v>
      </c>
      <c r="D1236" s="11" t="s">
        <v>3292</v>
      </c>
      <c r="E1236" s="11" t="s">
        <v>3293</v>
      </c>
      <c r="F1236" s="11" t="s">
        <v>82</v>
      </c>
      <c r="G1236" s="10">
        <v>1246.0</v>
      </c>
      <c r="H1236" s="10">
        <f>VLOOKUP(F1236,'Generos y Familia'!$A$1:$C$623,2,FALSE)</f>
        <v>26</v>
      </c>
      <c r="I1236" s="12" t="str">
        <f t="shared" si="1"/>
        <v>Sapium stylare</v>
      </c>
      <c r="J1236" s="10" t="str">
        <f t="shared" si="2"/>
        <v>1246 Sapium stylare</v>
      </c>
      <c r="K1236" s="10" t="str">
        <f t="shared" si="3"/>
        <v>Lechero; Caucho; Murillo; Mantequilla; Mantequillo; Lechudo</v>
      </c>
      <c r="L1236" s="10" t="str">
        <f t="shared" si="4"/>
        <v>1246 Lechero; Caucho; Murillo; Mantequilla; Mantequillo; Lechudo</v>
      </c>
      <c r="M1236" s="10" t="s">
        <v>35</v>
      </c>
      <c r="N1236" s="10" t="s">
        <v>36</v>
      </c>
      <c r="O1236" s="10" t="s">
        <v>37</v>
      </c>
      <c r="P1236" s="10" t="s">
        <v>2647</v>
      </c>
      <c r="Q1236" s="13"/>
      <c r="R1236" s="13"/>
      <c r="S1236" s="13"/>
      <c r="T1236" s="13"/>
      <c r="U1236" s="13"/>
      <c r="V1236" s="13"/>
      <c r="W1236" s="13"/>
      <c r="X1236" s="13"/>
    </row>
    <row r="1237" ht="14.25" customHeight="1">
      <c r="A1237" s="10" t="s">
        <v>3128</v>
      </c>
      <c r="B1237" s="10" t="s">
        <v>3129</v>
      </c>
      <c r="C1237" s="10">
        <v>1259.0</v>
      </c>
      <c r="D1237" s="11" t="s">
        <v>3294</v>
      </c>
      <c r="E1237" s="11" t="s">
        <v>3295</v>
      </c>
      <c r="F1237" s="11" t="s">
        <v>362</v>
      </c>
      <c r="G1237" s="10">
        <v>1259.0</v>
      </c>
      <c r="H1237" s="10">
        <f>VLOOKUP(F1237,'Generos y Familia'!$A$1:$C$623,2,FALSE)</f>
        <v>17</v>
      </c>
      <c r="I1237" s="12" t="str">
        <f t="shared" si="1"/>
        <v>Verbesina nudipes</v>
      </c>
      <c r="J1237" s="10" t="str">
        <f t="shared" si="2"/>
        <v>1259 Verbesina nudipes</v>
      </c>
      <c r="K1237" s="10" t="str">
        <f t="shared" si="3"/>
        <v>Yesco; Camargo</v>
      </c>
      <c r="L1237" s="10" t="str">
        <f t="shared" si="4"/>
        <v>1259 Yesco; Camargo</v>
      </c>
      <c r="M1237" s="10" t="s">
        <v>35</v>
      </c>
      <c r="N1237" s="10" t="s">
        <v>36</v>
      </c>
      <c r="O1237" s="10" t="s">
        <v>37</v>
      </c>
      <c r="P1237" s="10" t="s">
        <v>3012</v>
      </c>
      <c r="Q1237" s="13"/>
      <c r="R1237" s="13"/>
      <c r="S1237" s="13"/>
      <c r="T1237" s="13"/>
      <c r="U1237" s="13"/>
      <c r="V1237" s="13"/>
      <c r="W1237" s="13"/>
      <c r="X1237" s="13"/>
    </row>
    <row r="1238" ht="14.25" customHeight="1">
      <c r="A1238" s="10" t="s">
        <v>3128</v>
      </c>
      <c r="B1238" s="10" t="s">
        <v>3129</v>
      </c>
      <c r="C1238" s="10">
        <v>1248.0</v>
      </c>
      <c r="D1238" s="11" t="s">
        <v>3296</v>
      </c>
      <c r="E1238" s="11" t="s">
        <v>3297</v>
      </c>
      <c r="F1238" s="11" t="s">
        <v>2652</v>
      </c>
      <c r="G1238" s="10">
        <v>1248.0</v>
      </c>
      <c r="H1238" s="10">
        <f>VLOOKUP(F1238,'Generos y Familia'!$A$1:$C$623,2,FALSE)</f>
        <v>3</v>
      </c>
      <c r="I1238" s="12" t="str">
        <f t="shared" si="1"/>
        <v>Saurauia ursina</v>
      </c>
      <c r="J1238" s="10" t="str">
        <f t="shared" si="2"/>
        <v>1248 Saurauia ursina</v>
      </c>
      <c r="K1238" s="10" t="str">
        <f t="shared" si="3"/>
        <v>Dulumoco; Lulumoco; Dulomoco; Moco; Moquillo; Aguanoso</v>
      </c>
      <c r="L1238" s="10" t="str">
        <f t="shared" si="4"/>
        <v>1248 Dulumoco; Lulumoco; Dulomoco; Moco; Moquillo; Aguanoso</v>
      </c>
      <c r="M1238" s="10" t="s">
        <v>35</v>
      </c>
      <c r="N1238" s="10" t="s">
        <v>36</v>
      </c>
      <c r="O1238" s="10" t="s">
        <v>47</v>
      </c>
      <c r="P1238" s="10" t="s">
        <v>2653</v>
      </c>
      <c r="Q1238" s="13"/>
      <c r="R1238" s="13"/>
      <c r="S1238" s="13"/>
      <c r="T1238" s="13"/>
      <c r="U1238" s="13"/>
      <c r="V1238" s="13"/>
      <c r="W1238" s="13"/>
      <c r="X1238" s="13"/>
    </row>
    <row r="1239" ht="14.25" customHeight="1">
      <c r="A1239" s="10" t="s">
        <v>3128</v>
      </c>
      <c r="B1239" s="10" t="s">
        <v>3129</v>
      </c>
      <c r="C1239" s="10">
        <v>1249.0</v>
      </c>
      <c r="D1239" s="11" t="s">
        <v>3298</v>
      </c>
      <c r="E1239" s="11" t="s">
        <v>3299</v>
      </c>
      <c r="F1239" s="11" t="s">
        <v>324</v>
      </c>
      <c r="G1239" s="10">
        <v>1249.0</v>
      </c>
      <c r="H1239" s="10">
        <f>VLOOKUP(F1239,'Generos y Familia'!$A$1:$C$623,2,FALSE)</f>
        <v>12</v>
      </c>
      <c r="I1239" s="12" t="str">
        <f t="shared" si="1"/>
        <v>Schefflera sp</v>
      </c>
      <c r="J1239" s="10" t="str">
        <f t="shared" si="2"/>
        <v>1249 Schefflera sp</v>
      </c>
      <c r="K1239" s="10" t="str">
        <f t="shared" si="3"/>
        <v>Cheflera; Yuco</v>
      </c>
      <c r="L1239" s="10" t="str">
        <f t="shared" si="4"/>
        <v>1249 Cheflera; Yuco</v>
      </c>
      <c r="M1239" s="10" t="s">
        <v>3135</v>
      </c>
      <c r="N1239" s="10" t="s">
        <v>3105</v>
      </c>
      <c r="O1239" s="10" t="s">
        <v>3135</v>
      </c>
      <c r="P1239" s="10" t="s">
        <v>2655</v>
      </c>
      <c r="Q1239" s="13"/>
      <c r="R1239" s="13"/>
      <c r="S1239" s="13"/>
      <c r="T1239" s="13"/>
      <c r="U1239" s="13"/>
      <c r="V1239" s="13"/>
      <c r="W1239" s="13"/>
      <c r="X1239" s="13"/>
    </row>
    <row r="1240" ht="14.25" customHeight="1">
      <c r="A1240" s="10" t="s">
        <v>3128</v>
      </c>
      <c r="B1240" s="10" t="s">
        <v>3129</v>
      </c>
      <c r="C1240" s="10">
        <v>1261.0</v>
      </c>
      <c r="D1240" s="11" t="s">
        <v>3300</v>
      </c>
      <c r="E1240" s="11" t="s">
        <v>3301</v>
      </c>
      <c r="F1240" s="11" t="s">
        <v>2633</v>
      </c>
      <c r="G1240" s="10">
        <v>1261.0</v>
      </c>
      <c r="H1240" s="11">
        <v>4.0</v>
      </c>
      <c r="I1240" s="12" t="str">
        <f t="shared" si="1"/>
        <v>Viburnum undulatum</v>
      </c>
      <c r="J1240" s="10" t="str">
        <f t="shared" si="2"/>
        <v>1261 Viburnum undulatum</v>
      </c>
      <c r="K1240" s="10" t="str">
        <f t="shared" si="3"/>
        <v>Sauco de Monte; Pitá</v>
      </c>
      <c r="L1240" s="10" t="str">
        <f t="shared" si="4"/>
        <v>1261 Sauco de Monte; Pitá</v>
      </c>
      <c r="M1240" s="10" t="s">
        <v>46</v>
      </c>
      <c r="N1240" s="10" t="s">
        <v>36</v>
      </c>
      <c r="O1240" s="10" t="s">
        <v>37</v>
      </c>
      <c r="P1240" s="10" t="s">
        <v>3021</v>
      </c>
      <c r="Q1240" s="13"/>
      <c r="R1240" s="13"/>
      <c r="S1240" s="13"/>
      <c r="T1240" s="13"/>
      <c r="U1240" s="13"/>
      <c r="V1240" s="13"/>
      <c r="W1240" s="13"/>
      <c r="X1240" s="13"/>
    </row>
    <row r="1241" ht="14.25" customHeight="1">
      <c r="A1241" s="10" t="s">
        <v>3128</v>
      </c>
      <c r="B1241" s="10" t="s">
        <v>3129</v>
      </c>
      <c r="C1241" s="10">
        <v>1262.0</v>
      </c>
      <c r="D1241" s="11" t="s">
        <v>3302</v>
      </c>
      <c r="E1241" s="11" t="s">
        <v>3303</v>
      </c>
      <c r="F1241" s="11" t="s">
        <v>918</v>
      </c>
      <c r="G1241" s="10">
        <v>1262.0</v>
      </c>
      <c r="H1241" s="10">
        <f>VLOOKUP(F1241,'Generos y Familia'!$A$1:$C$623,2,FALSE)</f>
        <v>85</v>
      </c>
      <c r="I1241" s="12" t="str">
        <f t="shared" si="1"/>
        <v>Vitellaria paradoxa</v>
      </c>
      <c r="J1241" s="10" t="str">
        <f t="shared" si="2"/>
        <v>1262 Vitellaria paradoxa</v>
      </c>
      <c r="K1241" s="10" t="str">
        <f t="shared" si="3"/>
        <v>Karité</v>
      </c>
      <c r="L1241" s="10" t="str">
        <f t="shared" si="4"/>
        <v>1262 Karité</v>
      </c>
      <c r="M1241" s="10" t="s">
        <v>46</v>
      </c>
      <c r="N1241" s="10" t="s">
        <v>28</v>
      </c>
      <c r="O1241" s="10" t="s">
        <v>37</v>
      </c>
      <c r="P1241" s="10" t="s">
        <v>3304</v>
      </c>
      <c r="Q1241" s="13"/>
      <c r="R1241" s="13"/>
      <c r="S1241" s="13"/>
      <c r="T1241" s="13"/>
      <c r="U1241" s="13"/>
      <c r="V1241" s="13"/>
      <c r="W1241" s="13"/>
      <c r="X1241" s="13"/>
    </row>
    <row r="1242" ht="14.25" customHeight="1">
      <c r="A1242" s="10" t="s">
        <v>3128</v>
      </c>
      <c r="B1242" s="10" t="s">
        <v>3129</v>
      </c>
      <c r="C1242" s="10">
        <v>1263.0</v>
      </c>
      <c r="D1242" s="11" t="s">
        <v>3305</v>
      </c>
      <c r="E1242" s="11" t="s">
        <v>3306</v>
      </c>
      <c r="F1242" s="11" t="s">
        <v>762</v>
      </c>
      <c r="G1242" s="10">
        <v>1263.0</v>
      </c>
      <c r="H1242" s="10">
        <f>VLOOKUP(F1242,'Generos y Familia'!$A$1:$C$623,2,FALSE)</f>
        <v>82</v>
      </c>
      <c r="I1242" s="12" t="str">
        <f t="shared" si="1"/>
        <v>Xylosma spiculifera</v>
      </c>
      <c r="J1242" s="10" t="str">
        <f t="shared" si="2"/>
        <v>1263 Xylosma spiculifera</v>
      </c>
      <c r="K1242" s="10" t="str">
        <f t="shared" si="3"/>
        <v>Corono; Puyón; Aguja de Arria; Tachuelo; Cacho de Venado; Espino</v>
      </c>
      <c r="L1242" s="10" t="str">
        <f t="shared" si="4"/>
        <v>1263 Corono; Puyón; Aguja de Arria; Tachuelo; Cacho de Venado; Espino</v>
      </c>
      <c r="M1242" s="10" t="s">
        <v>35</v>
      </c>
      <c r="N1242" s="10" t="s">
        <v>36</v>
      </c>
      <c r="O1242" s="10" t="s">
        <v>37</v>
      </c>
      <c r="P1242" s="10" t="s">
        <v>3307</v>
      </c>
      <c r="Q1242" s="17" t="s">
        <v>338</v>
      </c>
      <c r="R1242" s="14" t="s">
        <v>53</v>
      </c>
      <c r="S1242" s="17" t="s">
        <v>145</v>
      </c>
      <c r="T1242" s="14"/>
      <c r="U1242" s="14" t="s">
        <v>73</v>
      </c>
      <c r="V1242" s="14"/>
      <c r="W1242" s="17"/>
      <c r="X1242" s="14" t="s">
        <v>41</v>
      </c>
    </row>
    <row r="1243" ht="14.25" customHeight="1">
      <c r="A1243" s="24" t="s">
        <v>3128</v>
      </c>
      <c r="B1243" s="24"/>
      <c r="C1243" s="10">
        <v>1264.0</v>
      </c>
      <c r="D1243" s="25" t="s">
        <v>3308</v>
      </c>
      <c r="E1243" s="25" t="s">
        <v>3309</v>
      </c>
      <c r="F1243" s="11" t="s">
        <v>431</v>
      </c>
      <c r="G1243" s="10">
        <v>1264.0</v>
      </c>
      <c r="H1243" s="10">
        <f>VLOOKUP(F1243,'Generos y Familia'!$A$1:$C$623,2,FALSE)</f>
        <v>70</v>
      </c>
      <c r="I1243" s="12" t="str">
        <f t="shared" si="1"/>
        <v>Phyllostachys aurea</v>
      </c>
      <c r="J1243" s="10" t="str">
        <f t="shared" si="2"/>
        <v>1264 Phyllostachys aurea</v>
      </c>
      <c r="K1243" s="10" t="str">
        <f t="shared" si="3"/>
        <v>Guaudilla; Bambú</v>
      </c>
      <c r="L1243" s="10" t="str">
        <f t="shared" si="4"/>
        <v>1264 Guaudilla; Bambú</v>
      </c>
      <c r="M1243" s="10" t="s">
        <v>46</v>
      </c>
      <c r="N1243" s="10" t="s">
        <v>36</v>
      </c>
      <c r="O1243" s="10" t="s">
        <v>432</v>
      </c>
      <c r="P1243" s="26" t="s">
        <v>3310</v>
      </c>
      <c r="Q1243" s="17"/>
      <c r="R1243" s="14"/>
      <c r="S1243" s="17"/>
      <c r="T1243" s="14"/>
      <c r="U1243" s="14" t="s">
        <v>55</v>
      </c>
      <c r="V1243" s="14"/>
      <c r="W1243" s="18"/>
      <c r="X1243" s="14"/>
    </row>
    <row r="1244" ht="14.25" customHeight="1">
      <c r="A1244" s="24" t="s">
        <v>3128</v>
      </c>
      <c r="B1244" s="24"/>
      <c r="C1244" s="10">
        <v>1265.0</v>
      </c>
      <c r="D1244" s="25" t="s">
        <v>3311</v>
      </c>
      <c r="E1244" s="25" t="s">
        <v>3312</v>
      </c>
      <c r="F1244" s="11" t="s">
        <v>148</v>
      </c>
      <c r="G1244" s="10">
        <v>1265.0</v>
      </c>
      <c r="H1244" s="10">
        <f>VLOOKUP(F1244,'Generos y Familia'!$A$1:$C$623,2,FALSE)</f>
        <v>15</v>
      </c>
      <c r="I1244" s="12" t="str">
        <f t="shared" si="1"/>
        <v>Furcraea selloa</v>
      </c>
      <c r="J1244" s="10" t="str">
        <f t="shared" si="2"/>
        <v>1265 Furcraea selloa</v>
      </c>
      <c r="K1244" s="10" t="str">
        <f t="shared" si="3"/>
        <v>Fique Rayado; Maguey</v>
      </c>
      <c r="L1244" s="10" t="str">
        <f t="shared" si="4"/>
        <v>1265 Fique Rayado; Maguey</v>
      </c>
      <c r="M1244" s="10" t="s">
        <v>35</v>
      </c>
      <c r="N1244" s="10" t="s">
        <v>36</v>
      </c>
      <c r="O1244" s="10" t="s">
        <v>149</v>
      </c>
      <c r="P1244" s="26" t="s">
        <v>3313</v>
      </c>
      <c r="Q1244" s="17"/>
      <c r="R1244" s="14"/>
      <c r="S1244" s="17"/>
      <c r="T1244" s="14"/>
      <c r="U1244" s="14" t="s">
        <v>40</v>
      </c>
      <c r="V1244" s="14"/>
      <c r="W1244" s="17"/>
      <c r="X1244" s="14"/>
    </row>
    <row r="1245" ht="14.25" customHeight="1">
      <c r="A1245" s="10" t="s">
        <v>3128</v>
      </c>
      <c r="B1245" s="10" t="s">
        <v>3129</v>
      </c>
      <c r="C1245" s="10">
        <v>1266.0</v>
      </c>
      <c r="D1245" s="11" t="s">
        <v>3314</v>
      </c>
      <c r="E1245" s="11" t="s">
        <v>3315</v>
      </c>
      <c r="F1245" s="11" t="s">
        <v>95</v>
      </c>
      <c r="G1245" s="10">
        <v>1252.0</v>
      </c>
      <c r="H1245" s="10">
        <f>VLOOKUP(F1245,'Generos y Familia'!$A$1:$C$623,2,FALSE)</f>
        <v>49</v>
      </c>
      <c r="I1245" s="12" t="str">
        <f t="shared" si="1"/>
        <v>Syzygium paniculatum</v>
      </c>
      <c r="J1245" s="10" t="str">
        <f t="shared" si="2"/>
        <v>1252 Syzygium paniculatum</v>
      </c>
      <c r="K1245" s="10" t="str">
        <f t="shared" si="3"/>
        <v>Eugenia; Eugenio</v>
      </c>
      <c r="L1245" s="10" t="str">
        <f t="shared" si="4"/>
        <v>1252 Eugenia; Eugenio</v>
      </c>
      <c r="M1245" s="10" t="s">
        <v>46</v>
      </c>
      <c r="N1245" s="10" t="s">
        <v>36</v>
      </c>
      <c r="O1245" s="10" t="s">
        <v>37</v>
      </c>
      <c r="P1245" s="10" t="s">
        <v>2804</v>
      </c>
      <c r="Q1245" s="17" t="s">
        <v>379</v>
      </c>
      <c r="R1245" s="14" t="s">
        <v>39</v>
      </c>
      <c r="S1245" s="17" t="s">
        <v>54</v>
      </c>
      <c r="T1245" s="14" t="s">
        <v>39</v>
      </c>
      <c r="U1245" s="14" t="s">
        <v>55</v>
      </c>
      <c r="V1245" s="14"/>
      <c r="W1245" s="17"/>
      <c r="X1245" s="14"/>
    </row>
    <row r="1246" ht="14.25" customHeight="1">
      <c r="A1246" s="24" t="s">
        <v>3128</v>
      </c>
      <c r="B1246" s="24"/>
      <c r="C1246" s="10">
        <v>1267.0</v>
      </c>
      <c r="D1246" s="25" t="s">
        <v>3316</v>
      </c>
      <c r="E1246" s="25" t="s">
        <v>3317</v>
      </c>
      <c r="F1246" s="11" t="s">
        <v>769</v>
      </c>
      <c r="G1246" s="10">
        <v>1267.0</v>
      </c>
      <c r="H1246" s="10">
        <f>VLOOKUP(F1246,'Generos y Familia'!$A$1:$C$623,2,FALSE)</f>
        <v>80</v>
      </c>
      <c r="I1246" s="12" t="str">
        <f t="shared" si="1"/>
        <v>Amyris pinnata</v>
      </c>
      <c r="J1246" s="10" t="str">
        <f t="shared" si="2"/>
        <v>1267 Amyris pinnata</v>
      </c>
      <c r="K1246" s="10" t="str">
        <f t="shared" si="3"/>
        <v>Marfil; Chaquiro Marfil</v>
      </c>
      <c r="L1246" s="10" t="str">
        <f t="shared" si="4"/>
        <v>1267 Marfil; Chaquiro Marfil</v>
      </c>
      <c r="M1246" s="10" t="s">
        <v>35</v>
      </c>
      <c r="N1246" s="10" t="s">
        <v>36</v>
      </c>
      <c r="O1246" s="10" t="s">
        <v>37</v>
      </c>
      <c r="P1246" s="26" t="s">
        <v>3318</v>
      </c>
      <c r="Q1246" s="17"/>
      <c r="R1246" s="14"/>
      <c r="S1246" s="17"/>
      <c r="T1246" s="14"/>
      <c r="U1246" s="14" t="s">
        <v>40</v>
      </c>
      <c r="V1246" s="14"/>
      <c r="W1246" s="17"/>
      <c r="X1246" s="14"/>
    </row>
    <row r="1247" ht="14.25" customHeight="1">
      <c r="A1247" s="24" t="s">
        <v>3128</v>
      </c>
      <c r="B1247" s="24"/>
      <c r="C1247" s="10">
        <v>1268.0</v>
      </c>
      <c r="D1247" s="25" t="s">
        <v>3319</v>
      </c>
      <c r="E1247" s="25" t="s">
        <v>3320</v>
      </c>
      <c r="F1247" s="11" t="s">
        <v>362</v>
      </c>
      <c r="G1247" s="10">
        <v>1268.0</v>
      </c>
      <c r="H1247" s="10">
        <f>VLOOKUP(F1247,'Generos y Familia'!$A$1:$C$623,2,FALSE)</f>
        <v>17</v>
      </c>
      <c r="I1247" s="12" t="str">
        <f t="shared" si="1"/>
        <v>Baccharis trinervis</v>
      </c>
      <c r="J1247" s="10" t="str">
        <f t="shared" si="2"/>
        <v>1268 Baccharis trinervis</v>
      </c>
      <c r="K1247" s="10" t="str">
        <f t="shared" si="3"/>
        <v>Chilca; Chilco; Muchacho</v>
      </c>
      <c r="L1247" s="10" t="str">
        <f t="shared" si="4"/>
        <v>1268 Chilca; Chilco; Muchacho</v>
      </c>
      <c r="M1247" s="10" t="s">
        <v>35</v>
      </c>
      <c r="N1247" s="10" t="s">
        <v>36</v>
      </c>
      <c r="O1247" s="10" t="s">
        <v>47</v>
      </c>
      <c r="P1247" s="26" t="s">
        <v>415</v>
      </c>
      <c r="Q1247" s="17"/>
      <c r="R1247" s="14"/>
      <c r="S1247" s="17"/>
      <c r="T1247" s="14"/>
      <c r="U1247" s="14" t="s">
        <v>55</v>
      </c>
      <c r="V1247" s="14"/>
      <c r="W1247" s="17"/>
      <c r="X1247" s="14"/>
    </row>
    <row r="1248" ht="14.25" customHeight="1">
      <c r="A1248" s="24" t="s">
        <v>3128</v>
      </c>
      <c r="B1248" s="24"/>
      <c r="C1248" s="10">
        <v>1269.0</v>
      </c>
      <c r="D1248" s="25" t="s">
        <v>3321</v>
      </c>
      <c r="E1248" s="25" t="s">
        <v>3322</v>
      </c>
      <c r="F1248" s="11" t="s">
        <v>148</v>
      </c>
      <c r="G1248" s="10">
        <v>1269.0</v>
      </c>
      <c r="H1248" s="10">
        <f>VLOOKUP(F1248,'Generos y Familia'!$A$1:$C$623,2,FALSE)</f>
        <v>15</v>
      </c>
      <c r="I1248" s="12" t="str">
        <f t="shared" si="1"/>
        <v>Beaucarnea pliabilis</v>
      </c>
      <c r="J1248" s="10" t="str">
        <f t="shared" si="2"/>
        <v>1269 Beaucarnea pliabilis</v>
      </c>
      <c r="K1248" s="10" t="str">
        <f t="shared" si="3"/>
        <v>Despeinada</v>
      </c>
      <c r="L1248" s="10" t="str">
        <f t="shared" si="4"/>
        <v>1269 Despeinada</v>
      </c>
      <c r="M1248" s="10" t="s">
        <v>46</v>
      </c>
      <c r="N1248" s="10" t="s">
        <v>36</v>
      </c>
      <c r="O1248" s="10" t="s">
        <v>37</v>
      </c>
      <c r="P1248" s="26" t="s">
        <v>461</v>
      </c>
      <c r="Q1248" s="17"/>
      <c r="R1248" s="13"/>
      <c r="S1248" s="17"/>
      <c r="T1248" s="14"/>
      <c r="U1248" s="14"/>
      <c r="V1248" s="14"/>
      <c r="W1248" s="17"/>
      <c r="X1248" s="14"/>
    </row>
    <row r="1249" ht="14.25" customHeight="1">
      <c r="A1249" s="24" t="s">
        <v>3128</v>
      </c>
      <c r="B1249" s="24"/>
      <c r="C1249" s="10">
        <v>1270.0</v>
      </c>
      <c r="D1249" s="25" t="s">
        <v>3323</v>
      </c>
      <c r="E1249" s="25" t="s">
        <v>3324</v>
      </c>
      <c r="F1249" s="11" t="s">
        <v>103</v>
      </c>
      <c r="G1249" s="10">
        <v>1270.0</v>
      </c>
      <c r="H1249" s="10">
        <f>VLOOKUP(F1249,'Generos y Familia'!$A$1:$C$623,2,FALSE)</f>
        <v>89</v>
      </c>
      <c r="I1249" s="12" t="str">
        <f t="shared" si="1"/>
        <v>Brunfelsia americana</v>
      </c>
      <c r="J1249" s="10" t="str">
        <f t="shared" si="2"/>
        <v>1270 Brunfelsia americana</v>
      </c>
      <c r="K1249" s="10" t="str">
        <f t="shared" si="3"/>
        <v>Aguacero</v>
      </c>
      <c r="L1249" s="10" t="str">
        <f t="shared" si="4"/>
        <v>1270 Aguacero</v>
      </c>
      <c r="M1249" s="10" t="s">
        <v>35</v>
      </c>
      <c r="N1249" s="10" t="s">
        <v>36</v>
      </c>
      <c r="O1249" s="10" t="s">
        <v>47</v>
      </c>
      <c r="P1249" s="26" t="s">
        <v>563</v>
      </c>
      <c r="Q1249" s="17"/>
      <c r="R1249" s="14"/>
      <c r="S1249" s="17"/>
      <c r="T1249" s="14"/>
      <c r="U1249" s="14" t="s">
        <v>40</v>
      </c>
      <c r="V1249" s="14"/>
      <c r="W1249" s="17"/>
      <c r="X1249" s="14"/>
    </row>
    <row r="1250" ht="14.25" customHeight="1">
      <c r="A1250" s="24" t="s">
        <v>3128</v>
      </c>
      <c r="B1250" s="24"/>
      <c r="C1250" s="10">
        <v>1271.0</v>
      </c>
      <c r="D1250" s="25" t="s">
        <v>3325</v>
      </c>
      <c r="E1250" s="25" t="s">
        <v>3326</v>
      </c>
      <c r="F1250" s="11" t="s">
        <v>206</v>
      </c>
      <c r="G1250" s="10">
        <v>1271.0</v>
      </c>
      <c r="H1250" s="10">
        <f>VLOOKUP(F1250,'Generos y Familia'!$A$1:$C$623,2,FALSE)</f>
        <v>9</v>
      </c>
      <c r="I1250" s="12" t="str">
        <f t="shared" si="1"/>
        <v>Cascabela thevetia</v>
      </c>
      <c r="J1250" s="10" t="str">
        <f t="shared" si="2"/>
        <v>1271 Cascabela thevetia</v>
      </c>
      <c r="K1250" s="10" t="str">
        <f t="shared" si="3"/>
        <v>Covalonga; Cobalonga</v>
      </c>
      <c r="L1250" s="10" t="str">
        <f t="shared" si="4"/>
        <v>1271 Covalonga; Cobalonga</v>
      </c>
      <c r="M1250" s="10" t="s">
        <v>46</v>
      </c>
      <c r="N1250" s="10" t="s">
        <v>36</v>
      </c>
      <c r="O1250" s="10" t="s">
        <v>47</v>
      </c>
      <c r="P1250" s="26" t="s">
        <v>759</v>
      </c>
      <c r="Q1250" s="17" t="s">
        <v>559</v>
      </c>
      <c r="R1250" s="13" t="s">
        <v>39</v>
      </c>
      <c r="S1250" s="17" t="s">
        <v>145</v>
      </c>
      <c r="T1250" s="13" t="s">
        <v>39</v>
      </c>
      <c r="U1250" s="14" t="s">
        <v>40</v>
      </c>
      <c r="V1250" s="14"/>
      <c r="W1250" s="17"/>
      <c r="X1250" s="14"/>
    </row>
    <row r="1251" ht="14.25" customHeight="1">
      <c r="A1251" s="24" t="s">
        <v>3128</v>
      </c>
      <c r="B1251" s="24"/>
      <c r="C1251" s="10">
        <v>1272.0</v>
      </c>
      <c r="D1251" s="25" t="s">
        <v>3327</v>
      </c>
      <c r="E1251" s="25" t="s">
        <v>3328</v>
      </c>
      <c r="F1251" s="11" t="s">
        <v>3329</v>
      </c>
      <c r="G1251" s="10">
        <v>1272.0</v>
      </c>
      <c r="H1251" s="10">
        <f>VLOOKUP(F1251,'Generos y Familia'!$A$1:$C$623,2,FALSE)</f>
        <v>27</v>
      </c>
      <c r="I1251" s="12" t="str">
        <f t="shared" si="1"/>
        <v>Cassia leptophylla</v>
      </c>
      <c r="J1251" s="10" t="str">
        <f t="shared" si="2"/>
        <v>1272 Cassia leptophylla</v>
      </c>
      <c r="K1251" s="10" t="str">
        <f t="shared" si="3"/>
        <v>Medallón de Oro</v>
      </c>
      <c r="L1251" s="10" t="str">
        <f t="shared" si="4"/>
        <v>1272 Medallón de Oro</v>
      </c>
      <c r="M1251" s="10" t="s">
        <v>46</v>
      </c>
      <c r="N1251" s="10" t="s">
        <v>36</v>
      </c>
      <c r="O1251" s="10" t="s">
        <v>37</v>
      </c>
      <c r="P1251" s="26" t="s">
        <v>775</v>
      </c>
      <c r="Q1251" s="17"/>
      <c r="R1251" s="14"/>
      <c r="S1251" s="17"/>
      <c r="T1251" s="14"/>
      <c r="U1251" s="14" t="s">
        <v>40</v>
      </c>
      <c r="V1251" s="14"/>
      <c r="W1251" s="17"/>
      <c r="X1251" s="14"/>
    </row>
    <row r="1252" ht="14.25" customHeight="1">
      <c r="A1252" s="24" t="s">
        <v>3128</v>
      </c>
      <c r="B1252" s="24"/>
      <c r="C1252" s="10">
        <v>1273.0</v>
      </c>
      <c r="D1252" s="25" t="s">
        <v>3330</v>
      </c>
      <c r="E1252" s="25" t="s">
        <v>3331</v>
      </c>
      <c r="F1252" s="11" t="s">
        <v>3329</v>
      </c>
      <c r="G1252" s="10">
        <v>1273.0</v>
      </c>
      <c r="H1252" s="10">
        <f>VLOOKUP(F1252,'Generos y Familia'!$A$1:$C$623,2,FALSE)</f>
        <v>27</v>
      </c>
      <c r="I1252" s="12" t="str">
        <f t="shared" si="1"/>
        <v>Cenostigma eriostachys</v>
      </c>
      <c r="J1252" s="10" t="str">
        <f t="shared" si="2"/>
        <v>1273 Cenostigma eriostachys</v>
      </c>
      <c r="K1252" s="10" t="str">
        <f t="shared" si="3"/>
        <v>Casiguano</v>
      </c>
      <c r="L1252" s="10" t="str">
        <f t="shared" si="4"/>
        <v>1273 Casiguano</v>
      </c>
      <c r="M1252" s="10" t="s">
        <v>35</v>
      </c>
      <c r="N1252" s="10" t="s">
        <v>36</v>
      </c>
      <c r="O1252" s="10" t="s">
        <v>37</v>
      </c>
      <c r="P1252" s="26" t="s">
        <v>3332</v>
      </c>
      <c r="Q1252" s="17"/>
      <c r="R1252" s="14"/>
      <c r="S1252" s="17"/>
      <c r="T1252" s="14"/>
      <c r="U1252" s="14" t="s">
        <v>40</v>
      </c>
      <c r="V1252" s="14"/>
      <c r="W1252" s="17"/>
      <c r="X1252" s="14"/>
    </row>
    <row r="1253" ht="14.25" customHeight="1">
      <c r="A1253" s="24" t="s">
        <v>3128</v>
      </c>
      <c r="B1253" s="24"/>
      <c r="C1253" s="10">
        <v>1274.0</v>
      </c>
      <c r="D1253" s="25" t="s">
        <v>3333</v>
      </c>
      <c r="E1253" s="25" t="s">
        <v>3334</v>
      </c>
      <c r="F1253" s="11" t="s">
        <v>1064</v>
      </c>
      <c r="G1253" s="10">
        <v>1274.0</v>
      </c>
      <c r="H1253" s="10">
        <f>VLOOKUP(F1253,'Generos y Familia'!$A$1:$C$623,2,FALSE)</f>
        <v>22</v>
      </c>
      <c r="I1253" s="12" t="str">
        <f t="shared" si="1"/>
        <v>Cordia nodosa</v>
      </c>
      <c r="J1253" s="10" t="str">
        <f t="shared" si="2"/>
        <v>1274 Cordia nodosa</v>
      </c>
      <c r="K1253" s="10" t="str">
        <f t="shared" si="3"/>
        <v>Turmetoro; Turmemono; Babasaino</v>
      </c>
      <c r="L1253" s="10" t="str">
        <f t="shared" si="4"/>
        <v>1274 Turmetoro; Turmemono; Babasaino</v>
      </c>
      <c r="M1253" s="10" t="s">
        <v>35</v>
      </c>
      <c r="N1253" s="10" t="s">
        <v>36</v>
      </c>
      <c r="O1253" s="10" t="s">
        <v>47</v>
      </c>
      <c r="P1253" s="26" t="s">
        <v>1065</v>
      </c>
      <c r="Q1253" s="17"/>
      <c r="R1253" s="14"/>
      <c r="S1253" s="17"/>
      <c r="T1253" s="14"/>
      <c r="U1253" s="14" t="s">
        <v>40</v>
      </c>
      <c r="V1253" s="14"/>
      <c r="W1253" s="17"/>
      <c r="X1253" s="14"/>
    </row>
    <row r="1254" ht="14.25" customHeight="1">
      <c r="A1254" s="24" t="s">
        <v>3128</v>
      </c>
      <c r="B1254" s="24"/>
      <c r="C1254" s="10">
        <v>1275.0</v>
      </c>
      <c r="D1254" s="25" t="s">
        <v>3335</v>
      </c>
      <c r="E1254" s="25" t="s">
        <v>3336</v>
      </c>
      <c r="F1254" s="11" t="s">
        <v>82</v>
      </c>
      <c r="G1254" s="10">
        <v>1275.0</v>
      </c>
      <c r="H1254" s="10">
        <f>VLOOKUP(F1254,'Generos y Familia'!$A$1:$C$623,2,FALSE)</f>
        <v>26</v>
      </c>
      <c r="I1254" s="12" t="str">
        <f t="shared" si="1"/>
        <v>Croton flavens</v>
      </c>
      <c r="J1254" s="10" t="str">
        <f t="shared" si="2"/>
        <v>1275 Croton flavens</v>
      </c>
      <c r="K1254" s="10" t="str">
        <f t="shared" si="3"/>
        <v>Croton; Drago</v>
      </c>
      <c r="L1254" s="10" t="str">
        <f t="shared" si="4"/>
        <v>1275 Croton; Drago</v>
      </c>
      <c r="M1254" s="10" t="s">
        <v>35</v>
      </c>
      <c r="N1254" s="10" t="s">
        <v>36</v>
      </c>
      <c r="O1254" s="10" t="s">
        <v>47</v>
      </c>
      <c r="P1254" s="26" t="s">
        <v>1128</v>
      </c>
      <c r="Q1254" s="17"/>
      <c r="R1254" s="14"/>
      <c r="S1254" s="17"/>
      <c r="T1254" s="14"/>
      <c r="U1254" s="14" t="s">
        <v>40</v>
      </c>
      <c r="V1254" s="14"/>
      <c r="W1254" s="17"/>
      <c r="X1254" s="14"/>
    </row>
    <row r="1255" ht="14.25" customHeight="1">
      <c r="A1255" s="24" t="s">
        <v>3128</v>
      </c>
      <c r="B1255" s="24"/>
      <c r="C1255" s="10">
        <v>1276.0</v>
      </c>
      <c r="D1255" s="25" t="s">
        <v>3337</v>
      </c>
      <c r="E1255" s="25" t="s">
        <v>3338</v>
      </c>
      <c r="F1255" s="11" t="s">
        <v>148</v>
      </c>
      <c r="G1255" s="10">
        <v>1276.0</v>
      </c>
      <c r="H1255" s="10">
        <f>VLOOKUP(F1255,'Generos y Familia'!$A$1:$C$623,2,FALSE)</f>
        <v>15</v>
      </c>
      <c r="I1255" s="12" t="str">
        <f t="shared" si="1"/>
        <v>Dracaena draco</v>
      </c>
      <c r="J1255" s="10" t="str">
        <f t="shared" si="2"/>
        <v>1276 Dracaena draco</v>
      </c>
      <c r="K1255" s="10" t="str">
        <f t="shared" si="3"/>
        <v>Draco de Canarias</v>
      </c>
      <c r="L1255" s="10" t="str">
        <f t="shared" si="4"/>
        <v>1276 Draco de Canarias</v>
      </c>
      <c r="M1255" s="10" t="s">
        <v>46</v>
      </c>
      <c r="N1255" s="10" t="s">
        <v>36</v>
      </c>
      <c r="O1255" s="10" t="s">
        <v>37</v>
      </c>
      <c r="P1255" s="26" t="s">
        <v>1263</v>
      </c>
      <c r="Q1255" s="17" t="s">
        <v>338</v>
      </c>
      <c r="R1255" s="13" t="s">
        <v>53</v>
      </c>
      <c r="S1255" s="17"/>
      <c r="T1255" s="14"/>
      <c r="U1255" s="14" t="s">
        <v>73</v>
      </c>
      <c r="V1255" s="14"/>
      <c r="W1255" s="17"/>
      <c r="X1255" s="14"/>
    </row>
    <row r="1256" ht="14.25" customHeight="1">
      <c r="A1256" s="24" t="s">
        <v>3128</v>
      </c>
      <c r="B1256" s="24"/>
      <c r="C1256" s="10">
        <v>1277.0</v>
      </c>
      <c r="D1256" s="25" t="s">
        <v>3339</v>
      </c>
      <c r="E1256" s="25" t="s">
        <v>3340</v>
      </c>
      <c r="F1256" s="11" t="s">
        <v>365</v>
      </c>
      <c r="G1256" s="10">
        <v>1277.0</v>
      </c>
      <c r="H1256" s="10">
        <f>VLOOKUP(F1256,'Generos y Familia'!$A$1:$C$623,2,FALSE)</f>
        <v>43</v>
      </c>
      <c r="I1256" s="12" t="str">
        <f t="shared" si="1"/>
        <v>Ficus lutea</v>
      </c>
      <c r="J1256" s="10" t="str">
        <f t="shared" si="2"/>
        <v>1277 Ficus lutea</v>
      </c>
      <c r="K1256" s="10" t="str">
        <f t="shared" si="3"/>
        <v>Higo de Hojas Gigantes</v>
      </c>
      <c r="L1256" s="10" t="str">
        <f t="shared" si="4"/>
        <v>1277 Higo de Hojas Gigantes</v>
      </c>
      <c r="M1256" s="10" t="s">
        <v>46</v>
      </c>
      <c r="N1256" s="10" t="s">
        <v>36</v>
      </c>
      <c r="O1256" s="10" t="s">
        <v>37</v>
      </c>
      <c r="P1256" s="26" t="s">
        <v>1428</v>
      </c>
      <c r="Q1256" s="17"/>
      <c r="R1256" s="14"/>
      <c r="S1256" s="17"/>
      <c r="T1256" s="14"/>
      <c r="U1256" s="14" t="s">
        <v>55</v>
      </c>
      <c r="V1256" s="14"/>
      <c r="W1256" s="17"/>
      <c r="X1256" s="14"/>
    </row>
    <row r="1257" ht="14.25" customHeight="1">
      <c r="A1257" s="24" t="s">
        <v>3128</v>
      </c>
      <c r="B1257" s="24"/>
      <c r="C1257" s="10">
        <v>1279.0</v>
      </c>
      <c r="D1257" s="25" t="s">
        <v>3341</v>
      </c>
      <c r="E1257" s="25" t="s">
        <v>3342</v>
      </c>
      <c r="F1257" s="11" t="s">
        <v>596</v>
      </c>
      <c r="G1257" s="10">
        <v>1279.0</v>
      </c>
      <c r="H1257" s="10">
        <f>VLOOKUP(F1257,'Generos y Familia'!$A$1:$C$623,2,FALSE)</f>
        <v>39</v>
      </c>
      <c r="I1257" s="12" t="str">
        <f t="shared" si="1"/>
        <v>Malpighia emarginata</v>
      </c>
      <c r="J1257" s="10" t="str">
        <f t="shared" si="2"/>
        <v>1279 Malpighia emarginata</v>
      </c>
      <c r="K1257" s="10" t="str">
        <f t="shared" si="3"/>
        <v>Grocello; Huesito</v>
      </c>
      <c r="L1257" s="10" t="str">
        <f t="shared" si="4"/>
        <v>1279 Grocello; Huesito</v>
      </c>
      <c r="M1257" s="10" t="s">
        <v>46</v>
      </c>
      <c r="N1257" s="10" t="s">
        <v>36</v>
      </c>
      <c r="O1257" s="10" t="s">
        <v>47</v>
      </c>
      <c r="P1257" s="26" t="s">
        <v>1931</v>
      </c>
      <c r="Q1257" s="17"/>
      <c r="R1257" s="14"/>
      <c r="S1257" s="17"/>
      <c r="T1257" s="14"/>
      <c r="U1257" s="14" t="s">
        <v>55</v>
      </c>
      <c r="V1257" s="14"/>
      <c r="W1257" s="17"/>
      <c r="X1257" s="14"/>
    </row>
    <row r="1258" ht="14.25" customHeight="1">
      <c r="A1258" s="24" t="s">
        <v>3128</v>
      </c>
      <c r="B1258" s="24"/>
      <c r="C1258" s="10">
        <v>1280.0</v>
      </c>
      <c r="D1258" s="25" t="s">
        <v>3343</v>
      </c>
      <c r="E1258" s="25" t="s">
        <v>3344</v>
      </c>
      <c r="F1258" s="11" t="s">
        <v>158</v>
      </c>
      <c r="G1258" s="10">
        <v>1280.0</v>
      </c>
      <c r="H1258" s="10">
        <f>VLOOKUP(F1258,'Generos y Familia'!$A$1:$C$623,2,FALSE)</f>
        <v>35</v>
      </c>
      <c r="I1258" s="12" t="str">
        <f t="shared" si="1"/>
        <v>Nectandra hihua</v>
      </c>
      <c r="J1258" s="10" t="str">
        <f t="shared" si="2"/>
        <v>1280 Nectandra hihua</v>
      </c>
      <c r="K1258" s="10" t="str">
        <f t="shared" si="3"/>
        <v>Laurel Baboso</v>
      </c>
      <c r="L1258" s="10" t="str">
        <f t="shared" si="4"/>
        <v>1280 Laurel Baboso</v>
      </c>
      <c r="M1258" s="10" t="s">
        <v>35</v>
      </c>
      <c r="N1258" s="10" t="s">
        <v>36</v>
      </c>
      <c r="O1258" s="10" t="s">
        <v>37</v>
      </c>
      <c r="P1258" s="26" t="s">
        <v>2122</v>
      </c>
      <c r="Q1258" s="17"/>
      <c r="R1258" s="14"/>
      <c r="S1258" s="17"/>
      <c r="T1258" s="14"/>
      <c r="U1258" s="14" t="s">
        <v>40</v>
      </c>
      <c r="V1258" s="14"/>
      <c r="W1258" s="17"/>
      <c r="X1258" s="14"/>
    </row>
    <row r="1259" ht="14.25" customHeight="1">
      <c r="A1259" s="24" t="s">
        <v>3128</v>
      </c>
      <c r="B1259" s="24"/>
      <c r="C1259" s="10">
        <v>1281.0</v>
      </c>
      <c r="D1259" s="25" t="s">
        <v>3345</v>
      </c>
      <c r="E1259" s="25" t="s">
        <v>3346</v>
      </c>
      <c r="F1259" s="11" t="s">
        <v>1045</v>
      </c>
      <c r="G1259" s="10">
        <v>1281.0</v>
      </c>
      <c r="H1259" s="10">
        <f>VLOOKUP(F1259,'Generos y Familia'!$A$1:$C$623,2,FALSE)</f>
        <v>77</v>
      </c>
      <c r="I1259" s="12" t="str">
        <f t="shared" si="1"/>
        <v>Paliurus spina-christi</v>
      </c>
      <c r="J1259" s="10" t="str">
        <f t="shared" si="2"/>
        <v>1281 Paliurus spina-christi</v>
      </c>
      <c r="K1259" s="10" t="str">
        <f t="shared" si="3"/>
        <v>Espina Santa</v>
      </c>
      <c r="L1259" s="10" t="str">
        <f t="shared" si="4"/>
        <v>1281 Espina Santa</v>
      </c>
      <c r="M1259" s="10" t="s">
        <v>46</v>
      </c>
      <c r="N1259" s="10" t="s">
        <v>36</v>
      </c>
      <c r="O1259" s="10" t="s">
        <v>47</v>
      </c>
      <c r="P1259" s="26" t="s">
        <v>3347</v>
      </c>
      <c r="Q1259" s="17"/>
      <c r="R1259" s="14"/>
      <c r="S1259" s="17"/>
      <c r="T1259" s="14"/>
      <c r="U1259" s="14" t="s">
        <v>40</v>
      </c>
      <c r="V1259" s="14"/>
      <c r="W1259" s="17"/>
      <c r="X1259" s="14"/>
    </row>
    <row r="1260" ht="14.25" customHeight="1">
      <c r="A1260" s="24" t="s">
        <v>3128</v>
      </c>
      <c r="B1260" s="24"/>
      <c r="C1260" s="10">
        <v>1282.0</v>
      </c>
      <c r="D1260" s="25" t="s">
        <v>3348</v>
      </c>
      <c r="E1260" s="25" t="s">
        <v>3349</v>
      </c>
      <c r="F1260" s="11" t="s">
        <v>34</v>
      </c>
      <c r="G1260" s="10">
        <v>1282.0</v>
      </c>
      <c r="H1260" s="10">
        <f>VLOOKUP(F1260,'Generos y Familia'!$A$1:$C$623,2,FALSE)</f>
        <v>27</v>
      </c>
      <c r="I1260" s="12" t="str">
        <f t="shared" si="1"/>
        <v>Pterocarpus indicus</v>
      </c>
      <c r="J1260" s="10" t="str">
        <f t="shared" si="2"/>
        <v>1282 Pterocarpus indicus</v>
      </c>
      <c r="K1260" s="10" t="str">
        <f t="shared" si="3"/>
        <v>Amboyna</v>
      </c>
      <c r="L1260" s="10" t="str">
        <f t="shared" si="4"/>
        <v>1282 Amboyna</v>
      </c>
      <c r="M1260" s="10" t="s">
        <v>46</v>
      </c>
      <c r="N1260" s="10" t="s">
        <v>36</v>
      </c>
      <c r="O1260" s="10" t="s">
        <v>37</v>
      </c>
      <c r="P1260" s="26" t="s">
        <v>2517</v>
      </c>
      <c r="Q1260" s="17"/>
      <c r="R1260" s="14"/>
      <c r="S1260" s="17"/>
      <c r="T1260" s="14"/>
      <c r="U1260" s="14" t="s">
        <v>55</v>
      </c>
      <c r="V1260" s="14"/>
      <c r="W1260" s="17"/>
      <c r="X1260" s="14"/>
    </row>
    <row r="1261" ht="14.25" customHeight="1">
      <c r="A1261" s="24" t="s">
        <v>3128</v>
      </c>
      <c r="B1261" s="24"/>
      <c r="C1261" s="10">
        <v>1283.0</v>
      </c>
      <c r="D1261" s="25" t="s">
        <v>3350</v>
      </c>
      <c r="E1261" s="25" t="s">
        <v>3351</v>
      </c>
      <c r="F1261" s="11" t="s">
        <v>82</v>
      </c>
      <c r="G1261" s="10">
        <v>1283.0</v>
      </c>
      <c r="H1261" s="10">
        <f>VLOOKUP(F1261,'Generos y Familia'!$A$1:$C$623,2,FALSE)</f>
        <v>26</v>
      </c>
      <c r="I1261" s="12" t="str">
        <f t="shared" si="1"/>
        <v>Garcia nutans</v>
      </c>
      <c r="J1261" s="10" t="str">
        <f t="shared" si="2"/>
        <v>1283 Garcia nutans</v>
      </c>
      <c r="K1261" s="10" t="str">
        <f t="shared" si="3"/>
        <v>Avellano</v>
      </c>
      <c r="L1261" s="10" t="str">
        <f t="shared" si="4"/>
        <v>1283 Avellano</v>
      </c>
      <c r="M1261" s="10" t="s">
        <v>35</v>
      </c>
      <c r="N1261" s="10" t="s">
        <v>36</v>
      </c>
      <c r="O1261" s="10" t="s">
        <v>47</v>
      </c>
      <c r="P1261" s="26" t="s">
        <v>3352</v>
      </c>
      <c r="Q1261" s="17"/>
      <c r="R1261" s="14"/>
      <c r="S1261" s="17"/>
      <c r="T1261" s="14"/>
      <c r="U1261" s="14" t="s">
        <v>40</v>
      </c>
      <c r="V1261" s="14"/>
      <c r="W1261" s="17"/>
      <c r="X1261" s="14"/>
    </row>
    <row r="1262" ht="14.25" customHeight="1">
      <c r="A1262" s="24" t="s">
        <v>3128</v>
      </c>
      <c r="B1262" s="24"/>
      <c r="C1262" s="10">
        <v>1284.0</v>
      </c>
      <c r="D1262" s="25" t="s">
        <v>3353</v>
      </c>
      <c r="E1262" s="25" t="s">
        <v>3354</v>
      </c>
      <c r="F1262" s="11" t="s">
        <v>1496</v>
      </c>
      <c r="G1262" s="10">
        <v>1284.0</v>
      </c>
      <c r="H1262" s="10">
        <f>VLOOKUP(F1262,'Generos y Familia'!$A$1:$C$623,2,FALSE)</f>
        <v>53</v>
      </c>
      <c r="I1262" s="12" t="str">
        <f t="shared" si="1"/>
        <v>Jasminum grandiflorum</v>
      </c>
      <c r="J1262" s="10" t="str">
        <f t="shared" si="2"/>
        <v>1284 Jasminum grandiflorum</v>
      </c>
      <c r="K1262" s="10" t="str">
        <f t="shared" si="3"/>
        <v>Jazmín Español</v>
      </c>
      <c r="L1262" s="10" t="str">
        <f t="shared" si="4"/>
        <v>1284 Jazmín Español</v>
      </c>
      <c r="M1262" s="10" t="s">
        <v>46</v>
      </c>
      <c r="N1262" s="10" t="s">
        <v>36</v>
      </c>
      <c r="O1262" s="10" t="s">
        <v>47</v>
      </c>
      <c r="P1262" s="26" t="s">
        <v>1726</v>
      </c>
      <c r="Q1262" s="17"/>
      <c r="R1262" s="14"/>
      <c r="S1262" s="17"/>
      <c r="T1262" s="14"/>
      <c r="U1262" s="14" t="s">
        <v>55</v>
      </c>
      <c r="V1262" s="14"/>
      <c r="W1262" s="17"/>
      <c r="X1262" s="14"/>
    </row>
    <row r="1263" ht="14.25" customHeight="1">
      <c r="A1263" s="24" t="s">
        <v>3128</v>
      </c>
      <c r="B1263" s="24"/>
      <c r="C1263" s="10">
        <v>1285.0</v>
      </c>
      <c r="D1263" s="25" t="s">
        <v>3355</v>
      </c>
      <c r="E1263" s="25" t="s">
        <v>3356</v>
      </c>
      <c r="F1263" s="11" t="s">
        <v>584</v>
      </c>
      <c r="G1263" s="10">
        <v>1285.0</v>
      </c>
      <c r="H1263" s="10">
        <f>VLOOKUP(F1263,'Generos y Familia'!$A$1:$C$623,2,FALSE)</f>
        <v>86</v>
      </c>
      <c r="I1263" s="12" t="str">
        <f t="shared" si="1"/>
        <v>Leucophyllum frutescens</v>
      </c>
      <c r="J1263" s="10" t="str">
        <f t="shared" si="2"/>
        <v>1285 Leucophyllum frutescens</v>
      </c>
      <c r="K1263" s="10" t="str">
        <f t="shared" si="3"/>
        <v>Cenizo</v>
      </c>
      <c r="L1263" s="10" t="str">
        <f t="shared" si="4"/>
        <v>1285 Cenizo</v>
      </c>
      <c r="M1263" s="10" t="s">
        <v>46</v>
      </c>
      <c r="N1263" s="10" t="s">
        <v>36</v>
      </c>
      <c r="O1263" s="10" t="s">
        <v>47</v>
      </c>
      <c r="P1263" s="26" t="s">
        <v>3357</v>
      </c>
      <c r="Q1263" s="17"/>
      <c r="R1263" s="14"/>
      <c r="S1263" s="17"/>
      <c r="T1263" s="14"/>
      <c r="U1263" s="14" t="s">
        <v>40</v>
      </c>
      <c r="V1263" s="14"/>
      <c r="W1263" s="17"/>
      <c r="X1263" s="14"/>
    </row>
    <row r="1264" ht="14.25" customHeight="1">
      <c r="A1264" s="24" t="s">
        <v>3128</v>
      </c>
      <c r="B1264" s="24"/>
      <c r="C1264" s="10">
        <v>1286.0</v>
      </c>
      <c r="D1264" s="25" t="s">
        <v>3358</v>
      </c>
      <c r="E1264" s="25" t="s">
        <v>3359</v>
      </c>
      <c r="F1264" s="11" t="s">
        <v>365</v>
      </c>
      <c r="G1264" s="10">
        <v>1286.0</v>
      </c>
      <c r="H1264" s="10">
        <f>VLOOKUP(F1264,'Generos y Familia'!$A$1:$C$623,2,FALSE)</f>
        <v>43</v>
      </c>
      <c r="I1264" s="12" t="str">
        <f t="shared" si="1"/>
        <v>Morus indica</v>
      </c>
      <c r="J1264" s="10" t="str">
        <f t="shared" si="2"/>
        <v>1286 Morus indica</v>
      </c>
      <c r="K1264" s="10" t="str">
        <f t="shared" si="3"/>
        <v>Falsa Morera Asiática</v>
      </c>
      <c r="L1264" s="10" t="str">
        <f t="shared" si="4"/>
        <v>1286 Falsa Morera Asiática</v>
      </c>
      <c r="M1264" s="10" t="s">
        <v>46</v>
      </c>
      <c r="N1264" s="10" t="s">
        <v>36</v>
      </c>
      <c r="O1264" s="10" t="s">
        <v>37</v>
      </c>
      <c r="P1264" s="26" t="s">
        <v>2074</v>
      </c>
      <c r="Q1264" s="17"/>
      <c r="R1264" s="14"/>
      <c r="S1264" s="17"/>
      <c r="T1264" s="14"/>
      <c r="U1264" s="14" t="s">
        <v>55</v>
      </c>
      <c r="V1264" s="14"/>
      <c r="W1264" s="17"/>
      <c r="X1264" s="14"/>
    </row>
    <row r="1265" ht="14.25" customHeight="1">
      <c r="A1265" s="24" t="s">
        <v>3128</v>
      </c>
      <c r="B1265" s="24"/>
      <c r="C1265" s="10">
        <v>1287.0</v>
      </c>
      <c r="D1265" s="25" t="s">
        <v>3360</v>
      </c>
      <c r="E1265" s="25" t="s">
        <v>3361</v>
      </c>
      <c r="F1265" s="11" t="s">
        <v>365</v>
      </c>
      <c r="G1265" s="10">
        <v>1287.0</v>
      </c>
      <c r="H1265" s="10">
        <f>VLOOKUP(F1265,'Generos y Familia'!$A$1:$C$623,2,FALSE)</f>
        <v>43</v>
      </c>
      <c r="I1265" s="12" t="str">
        <f t="shared" si="1"/>
        <v>Morus rubra</v>
      </c>
      <c r="J1265" s="10" t="str">
        <f t="shared" si="2"/>
        <v>1287 Morus rubra</v>
      </c>
      <c r="K1265" s="10" t="str">
        <f t="shared" si="3"/>
        <v>Morera Roja</v>
      </c>
      <c r="L1265" s="10" t="str">
        <f t="shared" si="4"/>
        <v>1287 Morera Roja</v>
      </c>
      <c r="M1265" s="10" t="s">
        <v>46</v>
      </c>
      <c r="N1265" s="10" t="s">
        <v>36</v>
      </c>
      <c r="O1265" s="10" t="s">
        <v>37</v>
      </c>
      <c r="P1265" s="26" t="s">
        <v>2074</v>
      </c>
      <c r="Q1265" s="17"/>
      <c r="R1265" s="14"/>
      <c r="S1265" s="17"/>
      <c r="T1265" s="14"/>
      <c r="U1265" s="14" t="s">
        <v>55</v>
      </c>
      <c r="V1265" s="14"/>
      <c r="W1265" s="17"/>
      <c r="X1265" s="14"/>
    </row>
    <row r="1266" ht="14.25" customHeight="1">
      <c r="A1266" s="24" t="s">
        <v>3128</v>
      </c>
      <c r="B1266" s="24"/>
      <c r="C1266" s="10">
        <v>1288.0</v>
      </c>
      <c r="D1266" s="25" t="s">
        <v>3362</v>
      </c>
      <c r="E1266" s="25" t="s">
        <v>3363</v>
      </c>
      <c r="F1266" s="11" t="s">
        <v>320</v>
      </c>
      <c r="G1266" s="10">
        <v>1288.0</v>
      </c>
      <c r="H1266" s="10">
        <f>VLOOKUP(F1266,'Generos y Familia'!$A$1:$C$623,2,FALSE)</f>
        <v>1</v>
      </c>
      <c r="I1266" s="12" t="str">
        <f t="shared" si="1"/>
        <v>Odontonema cuspidatum</v>
      </c>
      <c r="J1266" s="10" t="str">
        <f t="shared" si="2"/>
        <v>1288 Odontonema cuspidatum</v>
      </c>
      <c r="K1266" s="10" t="str">
        <f t="shared" si="3"/>
        <v>Coral de Jardín</v>
      </c>
      <c r="L1266" s="10" t="str">
        <f t="shared" si="4"/>
        <v>1288 Coral de Jardín</v>
      </c>
      <c r="M1266" s="10" t="s">
        <v>35</v>
      </c>
      <c r="N1266" s="10" t="s">
        <v>36</v>
      </c>
      <c r="O1266" s="10" t="s">
        <v>47</v>
      </c>
      <c r="P1266" s="26" t="s">
        <v>3364</v>
      </c>
      <c r="Q1266" s="17"/>
      <c r="R1266" s="14"/>
      <c r="S1266" s="17"/>
      <c r="T1266" s="14"/>
      <c r="U1266" s="14" t="s">
        <v>40</v>
      </c>
      <c r="V1266" s="14"/>
      <c r="W1266" s="17"/>
      <c r="X1266" s="14"/>
    </row>
    <row r="1267" ht="14.25" customHeight="1">
      <c r="A1267" s="24" t="s">
        <v>3128</v>
      </c>
      <c r="B1267" s="24"/>
      <c r="C1267" s="10">
        <v>1289.0</v>
      </c>
      <c r="D1267" s="25" t="s">
        <v>3365</v>
      </c>
      <c r="E1267" s="25" t="s">
        <v>3366</v>
      </c>
      <c r="F1267" s="11" t="s">
        <v>2226</v>
      </c>
      <c r="G1267" s="10">
        <v>1289.0</v>
      </c>
      <c r="H1267" s="10">
        <f>VLOOKUP(F1267,'Generos y Familia'!$A$1:$C$623,2,FALSE)</f>
        <v>59</v>
      </c>
      <c r="I1267" s="12" t="str">
        <f t="shared" si="1"/>
        <v>Passiflora edulis</v>
      </c>
      <c r="J1267" s="10" t="str">
        <f t="shared" si="2"/>
        <v>1289 Passiflora edulis</v>
      </c>
      <c r="K1267" s="10" t="str">
        <f t="shared" si="3"/>
        <v>Maracuyá</v>
      </c>
      <c r="L1267" s="10" t="str">
        <f t="shared" si="4"/>
        <v>1289 Maracuyá</v>
      </c>
      <c r="M1267" s="10" t="s">
        <v>35</v>
      </c>
      <c r="N1267" s="10" t="s">
        <v>36</v>
      </c>
      <c r="O1267" s="10" t="s">
        <v>392</v>
      </c>
      <c r="P1267" s="26" t="s">
        <v>2227</v>
      </c>
      <c r="Q1267" s="17"/>
      <c r="R1267" s="14"/>
      <c r="S1267" s="17"/>
      <c r="T1267" s="14"/>
      <c r="U1267" s="14" t="s">
        <v>55</v>
      </c>
      <c r="V1267" s="14"/>
      <c r="W1267" s="17"/>
      <c r="X1267" s="14"/>
    </row>
    <row r="1268" ht="14.25" customHeight="1">
      <c r="A1268" s="24" t="s">
        <v>3128</v>
      </c>
      <c r="B1268" s="24"/>
      <c r="C1268" s="10">
        <v>1290.0</v>
      </c>
      <c r="D1268" s="25" t="s">
        <v>3367</v>
      </c>
      <c r="E1268" s="25" t="s">
        <v>3368</v>
      </c>
      <c r="F1268" s="11" t="s">
        <v>2953</v>
      </c>
      <c r="G1268" s="10">
        <v>1290.0</v>
      </c>
      <c r="H1268" s="10">
        <f>VLOOKUP(F1268,'Generos y Familia'!$A$1:$C$623,2,FALSE)</f>
        <v>28</v>
      </c>
      <c r="I1268" s="12" t="str">
        <f t="shared" si="1"/>
        <v>Trema tomentosum</v>
      </c>
      <c r="J1268" s="10" t="str">
        <f t="shared" si="2"/>
        <v>1290 Trema tomentosum</v>
      </c>
      <c r="K1268" s="10" t="str">
        <f t="shared" si="3"/>
        <v>Guamilla</v>
      </c>
      <c r="L1268" s="10" t="str">
        <f t="shared" si="4"/>
        <v>1290 Guamilla</v>
      </c>
      <c r="M1268" s="10" t="s">
        <v>35</v>
      </c>
      <c r="N1268" s="10" t="s">
        <v>36</v>
      </c>
      <c r="O1268" s="10" t="s">
        <v>37</v>
      </c>
      <c r="P1268" s="26" t="s">
        <v>2954</v>
      </c>
      <c r="Q1268" s="27"/>
      <c r="R1268" s="13"/>
      <c r="S1268" s="27"/>
      <c r="T1268" s="13"/>
      <c r="U1268" s="13" t="s">
        <v>55</v>
      </c>
      <c r="V1268" s="13"/>
      <c r="W1268" s="27"/>
      <c r="X1268" s="13"/>
    </row>
    <row r="1269" ht="14.25" customHeight="1">
      <c r="A1269" s="24" t="s">
        <v>3128</v>
      </c>
      <c r="B1269" s="24"/>
      <c r="C1269" s="10">
        <v>1291.0</v>
      </c>
      <c r="D1269" s="25" t="s">
        <v>3369</v>
      </c>
      <c r="E1269" s="25" t="s">
        <v>3370</v>
      </c>
      <c r="F1269" s="11" t="s">
        <v>3371</v>
      </c>
      <c r="G1269" s="10">
        <v>1291.0</v>
      </c>
      <c r="H1269" s="10">
        <f>VLOOKUP(F1269,'Generos y Familia'!$A$1:$C$623,2,FALSE)</f>
        <v>30</v>
      </c>
      <c r="I1269" s="12" t="str">
        <f t="shared" si="1"/>
        <v>Vesalea grandifolia</v>
      </c>
      <c r="J1269" s="10" t="str">
        <f t="shared" si="2"/>
        <v>1291 Vesalea grandifolia</v>
      </c>
      <c r="K1269" s="10" t="str">
        <f t="shared" si="3"/>
        <v>Abelia; Villareal</v>
      </c>
      <c r="L1269" s="10" t="str">
        <f t="shared" si="4"/>
        <v>1291 Abelia; Villareal</v>
      </c>
      <c r="M1269" s="10" t="s">
        <v>35</v>
      </c>
      <c r="N1269" s="10" t="s">
        <v>36</v>
      </c>
      <c r="O1269" s="10" t="s">
        <v>47</v>
      </c>
      <c r="P1269" s="26" t="s">
        <v>3372</v>
      </c>
      <c r="Q1269" s="27"/>
      <c r="R1269" s="13"/>
      <c r="S1269" s="27"/>
      <c r="T1269" s="13"/>
      <c r="U1269" s="13" t="s">
        <v>40</v>
      </c>
      <c r="V1269" s="13"/>
      <c r="W1269" s="27"/>
      <c r="X1269" s="13"/>
    </row>
    <row r="1270" ht="14.25" customHeight="1">
      <c r="A1270" s="24" t="s">
        <v>3128</v>
      </c>
      <c r="B1270" s="24"/>
      <c r="C1270" s="10">
        <v>1292.0</v>
      </c>
      <c r="D1270" s="25" t="s">
        <v>3373</v>
      </c>
      <c r="E1270" s="25" t="s">
        <v>3374</v>
      </c>
      <c r="F1270" s="11" t="s">
        <v>769</v>
      </c>
      <c r="G1270" s="10">
        <v>1292.0</v>
      </c>
      <c r="H1270" s="10">
        <f>VLOOKUP(F1270,'Generos y Familia'!$A$1:$C$623,2,FALSE)</f>
        <v>80</v>
      </c>
      <c r="I1270" s="12" t="str">
        <f t="shared" si="1"/>
        <v>Citrus japonica</v>
      </c>
      <c r="J1270" s="10" t="str">
        <f t="shared" si="2"/>
        <v>1292 Citrus japonica</v>
      </c>
      <c r="K1270" s="10" t="str">
        <f t="shared" si="3"/>
        <v>Calamondin</v>
      </c>
      <c r="L1270" s="10" t="str">
        <f t="shared" si="4"/>
        <v>1292 Calamondin</v>
      </c>
      <c r="M1270" s="10" t="s">
        <v>46</v>
      </c>
      <c r="N1270" s="10" t="s">
        <v>36</v>
      </c>
      <c r="O1270" s="10" t="s">
        <v>37</v>
      </c>
      <c r="P1270" s="26" t="s">
        <v>939</v>
      </c>
      <c r="Q1270" s="27" t="s">
        <v>612</v>
      </c>
      <c r="R1270" s="13" t="s">
        <v>53</v>
      </c>
      <c r="S1270" s="27"/>
      <c r="T1270" s="13"/>
      <c r="U1270" s="13" t="s">
        <v>55</v>
      </c>
      <c r="V1270" s="13"/>
      <c r="W1270" s="27"/>
      <c r="X1270" s="13"/>
    </row>
    <row r="1271" ht="14.25" customHeight="1">
      <c r="A1271" s="24" t="s">
        <v>3128</v>
      </c>
      <c r="B1271" s="24"/>
      <c r="C1271" s="10">
        <v>1293.0</v>
      </c>
      <c r="D1271" s="25" t="s">
        <v>3375</v>
      </c>
      <c r="E1271" s="25" t="s">
        <v>3376</v>
      </c>
      <c r="F1271" s="11" t="s">
        <v>206</v>
      </c>
      <c r="G1271" s="10">
        <v>1293.0</v>
      </c>
      <c r="H1271" s="10">
        <f>VLOOKUP(F1271,'Generos y Familia'!$A$1:$C$623,2,FALSE)</f>
        <v>9</v>
      </c>
      <c r="I1271" s="12" t="str">
        <f t="shared" si="1"/>
        <v>Cryptostegia madagascariensis</v>
      </c>
      <c r="J1271" s="10" t="str">
        <f t="shared" si="2"/>
        <v>1293 Cryptostegia madagascariensis</v>
      </c>
      <c r="K1271" s="10" t="str">
        <f t="shared" si="3"/>
        <v>Flor de Estrella</v>
      </c>
      <c r="L1271" s="10" t="str">
        <f t="shared" si="4"/>
        <v>1293 Flor de Estrella</v>
      </c>
      <c r="M1271" s="10" t="s">
        <v>46</v>
      </c>
      <c r="N1271" s="10" t="s">
        <v>36</v>
      </c>
      <c r="O1271" s="10" t="s">
        <v>392</v>
      </c>
      <c r="P1271" s="26" t="s">
        <v>3377</v>
      </c>
      <c r="Q1271" s="27"/>
      <c r="R1271" s="13"/>
      <c r="S1271" s="27"/>
      <c r="T1271" s="13"/>
      <c r="U1271" s="13" t="s">
        <v>55</v>
      </c>
      <c r="V1271" s="13"/>
      <c r="W1271" s="27"/>
      <c r="X1271" s="13"/>
    </row>
    <row r="1272" ht="14.25" customHeight="1">
      <c r="A1272" s="24" t="s">
        <v>3128</v>
      </c>
      <c r="B1272" s="24"/>
      <c r="C1272" s="10">
        <v>1294.0</v>
      </c>
      <c r="D1272" s="25" t="s">
        <v>3378</v>
      </c>
      <c r="E1272" s="25" t="s">
        <v>3379</v>
      </c>
      <c r="F1272" s="11" t="s">
        <v>365</v>
      </c>
      <c r="G1272" s="10">
        <v>1294.0</v>
      </c>
      <c r="H1272" s="10">
        <f>VLOOKUP(F1272,'Generos y Familia'!$A$1:$C$623,2,FALSE)</f>
        <v>43</v>
      </c>
      <c r="I1272" s="12" t="str">
        <f t="shared" si="1"/>
        <v>Ficus maxima</v>
      </c>
      <c r="J1272" s="10" t="str">
        <f t="shared" si="2"/>
        <v>1294 Ficus maxima</v>
      </c>
      <c r="K1272" s="10" t="str">
        <f t="shared" si="3"/>
        <v>Álamo</v>
      </c>
      <c r="L1272" s="10" t="str">
        <f t="shared" si="4"/>
        <v>1294 Álamo</v>
      </c>
      <c r="M1272" s="10" t="s">
        <v>35</v>
      </c>
      <c r="N1272" s="10" t="s">
        <v>36</v>
      </c>
      <c r="O1272" s="10" t="s">
        <v>37</v>
      </c>
      <c r="P1272" s="26" t="s">
        <v>1428</v>
      </c>
      <c r="Q1272" s="27"/>
      <c r="R1272" s="13"/>
      <c r="S1272" s="27"/>
      <c r="T1272" s="13"/>
      <c r="U1272" s="13" t="s">
        <v>55</v>
      </c>
      <c r="V1272" s="13"/>
      <c r="W1272" s="27"/>
      <c r="X1272" s="13"/>
    </row>
    <row r="1273" ht="14.25" customHeight="1">
      <c r="A1273" s="24" t="s">
        <v>3128</v>
      </c>
      <c r="B1273" s="24"/>
      <c r="C1273" s="10">
        <v>1295.0</v>
      </c>
      <c r="D1273" s="25" t="s">
        <v>3380</v>
      </c>
      <c r="E1273" s="25" t="s">
        <v>3381</v>
      </c>
      <c r="F1273" s="11" t="s">
        <v>588</v>
      </c>
      <c r="G1273" s="10">
        <v>1295.0</v>
      </c>
      <c r="H1273" s="10">
        <f>VLOOKUP(F1273,'Generos y Familia'!$A$1:$C$623,2,FALSE)</f>
        <v>102</v>
      </c>
      <c r="I1273" s="12" t="str">
        <f t="shared" si="1"/>
        <v>Guaiacum sanctum</v>
      </c>
      <c r="J1273" s="10" t="str">
        <f t="shared" si="2"/>
        <v>1295 Guaiacum sanctum</v>
      </c>
      <c r="K1273" s="10" t="str">
        <f t="shared" si="3"/>
        <v>Guayacán; Palo Santo</v>
      </c>
      <c r="L1273" s="10" t="str">
        <f t="shared" si="4"/>
        <v>1295 Guayacán; Palo Santo</v>
      </c>
      <c r="M1273" s="10" t="s">
        <v>35</v>
      </c>
      <c r="N1273" s="10" t="s">
        <v>36</v>
      </c>
      <c r="O1273" s="10" t="s">
        <v>37</v>
      </c>
      <c r="P1273" s="26" t="s">
        <v>1557</v>
      </c>
      <c r="Q1273" s="27"/>
      <c r="R1273" s="13"/>
      <c r="S1273" s="27"/>
      <c r="T1273" s="13"/>
      <c r="U1273" s="13" t="s">
        <v>73</v>
      </c>
      <c r="V1273" s="13"/>
      <c r="W1273" s="27"/>
      <c r="X1273" s="13"/>
    </row>
    <row r="1274" ht="14.25" customHeight="1">
      <c r="A1274" s="24" t="s">
        <v>3128</v>
      </c>
      <c r="B1274" s="24"/>
      <c r="C1274" s="10">
        <v>1296.0</v>
      </c>
      <c r="D1274" s="25" t="s">
        <v>3382</v>
      </c>
      <c r="E1274" s="25" t="s">
        <v>3383</v>
      </c>
      <c r="F1274" s="11" t="s">
        <v>214</v>
      </c>
      <c r="G1274" s="10">
        <v>1296.0</v>
      </c>
      <c r="H1274" s="10">
        <f>VLOOKUP(F1274,'Generos y Familia'!$A$1:$C$623,2,FALSE)</f>
        <v>84</v>
      </c>
      <c r="I1274" s="12" t="str">
        <f t="shared" si="1"/>
        <v>Majidea zanguebarica</v>
      </c>
      <c r="J1274" s="10" t="str">
        <f t="shared" si="2"/>
        <v>1296 Majidea zanguebarica</v>
      </c>
      <c r="K1274" s="10" t="str">
        <f t="shared" si="3"/>
        <v>Perla Negra</v>
      </c>
      <c r="L1274" s="10" t="str">
        <f t="shared" si="4"/>
        <v>1296 Perla Negra</v>
      </c>
      <c r="M1274" s="10" t="s">
        <v>46</v>
      </c>
      <c r="N1274" s="10" t="s">
        <v>36</v>
      </c>
      <c r="O1274" s="10" t="s">
        <v>37</v>
      </c>
      <c r="P1274" s="26" t="s">
        <v>3384</v>
      </c>
      <c r="Q1274" s="27"/>
      <c r="R1274" s="13"/>
      <c r="S1274" s="27"/>
      <c r="T1274" s="13"/>
      <c r="U1274" s="13" t="s">
        <v>40</v>
      </c>
      <c r="V1274" s="13"/>
      <c r="W1274" s="27"/>
      <c r="X1274" s="13"/>
    </row>
    <row r="1275" ht="14.25" customHeight="1">
      <c r="A1275" s="24" t="s">
        <v>3128</v>
      </c>
      <c r="B1275" s="24"/>
      <c r="C1275" s="10">
        <v>1297.0</v>
      </c>
      <c r="D1275" s="25" t="s">
        <v>3385</v>
      </c>
      <c r="E1275" s="25" t="s">
        <v>2102</v>
      </c>
      <c r="F1275" s="11" t="s">
        <v>95</v>
      </c>
      <c r="G1275" s="10">
        <v>1297.0</v>
      </c>
      <c r="H1275" s="10">
        <f>VLOOKUP(F1275,'Generos y Familia'!$A$1:$C$623,2,FALSE)</f>
        <v>49</v>
      </c>
      <c r="I1275" s="12" t="str">
        <f t="shared" si="1"/>
        <v>Myrcia splendens</v>
      </c>
      <c r="J1275" s="10" t="str">
        <f t="shared" si="2"/>
        <v>1297 Myrcia splendens</v>
      </c>
      <c r="K1275" s="10" t="str">
        <f t="shared" si="3"/>
        <v>Guayabillo</v>
      </c>
      <c r="L1275" s="10" t="str">
        <f t="shared" si="4"/>
        <v>1297 Guayabillo</v>
      </c>
      <c r="M1275" s="10" t="s">
        <v>35</v>
      </c>
      <c r="N1275" s="10" t="s">
        <v>36</v>
      </c>
      <c r="O1275" s="10" t="s">
        <v>37</v>
      </c>
      <c r="P1275" s="26" t="s">
        <v>2098</v>
      </c>
      <c r="Q1275" s="27"/>
      <c r="R1275" s="13"/>
      <c r="S1275" s="27"/>
      <c r="T1275" s="13"/>
      <c r="U1275" s="13" t="s">
        <v>40</v>
      </c>
      <c r="V1275" s="13"/>
      <c r="W1275" s="27"/>
      <c r="X1275" s="13"/>
    </row>
    <row r="1276" ht="14.25" customHeight="1">
      <c r="A1276" s="24" t="s">
        <v>3128</v>
      </c>
      <c r="B1276" s="24"/>
      <c r="C1276" s="10">
        <v>1298.0</v>
      </c>
      <c r="D1276" s="25" t="s">
        <v>3386</v>
      </c>
      <c r="E1276" s="25" t="s">
        <v>3387</v>
      </c>
      <c r="F1276" s="11" t="s">
        <v>1496</v>
      </c>
      <c r="G1276" s="10">
        <v>1298.0</v>
      </c>
      <c r="H1276" s="10">
        <f>VLOOKUP(F1276,'Generos y Familia'!$A$1:$C$623,2,FALSE)</f>
        <v>53</v>
      </c>
      <c r="I1276" s="12" t="str">
        <f t="shared" si="1"/>
        <v>Olea europaea</v>
      </c>
      <c r="J1276" s="10" t="str">
        <f t="shared" si="2"/>
        <v>1298 Olea europaea</v>
      </c>
      <c r="K1276" s="10" t="str">
        <f t="shared" si="3"/>
        <v>Olivo</v>
      </c>
      <c r="L1276" s="10" t="str">
        <f t="shared" si="4"/>
        <v>1298 Olivo</v>
      </c>
      <c r="M1276" s="10" t="s">
        <v>46</v>
      </c>
      <c r="N1276" s="10" t="s">
        <v>36</v>
      </c>
      <c r="O1276" s="10" t="s">
        <v>37</v>
      </c>
      <c r="P1276" s="26" t="s">
        <v>3388</v>
      </c>
      <c r="Q1276" s="27"/>
      <c r="R1276" s="13"/>
      <c r="S1276" s="27"/>
      <c r="T1276" s="13"/>
      <c r="U1276" s="13" t="s">
        <v>73</v>
      </c>
      <c r="V1276" s="13"/>
      <c r="W1276" s="27"/>
      <c r="X1276" s="13"/>
    </row>
    <row r="1277" ht="14.25" customHeight="1">
      <c r="A1277" s="24" t="s">
        <v>3128</v>
      </c>
      <c r="B1277" s="24"/>
      <c r="C1277" s="10">
        <v>1299.0</v>
      </c>
      <c r="D1277" s="25" t="s">
        <v>3389</v>
      </c>
      <c r="E1277" s="25" t="s">
        <v>3390</v>
      </c>
      <c r="F1277" s="11" t="s">
        <v>2287</v>
      </c>
      <c r="G1277" s="10">
        <v>1299.0</v>
      </c>
      <c r="H1277" s="10">
        <f>VLOOKUP(F1277,'Generos y Familia'!$A$1:$C$623,2,FALSE)</f>
        <v>11</v>
      </c>
      <c r="I1277" s="12" t="str">
        <f t="shared" si="1"/>
        <v>Philodendron erubescens</v>
      </c>
      <c r="J1277" s="10" t="str">
        <f t="shared" si="2"/>
        <v>1299 Philodendron erubescens</v>
      </c>
      <c r="K1277" s="10" t="str">
        <f t="shared" si="3"/>
        <v>Lengua de Suegra</v>
      </c>
      <c r="L1277" s="10" t="str">
        <f t="shared" si="4"/>
        <v>1299 Lengua de Suegra</v>
      </c>
      <c r="M1277" s="10" t="s">
        <v>35</v>
      </c>
      <c r="N1277" s="10" t="s">
        <v>36</v>
      </c>
      <c r="O1277" s="10" t="s">
        <v>392</v>
      </c>
      <c r="P1277" s="26" t="s">
        <v>2288</v>
      </c>
      <c r="Q1277" s="27"/>
      <c r="R1277" s="13"/>
      <c r="S1277" s="27"/>
      <c r="T1277" s="13"/>
      <c r="U1277" s="13" t="s">
        <v>40</v>
      </c>
      <c r="V1277" s="13"/>
      <c r="W1277" s="27"/>
      <c r="X1277" s="13"/>
    </row>
    <row r="1278" ht="14.25" customHeight="1">
      <c r="A1278" s="24" t="s">
        <v>3128</v>
      </c>
      <c r="B1278" s="24"/>
      <c r="C1278" s="10">
        <v>1300.0</v>
      </c>
      <c r="D1278" s="25" t="s">
        <v>3391</v>
      </c>
      <c r="E1278" s="25" t="s">
        <v>2585</v>
      </c>
      <c r="F1278" s="11" t="s">
        <v>1105</v>
      </c>
      <c r="G1278" s="10">
        <v>1300.0</v>
      </c>
      <c r="H1278" s="10">
        <f>VLOOKUP(F1278,'Generos y Familia'!$A$1:$C$623,2,FALSE)</f>
        <v>78</v>
      </c>
      <c r="I1278" s="12" t="str">
        <f t="shared" si="1"/>
        <v>Rosa damascena</v>
      </c>
      <c r="J1278" s="10" t="str">
        <f t="shared" si="2"/>
        <v>1300 Rosa damascena</v>
      </c>
      <c r="K1278" s="10" t="str">
        <f t="shared" si="3"/>
        <v>Rosa</v>
      </c>
      <c r="L1278" s="10" t="str">
        <f t="shared" si="4"/>
        <v>1300 Rosa</v>
      </c>
      <c r="M1278" s="10" t="s">
        <v>46</v>
      </c>
      <c r="N1278" s="10" t="s">
        <v>36</v>
      </c>
      <c r="O1278" s="10" t="s">
        <v>47</v>
      </c>
      <c r="P1278" s="26" t="s">
        <v>2585</v>
      </c>
      <c r="Q1278" s="27"/>
      <c r="R1278" s="13"/>
      <c r="S1278" s="27"/>
      <c r="T1278" s="13"/>
      <c r="U1278" s="13" t="s">
        <v>55</v>
      </c>
      <c r="V1278" s="13"/>
      <c r="W1278" s="27"/>
      <c r="X1278" s="13"/>
    </row>
    <row r="1279" ht="14.25" customHeight="1">
      <c r="A1279" s="24" t="s">
        <v>3128</v>
      </c>
      <c r="B1279" s="24"/>
      <c r="C1279" s="10">
        <v>1301.0</v>
      </c>
      <c r="D1279" s="25" t="s">
        <v>3392</v>
      </c>
      <c r="E1279" s="25" t="s">
        <v>3393</v>
      </c>
      <c r="F1279" s="11" t="s">
        <v>248</v>
      </c>
      <c r="G1279" s="10">
        <v>1301.0</v>
      </c>
      <c r="H1279" s="10">
        <f>VLOOKUP(F1279,'Generos y Familia'!$A$1:$C$623,2,FALSE)</f>
        <v>20</v>
      </c>
      <c r="I1279" s="12" t="str">
        <f t="shared" si="1"/>
        <v>Tabebuia roseoalba</v>
      </c>
      <c r="J1279" s="10" t="str">
        <f t="shared" si="2"/>
        <v>1301 Tabebuia roseoalba</v>
      </c>
      <c r="K1279" s="10" t="str">
        <f t="shared" si="3"/>
        <v>Guayacán Blanco</v>
      </c>
      <c r="L1279" s="10" t="str">
        <f t="shared" si="4"/>
        <v>1301 Guayacán Blanco</v>
      </c>
      <c r="M1279" s="10" t="s">
        <v>46</v>
      </c>
      <c r="N1279" s="10" t="s">
        <v>36</v>
      </c>
      <c r="O1279" s="10" t="s">
        <v>37</v>
      </c>
      <c r="P1279" s="26" t="s">
        <v>2814</v>
      </c>
      <c r="Q1279" s="27"/>
      <c r="R1279" s="13"/>
      <c r="S1279" s="27"/>
      <c r="T1279" s="13"/>
      <c r="U1279" s="13" t="s">
        <v>40</v>
      </c>
      <c r="V1279" s="13"/>
      <c r="W1279" s="27"/>
      <c r="X1279" s="13"/>
    </row>
    <row r="1280" ht="14.25" customHeight="1">
      <c r="A1280" s="24" t="s">
        <v>3128</v>
      </c>
      <c r="B1280" s="24"/>
      <c r="C1280" s="10">
        <v>1302.0</v>
      </c>
      <c r="D1280" s="25" t="s">
        <v>3394</v>
      </c>
      <c r="E1280" s="25" t="s">
        <v>3395</v>
      </c>
      <c r="F1280" s="11" t="s">
        <v>1064</v>
      </c>
      <c r="G1280" s="10">
        <v>1302.0</v>
      </c>
      <c r="H1280" s="10">
        <f>VLOOKUP(F1280,'Generos y Familia'!$A$1:$C$623,2,FALSE)</f>
        <v>22</v>
      </c>
      <c r="I1280" s="12" t="str">
        <f t="shared" si="1"/>
        <v>Varronia polycephala</v>
      </c>
      <c r="J1280" s="10" t="str">
        <f t="shared" si="2"/>
        <v>1302 Varronia polycephala</v>
      </c>
      <c r="K1280" s="10" t="str">
        <f t="shared" si="3"/>
        <v>Varronia</v>
      </c>
      <c r="L1280" s="10" t="str">
        <f t="shared" si="4"/>
        <v>1302 Varronia</v>
      </c>
      <c r="M1280" s="10" t="s">
        <v>35</v>
      </c>
      <c r="N1280" s="10" t="s">
        <v>36</v>
      </c>
      <c r="O1280" s="10" t="s">
        <v>47</v>
      </c>
      <c r="P1280" s="26" t="s">
        <v>3395</v>
      </c>
      <c r="Q1280" s="27"/>
      <c r="R1280" s="13"/>
      <c r="S1280" s="27"/>
      <c r="T1280" s="13"/>
      <c r="U1280" s="13" t="s">
        <v>40</v>
      </c>
      <c r="V1280" s="13"/>
      <c r="W1280" s="27"/>
      <c r="X1280" s="13"/>
    </row>
    <row r="1281" ht="14.25" customHeight="1">
      <c r="A1281" s="24" t="s">
        <v>3128</v>
      </c>
      <c r="B1281" s="24"/>
      <c r="C1281" s="10">
        <v>1303.0</v>
      </c>
      <c r="D1281" s="25" t="s">
        <v>3396</v>
      </c>
      <c r="E1281" s="25" t="s">
        <v>3397</v>
      </c>
      <c r="F1281" s="11" t="s">
        <v>136</v>
      </c>
      <c r="G1281" s="10">
        <v>1303.0</v>
      </c>
      <c r="H1281" s="10">
        <f>VLOOKUP(F1281,'Generos y Familia'!$A$1:$C$623,2,FALSE)</f>
        <v>34</v>
      </c>
      <c r="I1281" s="12" t="str">
        <f t="shared" si="1"/>
        <v>Vitex agnus-castus</v>
      </c>
      <c r="J1281" s="10" t="str">
        <f t="shared" si="2"/>
        <v>1303 Vitex agnus-castus</v>
      </c>
      <c r="K1281" s="10" t="str">
        <f t="shared" si="3"/>
        <v>Sauzgatillo</v>
      </c>
      <c r="L1281" s="10" t="str">
        <f t="shared" si="4"/>
        <v>1303 Sauzgatillo</v>
      </c>
      <c r="M1281" s="10" t="s">
        <v>46</v>
      </c>
      <c r="N1281" s="10" t="s">
        <v>36</v>
      </c>
      <c r="O1281" s="10" t="s">
        <v>47</v>
      </c>
      <c r="P1281" s="26" t="s">
        <v>3042</v>
      </c>
      <c r="Q1281" s="27"/>
      <c r="R1281" s="13"/>
      <c r="S1281" s="27"/>
      <c r="T1281" s="13"/>
      <c r="U1281" s="13" t="s">
        <v>40</v>
      </c>
      <c r="V1281" s="13"/>
      <c r="W1281" s="27"/>
      <c r="X1281" s="13"/>
    </row>
    <row r="1282" ht="14.25" customHeight="1">
      <c r="A1282" s="24" t="s">
        <v>3128</v>
      </c>
      <c r="B1282" s="24"/>
      <c r="C1282" s="10">
        <v>1304.0</v>
      </c>
      <c r="D1282" s="25" t="s">
        <v>3398</v>
      </c>
      <c r="E1282" s="25" t="s">
        <v>1769</v>
      </c>
      <c r="F1282" s="11" t="s">
        <v>214</v>
      </c>
      <c r="G1282" s="10">
        <v>1304.0</v>
      </c>
      <c r="H1282" s="10">
        <f>VLOOKUP(F1282,'Generos y Familia'!$A$1:$C$623,2,FALSE)</f>
        <v>84</v>
      </c>
      <c r="I1282" s="12" t="str">
        <f t="shared" si="1"/>
        <v>Koelreuteria bipinnata</v>
      </c>
      <c r="J1282" s="10" t="str">
        <f t="shared" si="2"/>
        <v>1304 Koelreuteria bipinnata</v>
      </c>
      <c r="K1282" s="10" t="str">
        <f t="shared" si="3"/>
        <v>Jabonero de la China</v>
      </c>
      <c r="L1282" s="10" t="str">
        <f t="shared" si="4"/>
        <v>1304 Jabonero de la China</v>
      </c>
      <c r="M1282" s="10" t="s">
        <v>46</v>
      </c>
      <c r="N1282" s="10" t="s">
        <v>36</v>
      </c>
      <c r="O1282" s="10" t="s">
        <v>37</v>
      </c>
      <c r="P1282" s="26" t="s">
        <v>1770</v>
      </c>
      <c r="Q1282" s="27" t="s">
        <v>145</v>
      </c>
      <c r="R1282" s="13" t="s">
        <v>39</v>
      </c>
      <c r="S1282" s="27" t="s">
        <v>54</v>
      </c>
      <c r="T1282" s="13" t="s">
        <v>39</v>
      </c>
      <c r="U1282" s="13" t="s">
        <v>40</v>
      </c>
      <c r="V1282" s="13">
        <v>0.57</v>
      </c>
      <c r="W1282" s="27"/>
      <c r="X1282" s="13"/>
    </row>
    <row r="1283" ht="14.25" customHeight="1">
      <c r="A1283" s="24" t="s">
        <v>3128</v>
      </c>
      <c r="B1283" s="24"/>
      <c r="C1283" s="10">
        <v>1305.0</v>
      </c>
      <c r="D1283" s="25" t="s">
        <v>3399</v>
      </c>
      <c r="E1283" s="25" t="s">
        <v>3400</v>
      </c>
      <c r="F1283" s="11" t="s">
        <v>34</v>
      </c>
      <c r="G1283" s="10">
        <v>1305.0</v>
      </c>
      <c r="H1283" s="10">
        <f>VLOOKUP(F1283,'Generos y Familia'!$A$1:$C$623,2,FALSE)</f>
        <v>27</v>
      </c>
      <c r="I1283" s="12" t="str">
        <f t="shared" si="1"/>
        <v>Zygia sp</v>
      </c>
      <c r="J1283" s="10" t="str">
        <f t="shared" si="2"/>
        <v>1305 Zygia sp</v>
      </c>
      <c r="K1283" s="10" t="str">
        <f t="shared" si="3"/>
        <v>Suribio</v>
      </c>
      <c r="L1283" s="10" t="str">
        <f t="shared" si="4"/>
        <v>1305 Suribio</v>
      </c>
      <c r="M1283" s="10" t="s">
        <v>35</v>
      </c>
      <c r="N1283" s="10" t="s">
        <v>36</v>
      </c>
      <c r="O1283" s="10" t="s">
        <v>37</v>
      </c>
      <c r="P1283" s="26" t="s">
        <v>3104</v>
      </c>
      <c r="Q1283" s="27"/>
      <c r="R1283" s="13"/>
      <c r="S1283" s="27"/>
      <c r="T1283" s="13"/>
      <c r="U1283" s="13" t="s">
        <v>40</v>
      </c>
      <c r="V1283" s="13"/>
      <c r="W1283" s="27"/>
      <c r="X1283" s="13"/>
    </row>
    <row r="1284" ht="14.25" customHeight="1">
      <c r="A1284" s="24" t="s">
        <v>3128</v>
      </c>
      <c r="B1284" s="24"/>
      <c r="C1284" s="10">
        <v>1306.0</v>
      </c>
      <c r="D1284" s="25" t="s">
        <v>3401</v>
      </c>
      <c r="E1284" s="25" t="s">
        <v>59</v>
      </c>
      <c r="F1284" s="11" t="s">
        <v>34</v>
      </c>
      <c r="G1284" s="10">
        <v>1306.0</v>
      </c>
      <c r="H1284" s="10">
        <f>VLOOKUP(F1284,'Generos y Familia'!$A$1:$C$623,2,FALSE)</f>
        <v>27</v>
      </c>
      <c r="I1284" s="12" t="str">
        <f t="shared" si="1"/>
        <v>Acacia sp</v>
      </c>
      <c r="J1284" s="10" t="str">
        <f t="shared" si="2"/>
        <v>1306 Acacia sp</v>
      </c>
      <c r="K1284" s="10" t="str">
        <f t="shared" si="3"/>
        <v>Acacia</v>
      </c>
      <c r="L1284" s="10" t="str">
        <f t="shared" si="4"/>
        <v>1306 Acacia</v>
      </c>
      <c r="M1284" s="10" t="s">
        <v>35</v>
      </c>
      <c r="N1284" s="10" t="s">
        <v>36</v>
      </c>
      <c r="O1284" s="10" t="s">
        <v>37</v>
      </c>
      <c r="P1284" s="26" t="s">
        <v>59</v>
      </c>
      <c r="Q1284" s="27" t="s">
        <v>3402</v>
      </c>
      <c r="R1284" s="13" t="s">
        <v>39</v>
      </c>
      <c r="S1284" s="27" t="s">
        <v>2078</v>
      </c>
      <c r="T1284" s="13" t="s">
        <v>39</v>
      </c>
      <c r="U1284" s="13" t="s">
        <v>40</v>
      </c>
      <c r="V1284" s="13"/>
      <c r="W1284" s="27"/>
      <c r="X1284" s="13" t="s">
        <v>41</v>
      </c>
    </row>
    <row r="1285" ht="14.25" customHeight="1">
      <c r="A1285" s="24" t="s">
        <v>3128</v>
      </c>
      <c r="B1285" s="24"/>
      <c r="C1285" s="10">
        <v>1307.0</v>
      </c>
      <c r="D1285" s="25" t="s">
        <v>3403</v>
      </c>
      <c r="E1285" s="25" t="s">
        <v>3404</v>
      </c>
      <c r="F1285" s="11" t="s">
        <v>502</v>
      </c>
      <c r="G1285" s="10">
        <v>1307.0</v>
      </c>
      <c r="H1285" s="10">
        <f>VLOOKUP(F1285,'Generos y Familia'!$A$1:$C$623,2,FALSE)</f>
        <v>95</v>
      </c>
      <c r="I1285" s="12" t="str">
        <f t="shared" si="1"/>
        <v>Cecropia sp</v>
      </c>
      <c r="J1285" s="10" t="str">
        <f t="shared" si="2"/>
        <v>1307 Cecropia sp</v>
      </c>
      <c r="K1285" s="10" t="str">
        <f t="shared" si="3"/>
        <v>Yarumo</v>
      </c>
      <c r="L1285" s="10" t="str">
        <f t="shared" si="4"/>
        <v>1307 Yarumo</v>
      </c>
      <c r="M1285" s="10" t="s">
        <v>35</v>
      </c>
      <c r="N1285" s="10" t="s">
        <v>36</v>
      </c>
      <c r="O1285" s="10" t="s">
        <v>37</v>
      </c>
      <c r="P1285" s="26" t="s">
        <v>809</v>
      </c>
      <c r="Q1285" s="13"/>
      <c r="R1285" s="13"/>
      <c r="S1285" s="13"/>
      <c r="T1285" s="13"/>
      <c r="U1285" s="13" t="s">
        <v>55</v>
      </c>
      <c r="V1285" s="13"/>
      <c r="W1285" s="13"/>
      <c r="X1285" s="13"/>
    </row>
    <row r="1286" ht="15.75" customHeight="1">
      <c r="A1286" s="24" t="s">
        <v>3128</v>
      </c>
      <c r="B1286" s="24"/>
      <c r="C1286" s="10">
        <v>1308.0</v>
      </c>
      <c r="D1286" s="25" t="s">
        <v>3405</v>
      </c>
      <c r="E1286" s="25" t="s">
        <v>3406</v>
      </c>
      <c r="F1286" s="11" t="s">
        <v>95</v>
      </c>
      <c r="G1286" s="10">
        <v>1308.0</v>
      </c>
      <c r="H1286" s="10">
        <f>VLOOKUP(F1286,'Generos y Familia'!$A$1:$C$623,2,FALSE)</f>
        <v>49</v>
      </c>
      <c r="I1286" s="12" t="str">
        <f t="shared" si="1"/>
        <v>Syzygium myrtifolium</v>
      </c>
      <c r="J1286" s="10" t="str">
        <f t="shared" si="2"/>
        <v>1308 Syzygium myrtifolium</v>
      </c>
      <c r="K1286" s="10" t="str">
        <f t="shared" si="3"/>
        <v>Labio Rojo; Aceite de Kelat</v>
      </c>
      <c r="L1286" s="10" t="str">
        <f t="shared" si="4"/>
        <v>1308 Labio Rojo; Aceite de Kelat</v>
      </c>
      <c r="M1286" s="10" t="s">
        <v>46</v>
      </c>
      <c r="N1286" s="10" t="s">
        <v>36</v>
      </c>
      <c r="O1286" s="10" t="s">
        <v>37</v>
      </c>
      <c r="P1286" s="26" t="s">
        <v>2804</v>
      </c>
      <c r="Q1286" s="13"/>
      <c r="R1286" s="13"/>
      <c r="S1286" s="13"/>
      <c r="T1286" s="13"/>
      <c r="U1286" s="13" t="s">
        <v>40</v>
      </c>
      <c r="V1286" s="13"/>
      <c r="W1286" s="13"/>
      <c r="X1286" s="13"/>
    </row>
    <row r="1287" ht="15.75" customHeight="1">
      <c r="A1287" s="24" t="s">
        <v>3128</v>
      </c>
      <c r="B1287" s="24"/>
      <c r="C1287" s="10">
        <v>1309.0</v>
      </c>
      <c r="D1287" s="25" t="s">
        <v>3407</v>
      </c>
      <c r="E1287" s="25" t="s">
        <v>415</v>
      </c>
      <c r="F1287" s="11" t="s">
        <v>362</v>
      </c>
      <c r="G1287" s="10">
        <v>1309.0</v>
      </c>
      <c r="H1287" s="10">
        <f>VLOOKUP(F1287,'Generos y Familia'!$A$1:$C$623,2,FALSE)</f>
        <v>17</v>
      </c>
      <c r="I1287" s="12" t="str">
        <f t="shared" si="1"/>
        <v>Baccharis oblongifolia</v>
      </c>
      <c r="J1287" s="10" t="str">
        <f t="shared" si="2"/>
        <v>1309 Baccharis oblongifolia</v>
      </c>
      <c r="K1287" s="10" t="str">
        <f t="shared" si="3"/>
        <v>Baccharis</v>
      </c>
      <c r="L1287" s="10" t="str">
        <f t="shared" si="4"/>
        <v>1309 Baccharis</v>
      </c>
      <c r="M1287" s="10" t="s">
        <v>35</v>
      </c>
      <c r="N1287" s="10" t="s">
        <v>36</v>
      </c>
      <c r="O1287" s="10" t="s">
        <v>47</v>
      </c>
      <c r="P1287" s="26" t="s">
        <v>415</v>
      </c>
      <c r="Q1287" s="13"/>
      <c r="R1287" s="13"/>
      <c r="S1287" s="13"/>
      <c r="T1287" s="13"/>
      <c r="U1287" s="13" t="s">
        <v>40</v>
      </c>
      <c r="V1287" s="13"/>
      <c r="W1287" s="13"/>
      <c r="X1287" s="13"/>
    </row>
    <row r="1288" ht="15.75" customHeight="1">
      <c r="A1288" s="24" t="s">
        <v>3128</v>
      </c>
      <c r="B1288" s="24"/>
      <c r="C1288" s="10">
        <v>1310.0</v>
      </c>
      <c r="D1288" s="25" t="s">
        <v>3408</v>
      </c>
      <c r="E1288" s="25" t="s">
        <v>3409</v>
      </c>
      <c r="F1288" s="11" t="s">
        <v>82</v>
      </c>
      <c r="G1288" s="10">
        <v>1310.0</v>
      </c>
      <c r="H1288" s="10">
        <f>VLOOKUP(F1288,'Generos y Familia'!$A$1:$C$623,2,FALSE)</f>
        <v>26</v>
      </c>
      <c r="I1288" s="12" t="str">
        <f t="shared" si="1"/>
        <v>Euphorbia sp</v>
      </c>
      <c r="J1288" s="10" t="str">
        <f t="shared" si="2"/>
        <v>1310 Euphorbia sp</v>
      </c>
      <c r="K1288" s="10" t="str">
        <f t="shared" si="3"/>
        <v>Euforbia</v>
      </c>
      <c r="L1288" s="10" t="str">
        <f t="shared" si="4"/>
        <v>1310 Euforbia</v>
      </c>
      <c r="M1288" s="10" t="s">
        <v>35</v>
      </c>
      <c r="N1288" s="10" t="s">
        <v>36</v>
      </c>
      <c r="O1288" s="10" t="s">
        <v>47</v>
      </c>
      <c r="P1288" s="26" t="s">
        <v>1405</v>
      </c>
      <c r="Q1288" s="13"/>
      <c r="R1288" s="13"/>
      <c r="S1288" s="13"/>
      <c r="T1288" s="13"/>
      <c r="U1288" s="13" t="s">
        <v>40</v>
      </c>
      <c r="V1288" s="13"/>
      <c r="W1288" s="13"/>
      <c r="X1288" s="13"/>
    </row>
    <row r="1289" ht="15.75" customHeight="1">
      <c r="A1289" s="24" t="s">
        <v>3128</v>
      </c>
      <c r="B1289" s="24"/>
      <c r="C1289" s="10">
        <v>1311.0</v>
      </c>
      <c r="D1289" s="25" t="s">
        <v>3410</v>
      </c>
      <c r="E1289" s="25" t="s">
        <v>3411</v>
      </c>
      <c r="F1289" s="11" t="s">
        <v>45</v>
      </c>
      <c r="G1289" s="10">
        <v>1311.0</v>
      </c>
      <c r="H1289" s="10">
        <f>VLOOKUP(F1289,'Generos y Familia'!$A$1:$C$623,2,FALSE)</f>
        <v>40</v>
      </c>
      <c r="I1289" s="12" t="str">
        <f t="shared" si="1"/>
        <v>Hibiscus tiliaceus</v>
      </c>
      <c r="J1289" s="10" t="str">
        <f t="shared" si="2"/>
        <v>1311 Hibiscus tiliaceus</v>
      </c>
      <c r="K1289" s="10" t="str">
        <f t="shared" si="3"/>
        <v>Hibisco Afroasiático Marítimo</v>
      </c>
      <c r="L1289" s="10" t="str">
        <f t="shared" si="4"/>
        <v>1311 Hibisco Afroasiático Marítimo</v>
      </c>
      <c r="M1289" s="10" t="s">
        <v>35</v>
      </c>
      <c r="N1289" s="10" t="s">
        <v>36</v>
      </c>
      <c r="O1289" s="10" t="s">
        <v>37</v>
      </c>
      <c r="P1289" s="26" t="s">
        <v>1618</v>
      </c>
      <c r="Q1289" s="13"/>
      <c r="R1289" s="13"/>
      <c r="S1289" s="13"/>
      <c r="T1289" s="13"/>
      <c r="U1289" s="13" t="s">
        <v>40</v>
      </c>
      <c r="V1289" s="13"/>
      <c r="W1289" s="13"/>
      <c r="X1289" s="13"/>
    </row>
    <row r="1290" ht="15.75" customHeight="1">
      <c r="A1290" s="24" t="s">
        <v>3128</v>
      </c>
      <c r="B1290" s="24"/>
      <c r="C1290" s="10">
        <v>1313.0</v>
      </c>
      <c r="D1290" s="25" t="s">
        <v>3412</v>
      </c>
      <c r="E1290" s="25" t="s">
        <v>2585</v>
      </c>
      <c r="F1290" s="11" t="s">
        <v>1105</v>
      </c>
      <c r="G1290" s="10">
        <v>1313.0</v>
      </c>
      <c r="H1290" s="10">
        <f>VLOOKUP(F1290,'Generos y Familia'!$A$1:$C$623,2,FALSE)</f>
        <v>78</v>
      </c>
      <c r="I1290" s="12" t="str">
        <f t="shared" si="1"/>
        <v>Rosa banksiae</v>
      </c>
      <c r="J1290" s="10" t="str">
        <f t="shared" si="2"/>
        <v>1313 Rosa banksiae</v>
      </c>
      <c r="K1290" s="10" t="str">
        <f t="shared" si="3"/>
        <v>Rosa</v>
      </c>
      <c r="L1290" s="10" t="str">
        <f t="shared" si="4"/>
        <v>1313 Rosa</v>
      </c>
      <c r="M1290" s="10" t="s">
        <v>46</v>
      </c>
      <c r="N1290" s="10" t="s">
        <v>36</v>
      </c>
      <c r="O1290" s="10" t="s">
        <v>47</v>
      </c>
      <c r="P1290" s="26" t="s">
        <v>2585</v>
      </c>
      <c r="Q1290" s="13"/>
      <c r="R1290" s="13"/>
      <c r="S1290" s="13"/>
      <c r="T1290" s="13"/>
      <c r="U1290" s="13" t="s">
        <v>55</v>
      </c>
      <c r="V1290" s="13"/>
      <c r="W1290" s="13"/>
      <c r="X1290" s="13"/>
    </row>
    <row r="1291" ht="15.75" customHeight="1">
      <c r="A1291" s="28" t="s">
        <v>3128</v>
      </c>
      <c r="B1291" s="28"/>
      <c r="C1291" s="10">
        <v>1314.0</v>
      </c>
      <c r="D1291" s="25" t="s">
        <v>3413</v>
      </c>
      <c r="E1291" s="25" t="s">
        <v>3414</v>
      </c>
      <c r="F1291" s="11" t="s">
        <v>3415</v>
      </c>
      <c r="G1291" s="10">
        <v>1314.0</v>
      </c>
      <c r="H1291" s="10" t="str">
        <f>VLOOKUP(F1291,'Generos y Familia'!$A$1:$C$623,2,FALSE)</f>
        <v>#N/A</v>
      </c>
      <c r="I1291" s="12" t="str">
        <f t="shared" si="1"/>
        <v>Cephalotaxus harringtonii</v>
      </c>
      <c r="J1291" s="10" t="str">
        <f t="shared" si="2"/>
        <v>1314 Cephalotaxus harringtonii</v>
      </c>
      <c r="K1291" s="10" t="str">
        <f t="shared" si="3"/>
        <v>Tejo</v>
      </c>
      <c r="L1291" s="10" t="str">
        <f t="shared" si="4"/>
        <v>1314 Tejo</v>
      </c>
      <c r="M1291" s="10" t="s">
        <v>46</v>
      </c>
      <c r="N1291" s="10" t="s">
        <v>36</v>
      </c>
      <c r="O1291" s="10" t="s">
        <v>47</v>
      </c>
      <c r="P1291" s="26" t="s">
        <v>3416</v>
      </c>
      <c r="Q1291" s="13"/>
      <c r="R1291" s="13"/>
      <c r="S1291" s="13"/>
      <c r="T1291" s="13"/>
      <c r="U1291" s="13" t="s">
        <v>40</v>
      </c>
      <c r="V1291" s="13"/>
      <c r="W1291" s="13"/>
      <c r="X1291" s="13"/>
    </row>
    <row r="1292" ht="15.75" customHeight="1">
      <c r="A1292" s="24" t="s">
        <v>3128</v>
      </c>
      <c r="B1292" s="24"/>
      <c r="C1292" s="10">
        <v>1315.0</v>
      </c>
      <c r="D1292" s="25" t="s">
        <v>3417</v>
      </c>
      <c r="E1292" s="25" t="s">
        <v>3418</v>
      </c>
      <c r="F1292" s="29" t="s">
        <v>227</v>
      </c>
      <c r="G1292" s="10">
        <v>1315.0</v>
      </c>
      <c r="H1292" s="10">
        <f>VLOOKUP(F1292,'Generos y Familia'!$A$1:$C$623,2,FALSE)</f>
        <v>96</v>
      </c>
      <c r="I1292" s="12" t="str">
        <f t="shared" si="1"/>
        <v>Verbena tweedieana</v>
      </c>
      <c r="J1292" s="10" t="str">
        <f t="shared" si="2"/>
        <v>1315 Verbena tweedieana</v>
      </c>
      <c r="K1292" s="10" t="str">
        <f t="shared" si="3"/>
        <v>Cola de Alacrán</v>
      </c>
      <c r="L1292" s="10" t="str">
        <f t="shared" si="4"/>
        <v>1315 Cola de Alacrán</v>
      </c>
      <c r="M1292" s="10" t="s">
        <v>46</v>
      </c>
      <c r="N1292" s="10" t="s">
        <v>36</v>
      </c>
      <c r="O1292" s="10" t="s">
        <v>47</v>
      </c>
      <c r="P1292" s="26" t="s">
        <v>3419</v>
      </c>
      <c r="Q1292" s="13"/>
      <c r="R1292" s="13"/>
      <c r="S1292" s="13"/>
      <c r="T1292" s="13"/>
      <c r="U1292" s="13" t="s">
        <v>40</v>
      </c>
      <c r="V1292" s="13"/>
      <c r="W1292" s="13"/>
      <c r="X1292" s="13"/>
    </row>
    <row r="1293" ht="15.75" customHeight="1">
      <c r="A1293" s="24" t="s">
        <v>3128</v>
      </c>
      <c r="B1293" s="24"/>
      <c r="C1293" s="10">
        <v>1316.0</v>
      </c>
      <c r="D1293" s="25" t="s">
        <v>3420</v>
      </c>
      <c r="E1293" s="25" t="s">
        <v>3421</v>
      </c>
      <c r="F1293" s="11" t="s">
        <v>1496</v>
      </c>
      <c r="G1293" s="10">
        <v>1316.0</v>
      </c>
      <c r="H1293" s="10">
        <f>VLOOKUP(F1293,'Generos y Familia'!$A$1:$C$623,2,FALSE)</f>
        <v>53</v>
      </c>
      <c r="I1293" s="12" t="str">
        <f t="shared" si="1"/>
        <v>Jasminum sambac</v>
      </c>
      <c r="J1293" s="10" t="str">
        <f t="shared" si="2"/>
        <v>1316 Jasminum sambac</v>
      </c>
      <c r="K1293" s="10" t="str">
        <f t="shared" si="3"/>
        <v>Jazmín Estrellado; Jazmín de Arabia</v>
      </c>
      <c r="L1293" s="10" t="str">
        <f t="shared" si="4"/>
        <v>1316 Jazmín Estrellado; Jazmín de Arabia</v>
      </c>
      <c r="M1293" s="10" t="s">
        <v>46</v>
      </c>
      <c r="N1293" s="10" t="s">
        <v>36</v>
      </c>
      <c r="O1293" s="10" t="s">
        <v>47</v>
      </c>
      <c r="P1293" s="26" t="s">
        <v>1726</v>
      </c>
      <c r="Q1293" s="13"/>
      <c r="R1293" s="13"/>
      <c r="S1293" s="13"/>
      <c r="T1293" s="13"/>
      <c r="U1293" s="13" t="s">
        <v>55</v>
      </c>
      <c r="V1293" s="13"/>
      <c r="W1293" s="13"/>
      <c r="X1293" s="13"/>
    </row>
    <row r="1294" ht="15.75" customHeight="1">
      <c r="A1294" s="24" t="s">
        <v>3128</v>
      </c>
      <c r="B1294" s="24"/>
      <c r="C1294" s="10">
        <v>1317.0</v>
      </c>
      <c r="D1294" s="25" t="s">
        <v>3422</v>
      </c>
      <c r="E1294" s="25" t="s">
        <v>3423</v>
      </c>
      <c r="F1294" s="11" t="s">
        <v>34</v>
      </c>
      <c r="G1294" s="10">
        <v>1317.0</v>
      </c>
      <c r="H1294" s="10">
        <f>VLOOKUP(F1294,'Generos y Familia'!$A$1:$C$623,2,FALSE)</f>
        <v>27</v>
      </c>
      <c r="I1294" s="12" t="str">
        <f t="shared" si="1"/>
        <v>Acacia retinodes</v>
      </c>
      <c r="J1294" s="10" t="str">
        <f t="shared" si="2"/>
        <v>1317 Acacia retinodes</v>
      </c>
      <c r="K1294" s="10" t="str">
        <f t="shared" si="3"/>
        <v>Acacia Amarilla; Acacia</v>
      </c>
      <c r="L1294" s="10" t="str">
        <f t="shared" si="4"/>
        <v>1317 Acacia Amarilla; Acacia</v>
      </c>
      <c r="M1294" s="10" t="s">
        <v>46</v>
      </c>
      <c r="N1294" s="10" t="s">
        <v>36</v>
      </c>
      <c r="O1294" s="10" t="s">
        <v>37</v>
      </c>
      <c r="P1294" s="26" t="s">
        <v>59</v>
      </c>
      <c r="Q1294" s="17" t="s">
        <v>612</v>
      </c>
      <c r="R1294" s="13" t="s">
        <v>53</v>
      </c>
      <c r="S1294" s="17"/>
      <c r="T1294" s="14"/>
      <c r="U1294" s="14" t="s">
        <v>55</v>
      </c>
      <c r="V1294" s="14"/>
      <c r="W1294" s="30" t="s">
        <v>229</v>
      </c>
      <c r="X1294" s="14"/>
    </row>
    <row r="1295" ht="15.75" customHeight="1">
      <c r="A1295" s="31"/>
      <c r="B1295" s="31"/>
      <c r="C1295" s="32"/>
      <c r="D1295" s="25" t="s">
        <v>3424</v>
      </c>
      <c r="E1295" s="25" t="s">
        <v>3425</v>
      </c>
      <c r="F1295" s="11" t="s">
        <v>158</v>
      </c>
      <c r="G1295" s="11">
        <v>1319.0</v>
      </c>
      <c r="H1295" s="10">
        <f>VLOOKUP(F1295,'Generos y Familia'!$A$1:$C$623,2,FALSE)</f>
        <v>35</v>
      </c>
      <c r="I1295" s="12" t="str">
        <f t="shared" si="1"/>
        <v>Cinnamomum camphora</v>
      </c>
      <c r="J1295" s="10" t="str">
        <f t="shared" si="2"/>
        <v>1319 Cinnamomum camphora</v>
      </c>
      <c r="K1295" s="10" t="str">
        <f t="shared" si="3"/>
        <v>Canelo; Canela Criolla; Canela de Monte</v>
      </c>
      <c r="L1295" s="10" t="str">
        <f t="shared" si="4"/>
        <v>1319 Canelo; Canela Criolla; Canela de Monte</v>
      </c>
      <c r="M1295" s="32"/>
      <c r="N1295" s="32"/>
      <c r="O1295" s="32"/>
      <c r="P1295" s="33"/>
      <c r="Q1295" s="34">
        <v>15.0</v>
      </c>
      <c r="R1295" s="34" t="s">
        <v>3426</v>
      </c>
      <c r="S1295" s="15"/>
      <c r="T1295" s="15"/>
      <c r="U1295" s="15"/>
      <c r="V1295" s="15"/>
      <c r="W1295" s="15"/>
      <c r="X1295" s="13"/>
    </row>
    <row r="1296" ht="15.75" customHeight="1">
      <c r="A1296" s="31"/>
      <c r="B1296" s="31"/>
      <c r="C1296" s="32"/>
      <c r="D1296" s="25" t="s">
        <v>3427</v>
      </c>
      <c r="E1296" s="25" t="s">
        <v>3428</v>
      </c>
      <c r="F1296" s="11" t="s">
        <v>34</v>
      </c>
      <c r="G1296" s="11">
        <v>1320.0</v>
      </c>
      <c r="H1296" s="10">
        <f>VLOOKUP(F1296,'Generos y Familia'!$A$1:$C$623,2,FALSE)</f>
        <v>27</v>
      </c>
      <c r="I1296" s="12" t="str">
        <f t="shared" si="1"/>
        <v>Tephrosia vogelii</v>
      </c>
      <c r="J1296" s="10" t="str">
        <f t="shared" si="2"/>
        <v>1320 Tephrosia vogelii</v>
      </c>
      <c r="K1296" s="10" t="str">
        <f t="shared" si="3"/>
        <v>Barbasco; Frijol Pezguero; Pezguero</v>
      </c>
      <c r="L1296" s="10" t="str">
        <f t="shared" si="4"/>
        <v>1320 Barbasco; Frijol Pezguero; Pezguero</v>
      </c>
      <c r="M1296" s="32"/>
      <c r="N1296" s="32"/>
      <c r="O1296" s="32"/>
      <c r="P1296" s="33"/>
      <c r="Q1296" s="15"/>
      <c r="R1296" s="15"/>
      <c r="S1296" s="15"/>
      <c r="T1296" s="15"/>
      <c r="U1296" s="15"/>
      <c r="V1296" s="15"/>
      <c r="W1296" s="15"/>
      <c r="X1296" s="13"/>
    </row>
    <row r="1297" ht="15.75" customHeight="1">
      <c r="A1297" s="31"/>
      <c r="B1297" s="31"/>
      <c r="C1297" s="32"/>
      <c r="D1297" s="25" t="s">
        <v>3429</v>
      </c>
      <c r="E1297" s="25" t="s">
        <v>3430</v>
      </c>
      <c r="F1297" s="11" t="s">
        <v>1064</v>
      </c>
      <c r="G1297" s="11">
        <v>1321.0</v>
      </c>
      <c r="H1297" s="10">
        <f>VLOOKUP(F1297,'Generos y Familia'!$A$1:$C$623,2,FALSE)</f>
        <v>22</v>
      </c>
      <c r="I1297" s="12" t="str">
        <f t="shared" si="1"/>
        <v>Varronia curassavica</v>
      </c>
      <c r="J1297" s="10" t="str">
        <f t="shared" si="2"/>
        <v>1321 Varronia curassavica</v>
      </c>
      <c r="K1297" s="10" t="str">
        <f t="shared" si="3"/>
        <v>Totumo de Playa; Totumillo</v>
      </c>
      <c r="L1297" s="10" t="str">
        <f t="shared" si="4"/>
        <v>1321 Totumo de Playa; Totumillo</v>
      </c>
      <c r="M1297" s="32"/>
      <c r="N1297" s="32"/>
      <c r="O1297" s="32"/>
      <c r="P1297" s="33"/>
      <c r="Q1297" s="15"/>
      <c r="R1297" s="15"/>
      <c r="S1297" s="15"/>
      <c r="T1297" s="15"/>
      <c r="U1297" s="15"/>
      <c r="V1297" s="15"/>
      <c r="W1297" s="15"/>
      <c r="X1297" s="13"/>
    </row>
    <row r="1298" ht="15.75" customHeight="1">
      <c r="A1298" s="31"/>
      <c r="B1298" s="31"/>
      <c r="C1298" s="32"/>
      <c r="D1298" s="25" t="s">
        <v>3431</v>
      </c>
      <c r="E1298" s="25" t="s">
        <v>3432</v>
      </c>
      <c r="F1298" s="11" t="s">
        <v>362</v>
      </c>
      <c r="G1298" s="11">
        <v>1322.0</v>
      </c>
      <c r="H1298" s="10">
        <f>VLOOKUP(F1298,'Generos y Familia'!$A$1:$C$623,2,FALSE)</f>
        <v>17</v>
      </c>
      <c r="I1298" s="12" t="str">
        <f t="shared" si="1"/>
        <v>Gymnanthemum amygdalinum</v>
      </c>
      <c r="J1298" s="10" t="str">
        <f t="shared" si="2"/>
        <v>1322 Gymnanthemum amygdalinum</v>
      </c>
      <c r="K1298" s="10" t="str">
        <f t="shared" si="3"/>
        <v>Hoja Amarga; Vernonia Amarga</v>
      </c>
      <c r="L1298" s="10" t="str">
        <f t="shared" si="4"/>
        <v>1322 Hoja Amarga; Vernonia Amarga</v>
      </c>
      <c r="M1298" s="32"/>
      <c r="N1298" s="32"/>
      <c r="O1298" s="32"/>
      <c r="P1298" s="33"/>
      <c r="Q1298" s="15"/>
      <c r="R1298" s="15"/>
      <c r="S1298" s="15"/>
      <c r="T1298" s="15"/>
      <c r="U1298" s="15"/>
      <c r="V1298" s="15"/>
      <c r="W1298" s="15"/>
      <c r="X1298" s="13"/>
    </row>
    <row r="1299" ht="15.75" customHeight="1">
      <c r="A1299" s="31"/>
      <c r="B1299" s="31"/>
      <c r="C1299" s="32"/>
      <c r="D1299" s="25" t="s">
        <v>3433</v>
      </c>
      <c r="E1299" s="25" t="s">
        <v>3434</v>
      </c>
      <c r="F1299" s="11" t="s">
        <v>574</v>
      </c>
      <c r="G1299" s="11">
        <v>1323.0</v>
      </c>
      <c r="H1299" s="10"/>
      <c r="I1299" s="12" t="str">
        <f t="shared" si="1"/>
        <v>Combretum indicum</v>
      </c>
      <c r="J1299" s="10" t="str">
        <f t="shared" si="2"/>
        <v>1323 Combretum indicum</v>
      </c>
      <c r="K1299" s="10" t="str">
        <f t="shared" si="3"/>
        <v>Jazmín de la India; Quisqualis; Flor de San Diego</v>
      </c>
      <c r="L1299" s="10" t="str">
        <f t="shared" si="4"/>
        <v>1323 Jazmín de la India; Quisqualis; Flor de San Diego</v>
      </c>
      <c r="M1299" s="32"/>
      <c r="N1299" s="32"/>
      <c r="O1299" s="32"/>
      <c r="P1299" s="33"/>
      <c r="Q1299" s="15"/>
      <c r="R1299" s="15"/>
      <c r="S1299" s="15"/>
      <c r="T1299" s="15"/>
      <c r="U1299" s="15"/>
      <c r="V1299" s="15"/>
      <c r="W1299" s="15"/>
      <c r="X1299" s="13"/>
    </row>
    <row r="1300" ht="15.75" customHeight="1">
      <c r="A1300" s="31"/>
      <c r="B1300" s="31"/>
      <c r="C1300" s="32"/>
      <c r="D1300" s="25" t="s">
        <v>3435</v>
      </c>
      <c r="E1300" s="25" t="s">
        <v>3436</v>
      </c>
      <c r="F1300" s="11" t="s">
        <v>2287</v>
      </c>
      <c r="G1300" s="11">
        <v>1324.0</v>
      </c>
      <c r="H1300" s="10"/>
      <c r="I1300" s="12" t="str">
        <f t="shared" si="1"/>
        <v>Syngonium auritum</v>
      </c>
      <c r="J1300" s="10" t="str">
        <f t="shared" si="2"/>
        <v>1324 Syngonium auritum</v>
      </c>
      <c r="K1300" s="10" t="str">
        <f t="shared" si="3"/>
        <v>Pico de loro; Garrobo; Bejuco de Oreja</v>
      </c>
      <c r="L1300" s="10" t="str">
        <f t="shared" si="4"/>
        <v>1324 Pico de loro; Garrobo; Bejuco de Oreja</v>
      </c>
      <c r="M1300" s="32"/>
      <c r="N1300" s="32"/>
      <c r="O1300" s="32"/>
      <c r="P1300" s="33"/>
      <c r="Q1300" s="15"/>
      <c r="R1300" s="15"/>
      <c r="S1300" s="15"/>
      <c r="T1300" s="15"/>
      <c r="U1300" s="15"/>
      <c r="V1300" s="15"/>
      <c r="W1300" s="15"/>
      <c r="X1300" s="13"/>
    </row>
    <row r="1301" ht="15.75" customHeight="1">
      <c r="A1301" s="31"/>
      <c r="B1301" s="31"/>
      <c r="C1301" s="32"/>
      <c r="D1301" s="25" t="s">
        <v>3437</v>
      </c>
      <c r="E1301" s="25" t="s">
        <v>3438</v>
      </c>
      <c r="F1301" s="11" t="s">
        <v>1064</v>
      </c>
      <c r="G1301" s="11">
        <v>1325.0</v>
      </c>
      <c r="H1301" s="10"/>
      <c r="I1301" s="12" t="str">
        <f t="shared" si="1"/>
        <v>Myosotis sp</v>
      </c>
      <c r="J1301" s="10" t="str">
        <f t="shared" si="2"/>
        <v>1325 Myosotis sp</v>
      </c>
      <c r="K1301" s="10" t="str">
        <f t="shared" si="3"/>
        <v>No me Olvides</v>
      </c>
      <c r="L1301" s="10" t="str">
        <f t="shared" si="4"/>
        <v>1325 No me Olvides</v>
      </c>
      <c r="M1301" s="32"/>
      <c r="N1301" s="32"/>
      <c r="O1301" s="32"/>
      <c r="P1301" s="33"/>
      <c r="Q1301" s="15"/>
      <c r="R1301" s="15"/>
      <c r="S1301" s="15"/>
      <c r="T1301" s="15"/>
      <c r="U1301" s="15"/>
      <c r="V1301" s="15"/>
      <c r="W1301" s="15"/>
      <c r="X1301" s="13"/>
    </row>
    <row r="1302" ht="15.75" customHeight="1">
      <c r="A1302" s="31"/>
      <c r="B1302" s="31"/>
      <c r="C1302" s="32"/>
      <c r="D1302" s="25" t="s">
        <v>3439</v>
      </c>
      <c r="E1302" s="25" t="s">
        <v>3440</v>
      </c>
      <c r="F1302" s="11" t="s">
        <v>45</v>
      </c>
      <c r="G1302" s="11">
        <v>1326.0</v>
      </c>
      <c r="H1302" s="10"/>
      <c r="I1302" s="12" t="str">
        <f t="shared" si="1"/>
        <v>Theobroma speciosum</v>
      </c>
      <c r="J1302" s="10" t="str">
        <f t="shared" si="2"/>
        <v>1326 Theobroma speciosum</v>
      </c>
      <c r="K1302" s="10" t="str">
        <f t="shared" si="3"/>
        <v>Cacao silvestre; Cacao de Monte</v>
      </c>
      <c r="L1302" s="10" t="str">
        <f t="shared" si="4"/>
        <v>1326 Cacao silvestre; Cacao de Monte</v>
      </c>
      <c r="M1302" s="32"/>
      <c r="N1302" s="32"/>
      <c r="O1302" s="32"/>
      <c r="P1302" s="33"/>
      <c r="Q1302" s="15"/>
      <c r="R1302" s="15"/>
      <c r="S1302" s="15"/>
      <c r="T1302" s="15"/>
      <c r="U1302" s="15"/>
      <c r="V1302" s="15"/>
      <c r="W1302" s="15"/>
      <c r="X1302" s="13"/>
    </row>
    <row r="1303" ht="15.75" customHeight="1">
      <c r="A1303" s="31"/>
      <c r="B1303" s="31"/>
      <c r="C1303" s="32"/>
      <c r="D1303" s="25" t="s">
        <v>3441</v>
      </c>
      <c r="E1303" s="25" t="s">
        <v>3442</v>
      </c>
      <c r="F1303" s="11" t="s">
        <v>136</v>
      </c>
      <c r="G1303" s="11">
        <v>1327.0</v>
      </c>
      <c r="H1303" s="10"/>
      <c r="I1303" s="12" t="str">
        <f t="shared" si="1"/>
        <v>Vitex trifolia</v>
      </c>
      <c r="J1303" s="10" t="str">
        <f t="shared" si="2"/>
        <v>1327 Vitex trifolia</v>
      </c>
      <c r="K1303" s="10" t="str">
        <f t="shared" si="3"/>
        <v>Aceituno; Palo de Arco</v>
      </c>
      <c r="L1303" s="10" t="str">
        <f t="shared" si="4"/>
        <v>1327 Aceituno; Palo de Arco</v>
      </c>
      <c r="M1303" s="32"/>
      <c r="N1303" s="32"/>
      <c r="O1303" s="32"/>
      <c r="P1303" s="33"/>
      <c r="Q1303" s="15"/>
      <c r="R1303" s="15"/>
      <c r="S1303" s="15"/>
      <c r="T1303" s="15"/>
      <c r="U1303" s="15"/>
      <c r="V1303" s="15"/>
      <c r="W1303" s="15"/>
      <c r="X1303" s="13"/>
    </row>
    <row r="1304" ht="15.75" customHeight="1">
      <c r="A1304" s="31"/>
      <c r="B1304" s="31"/>
      <c r="C1304" s="32"/>
      <c r="D1304" s="25" t="s">
        <v>3443</v>
      </c>
      <c r="E1304" s="25" t="s">
        <v>3444</v>
      </c>
      <c r="F1304" s="11" t="s">
        <v>328</v>
      </c>
      <c r="G1304" s="11">
        <v>1328.0</v>
      </c>
      <c r="H1304" s="11">
        <v>13.0</v>
      </c>
      <c r="I1304" s="12" t="str">
        <f t="shared" si="1"/>
        <v>Araucaria columnaris</v>
      </c>
      <c r="J1304" s="10" t="str">
        <f t="shared" si="2"/>
        <v>1328 Araucaria columnaris</v>
      </c>
      <c r="K1304" s="10" t="str">
        <f t="shared" si="3"/>
        <v>Araucaria columnar; pino de Nueva Caledonia</v>
      </c>
      <c r="L1304" s="10" t="str">
        <f t="shared" si="4"/>
        <v>1328 Araucaria columnar; pino de Nueva Caledonia</v>
      </c>
      <c r="M1304" s="10" t="s">
        <v>46</v>
      </c>
      <c r="N1304" s="10" t="s">
        <v>36</v>
      </c>
      <c r="O1304" s="10" t="s">
        <v>37</v>
      </c>
      <c r="P1304" s="33"/>
      <c r="Q1304" s="34"/>
      <c r="R1304" s="15"/>
      <c r="S1304" s="15"/>
      <c r="T1304" s="15"/>
      <c r="U1304" s="15"/>
      <c r="V1304" s="15"/>
      <c r="W1304" s="15"/>
      <c r="X1304" s="13"/>
    </row>
    <row r="1305" ht="15.75" customHeight="1">
      <c r="A1305" s="31"/>
      <c r="B1305" s="31"/>
      <c r="C1305" s="32"/>
      <c r="D1305" s="25" t="s">
        <v>3445</v>
      </c>
      <c r="E1305" s="25" t="s">
        <v>3446</v>
      </c>
      <c r="F1305" s="11" t="s">
        <v>34</v>
      </c>
      <c r="G1305" s="11">
        <v>1329.0</v>
      </c>
      <c r="H1305" s="11">
        <v>27.0</v>
      </c>
      <c r="I1305" s="12" t="str">
        <f t="shared" si="1"/>
        <v>Calliandra purdiei</v>
      </c>
      <c r="J1305" s="10" t="str">
        <f t="shared" si="2"/>
        <v>1329 Calliandra purdiei</v>
      </c>
      <c r="K1305" s="10" t="str">
        <f t="shared" si="3"/>
        <v>Florito; Carbonero</v>
      </c>
      <c r="L1305" s="10" t="str">
        <f t="shared" si="4"/>
        <v>1329 Florito; Carbonero</v>
      </c>
      <c r="M1305" s="29" t="s">
        <v>797</v>
      </c>
      <c r="N1305" s="29" t="s">
        <v>36</v>
      </c>
      <c r="O1305" s="29" t="s">
        <v>3447</v>
      </c>
      <c r="P1305" s="33"/>
      <c r="Q1305" s="15"/>
      <c r="R1305" s="15"/>
      <c r="S1305" s="15"/>
      <c r="T1305" s="15"/>
      <c r="U1305" s="15"/>
      <c r="V1305" s="15"/>
      <c r="W1305" s="15"/>
      <c r="X1305" s="13"/>
    </row>
    <row r="1306" ht="15.75" customHeight="1">
      <c r="A1306" s="31"/>
      <c r="B1306" s="31"/>
      <c r="C1306" s="32"/>
      <c r="D1306" s="25" t="s">
        <v>3448</v>
      </c>
      <c r="E1306" s="25" t="s">
        <v>763</v>
      </c>
      <c r="F1306" s="11" t="s">
        <v>762</v>
      </c>
      <c r="G1306" s="11">
        <v>1330.0</v>
      </c>
      <c r="H1306" s="11">
        <v>890.0</v>
      </c>
      <c r="I1306" s="12" t="str">
        <f t="shared" si="1"/>
        <v>Casearia arguta</v>
      </c>
      <c r="J1306" s="10" t="str">
        <f t="shared" si="2"/>
        <v>1330 Casearia arguta</v>
      </c>
      <c r="K1306" s="10" t="str">
        <f t="shared" si="3"/>
        <v>Casearia</v>
      </c>
      <c r="L1306" s="10" t="str">
        <f t="shared" si="4"/>
        <v>1330 Casearia</v>
      </c>
      <c r="M1306" s="29" t="s">
        <v>797</v>
      </c>
      <c r="N1306" s="29" t="s">
        <v>36</v>
      </c>
      <c r="O1306" s="29" t="s">
        <v>37</v>
      </c>
      <c r="P1306" s="33"/>
      <c r="Q1306" s="15"/>
      <c r="R1306" s="15"/>
      <c r="S1306" s="15"/>
      <c r="T1306" s="15"/>
      <c r="U1306" s="15"/>
      <c r="V1306" s="15"/>
      <c r="W1306" s="15"/>
      <c r="X1306" s="13"/>
    </row>
    <row r="1307" ht="15.75" customHeight="1">
      <c r="A1307" s="31"/>
      <c r="B1307" s="31"/>
      <c r="C1307" s="32"/>
      <c r="D1307" s="25" t="s">
        <v>3449</v>
      </c>
      <c r="E1307" s="25" t="s">
        <v>3450</v>
      </c>
      <c r="F1307" s="11" t="s">
        <v>34</v>
      </c>
      <c r="G1307" s="11">
        <v>1331.0</v>
      </c>
      <c r="H1307" s="11">
        <v>27.0</v>
      </c>
      <c r="I1307" s="12" t="str">
        <f t="shared" si="1"/>
        <v>Cassia leiandra</v>
      </c>
      <c r="J1307" s="10" t="str">
        <f t="shared" si="2"/>
        <v>1331 Cassia leiandra</v>
      </c>
      <c r="K1307" s="10" t="str">
        <f t="shared" si="3"/>
        <v>Mari-Mari; Caña fistula</v>
      </c>
      <c r="L1307" s="10" t="str">
        <f t="shared" si="4"/>
        <v>1331 Mari-Mari; Caña fistula</v>
      </c>
      <c r="M1307" s="29" t="s">
        <v>35</v>
      </c>
      <c r="N1307" s="29" t="s">
        <v>36</v>
      </c>
      <c r="O1307" s="29" t="s">
        <v>37</v>
      </c>
      <c r="P1307" s="33"/>
      <c r="Q1307" s="15"/>
      <c r="R1307" s="15"/>
      <c r="S1307" s="15"/>
      <c r="T1307" s="15"/>
      <c r="U1307" s="15"/>
      <c r="V1307" s="15"/>
      <c r="W1307" s="15"/>
      <c r="X1307" s="13"/>
    </row>
    <row r="1308" ht="15.75" customHeight="1">
      <c r="A1308" s="31"/>
      <c r="B1308" s="31"/>
      <c r="C1308" s="32"/>
      <c r="D1308" s="25" t="s">
        <v>3451</v>
      </c>
      <c r="E1308" s="25" t="s">
        <v>3452</v>
      </c>
      <c r="F1308" s="11" t="s">
        <v>214</v>
      </c>
      <c r="G1308" s="11">
        <v>1332.0</v>
      </c>
      <c r="H1308" s="11">
        <v>84.0</v>
      </c>
      <c r="I1308" s="12" t="str">
        <f t="shared" si="1"/>
        <v>Dilodendron bipinnatum</v>
      </c>
      <c r="J1308" s="10" t="str">
        <f t="shared" si="2"/>
        <v>1332 Dilodendron bipinnatum</v>
      </c>
      <c r="K1308" s="10" t="str">
        <f t="shared" si="3"/>
        <v>Guaba; Guaba de monte</v>
      </c>
      <c r="L1308" s="10" t="str">
        <f t="shared" si="4"/>
        <v>1332 Guaba; Guaba de monte</v>
      </c>
      <c r="M1308" s="32"/>
      <c r="N1308" s="32"/>
      <c r="O1308" s="32"/>
      <c r="P1308" s="33"/>
      <c r="Q1308" s="15"/>
      <c r="R1308" s="15"/>
      <c r="S1308" s="15"/>
      <c r="T1308" s="15"/>
      <c r="U1308" s="15"/>
      <c r="V1308" s="15"/>
      <c r="W1308" s="15"/>
      <c r="X1308" s="13"/>
    </row>
    <row r="1309" ht="15.75" customHeight="1">
      <c r="A1309" s="31"/>
      <c r="B1309" s="31"/>
      <c r="C1309" s="32"/>
      <c r="D1309" s="25" t="s">
        <v>3453</v>
      </c>
      <c r="E1309" s="25" t="s">
        <v>3454</v>
      </c>
      <c r="F1309" s="11" t="s">
        <v>34</v>
      </c>
      <c r="G1309" s="11">
        <v>1333.0</v>
      </c>
      <c r="H1309" s="11">
        <v>27.0</v>
      </c>
      <c r="I1309" s="12" t="str">
        <f t="shared" si="1"/>
        <v>Dipteryx odorata</v>
      </c>
      <c r="J1309" s="10" t="str">
        <f t="shared" si="2"/>
        <v>1333 Dipteryx odorata</v>
      </c>
      <c r="K1309" s="10" t="str">
        <f t="shared" si="3"/>
        <v>Cumaru; Teca brasileña</v>
      </c>
      <c r="L1309" s="10" t="str">
        <f t="shared" si="4"/>
        <v>1333 Cumaru; Teca brasileña</v>
      </c>
      <c r="M1309" s="32"/>
      <c r="N1309" s="32"/>
      <c r="O1309" s="32"/>
      <c r="P1309" s="33"/>
      <c r="Q1309" s="15"/>
      <c r="R1309" s="15"/>
      <c r="S1309" s="15"/>
      <c r="T1309" s="15"/>
      <c r="U1309" s="15"/>
      <c r="V1309" s="15"/>
      <c r="W1309" s="15"/>
      <c r="X1309" s="13"/>
    </row>
    <row r="1310" ht="15.75" customHeight="1">
      <c r="A1310" s="31"/>
      <c r="B1310" s="31"/>
      <c r="C1310" s="32"/>
      <c r="D1310" s="25" t="s">
        <v>3455</v>
      </c>
      <c r="E1310" s="25" t="s">
        <v>3456</v>
      </c>
      <c r="F1310" s="11" t="s">
        <v>34</v>
      </c>
      <c r="G1310" s="11">
        <v>1334.0</v>
      </c>
      <c r="H1310" s="11">
        <v>27.0</v>
      </c>
      <c r="I1310" s="12" t="str">
        <f t="shared" si="1"/>
        <v>Dipteryx rosea</v>
      </c>
      <c r="J1310" s="10" t="str">
        <f t="shared" si="2"/>
        <v>1334 Dipteryx rosea</v>
      </c>
      <c r="K1310" s="10" t="str">
        <f t="shared" si="3"/>
        <v>Charapilla; Cumaru</v>
      </c>
      <c r="L1310" s="10" t="str">
        <f t="shared" si="4"/>
        <v>1334 Charapilla; Cumaru</v>
      </c>
      <c r="M1310" s="32"/>
      <c r="N1310" s="32"/>
      <c r="O1310" s="32"/>
      <c r="P1310" s="33"/>
      <c r="Q1310" s="15"/>
      <c r="R1310" s="15"/>
      <c r="S1310" s="15"/>
      <c r="T1310" s="15"/>
      <c r="U1310" s="15"/>
      <c r="V1310" s="15"/>
      <c r="W1310" s="15"/>
      <c r="X1310" s="13"/>
    </row>
    <row r="1311" ht="15.75" customHeight="1">
      <c r="A1311" s="31"/>
      <c r="B1311" s="31"/>
      <c r="C1311" s="32"/>
      <c r="D1311" s="25" t="s">
        <v>3457</v>
      </c>
      <c r="E1311" s="25" t="s">
        <v>3458</v>
      </c>
      <c r="F1311" s="11" t="s">
        <v>365</v>
      </c>
      <c r="G1311" s="11">
        <v>1335.0</v>
      </c>
      <c r="H1311" s="11">
        <v>43.0</v>
      </c>
      <c r="I1311" s="12" t="str">
        <f t="shared" si="1"/>
        <v>Ficus pallida</v>
      </c>
      <c r="J1311" s="10" t="str">
        <f t="shared" si="2"/>
        <v>1335 Ficus pallida</v>
      </c>
      <c r="K1311" s="10" t="str">
        <f t="shared" si="3"/>
        <v>Matapalo; Higo; Caucho; Higuito</v>
      </c>
      <c r="L1311" s="10" t="str">
        <f t="shared" si="4"/>
        <v>1335 Matapalo; Higo; Caucho; Higuito</v>
      </c>
      <c r="M1311" s="32"/>
      <c r="N1311" s="32"/>
      <c r="O1311" s="32"/>
      <c r="P1311" s="33"/>
      <c r="Q1311" s="15"/>
      <c r="R1311" s="15"/>
      <c r="S1311" s="15"/>
      <c r="T1311" s="15"/>
      <c r="U1311" s="15"/>
      <c r="V1311" s="15"/>
      <c r="W1311" s="15"/>
      <c r="X1311" s="13"/>
    </row>
    <row r="1312" ht="15.75" customHeight="1">
      <c r="A1312" s="31"/>
      <c r="B1312" s="31"/>
      <c r="C1312" s="32"/>
      <c r="D1312" s="25" t="s">
        <v>3459</v>
      </c>
      <c r="E1312" s="25" t="s">
        <v>3460</v>
      </c>
      <c r="F1312" s="11" t="s">
        <v>1496</v>
      </c>
      <c r="G1312" s="11">
        <v>1336.0</v>
      </c>
      <c r="H1312" s="11">
        <v>53.0</v>
      </c>
      <c r="I1312" s="12" t="str">
        <f t="shared" si="1"/>
        <v>Fraxinus excelsior</v>
      </c>
      <c r="J1312" s="10" t="str">
        <f t="shared" si="2"/>
        <v>1336 Fraxinus excelsior</v>
      </c>
      <c r="K1312" s="10" t="str">
        <f t="shared" si="3"/>
        <v>Fresno; Fresno norteño</v>
      </c>
      <c r="L1312" s="10" t="str">
        <f t="shared" si="4"/>
        <v>1336 Fresno; Fresno norteño</v>
      </c>
      <c r="M1312" s="32"/>
      <c r="N1312" s="32"/>
      <c r="O1312" s="32"/>
      <c r="P1312" s="33"/>
      <c r="Q1312" s="15"/>
      <c r="R1312" s="15"/>
      <c r="S1312" s="15"/>
      <c r="T1312" s="15"/>
      <c r="U1312" s="15"/>
      <c r="V1312" s="15"/>
      <c r="W1312" s="15"/>
      <c r="X1312" s="13"/>
    </row>
    <row r="1313" ht="15.75" customHeight="1">
      <c r="A1313" s="31"/>
      <c r="B1313" s="31"/>
      <c r="C1313" s="32"/>
      <c r="D1313" s="25" t="s">
        <v>3461</v>
      </c>
      <c r="E1313" s="25" t="s">
        <v>3462</v>
      </c>
      <c r="F1313" s="11" t="s">
        <v>769</v>
      </c>
      <c r="G1313" s="11">
        <v>1337.0</v>
      </c>
      <c r="H1313" s="11">
        <v>80.0</v>
      </c>
      <c r="I1313" s="12" t="str">
        <f t="shared" si="1"/>
        <v>Murraya exotica</v>
      </c>
      <c r="J1313" s="10" t="str">
        <f t="shared" si="2"/>
        <v>1337 Murraya exotica</v>
      </c>
      <c r="K1313" s="10" t="str">
        <f t="shared" si="3"/>
        <v>Mirto; Jazmín; Naranja común</v>
      </c>
      <c r="L1313" s="10" t="str">
        <f t="shared" si="4"/>
        <v>1337 Mirto; Jazmín; Naranja común</v>
      </c>
      <c r="M1313" s="32"/>
      <c r="N1313" s="32"/>
      <c r="O1313" s="32"/>
      <c r="P1313" s="33"/>
      <c r="Q1313" s="15"/>
      <c r="R1313" s="15"/>
      <c r="S1313" s="15"/>
      <c r="T1313" s="15"/>
      <c r="U1313" s="15"/>
      <c r="V1313" s="15"/>
      <c r="W1313" s="15"/>
      <c r="X1313" s="13"/>
    </row>
    <row r="1314" ht="15.75" customHeight="1">
      <c r="A1314" s="31"/>
      <c r="B1314" s="31"/>
      <c r="C1314" s="32"/>
      <c r="D1314" s="25" t="s">
        <v>3463</v>
      </c>
      <c r="E1314" s="25" t="s">
        <v>3464</v>
      </c>
      <c r="F1314" s="11" t="s">
        <v>95</v>
      </c>
      <c r="G1314" s="11">
        <v>1338.0</v>
      </c>
      <c r="H1314" s="11">
        <v>49.0</v>
      </c>
      <c r="I1314" s="12" t="str">
        <f t="shared" si="1"/>
        <v>Myrciaria vexator</v>
      </c>
      <c r="J1314" s="10" t="str">
        <f t="shared" si="2"/>
        <v>1338 Myrciaria vexator</v>
      </c>
      <c r="K1314" s="10" t="str">
        <f t="shared" si="3"/>
        <v>Guayabo negro; Falsa jaboticaba</v>
      </c>
      <c r="L1314" s="10" t="str">
        <f t="shared" si="4"/>
        <v>1338 Guayabo negro; Falsa jaboticaba</v>
      </c>
      <c r="M1314" s="32"/>
      <c r="N1314" s="32"/>
      <c r="O1314" s="32"/>
      <c r="P1314" s="33"/>
      <c r="Q1314" s="15"/>
      <c r="R1314" s="15"/>
      <c r="S1314" s="15"/>
      <c r="T1314" s="15"/>
      <c r="U1314" s="15"/>
      <c r="V1314" s="15"/>
      <c r="W1314" s="15"/>
      <c r="X1314" s="13"/>
    </row>
    <row r="1315" ht="15.75" customHeight="1">
      <c r="A1315" s="31"/>
      <c r="B1315" s="31"/>
      <c r="C1315" s="32"/>
      <c r="D1315" s="25" t="s">
        <v>3465</v>
      </c>
      <c r="E1315" s="25" t="s">
        <v>3466</v>
      </c>
      <c r="F1315" s="11" t="s">
        <v>95</v>
      </c>
      <c r="G1315" s="11">
        <v>1339.0</v>
      </c>
      <c r="H1315" s="11">
        <v>49.0</v>
      </c>
      <c r="I1315" s="12" t="str">
        <f t="shared" si="1"/>
        <v>Decaspermum blancoi</v>
      </c>
      <c r="J1315" s="10" t="str">
        <f t="shared" si="2"/>
        <v>1339 Decaspermum blancoi</v>
      </c>
      <c r="K1315" s="10" t="str">
        <f t="shared" si="3"/>
        <v>Mirto</v>
      </c>
      <c r="L1315" s="10" t="str">
        <f t="shared" si="4"/>
        <v>1339 Mirto</v>
      </c>
      <c r="M1315" s="32"/>
      <c r="N1315" s="32"/>
      <c r="O1315" s="32"/>
      <c r="P1315" s="33"/>
      <c r="Q1315" s="15"/>
      <c r="R1315" s="15"/>
      <c r="S1315" s="15"/>
      <c r="T1315" s="15"/>
      <c r="U1315" s="15"/>
      <c r="V1315" s="15"/>
      <c r="W1315" s="15"/>
      <c r="X1315" s="13"/>
    </row>
    <row r="1316" ht="15.75" customHeight="1">
      <c r="A1316" s="31"/>
      <c r="B1316" s="31"/>
      <c r="C1316" s="32"/>
      <c r="D1316" s="25" t="s">
        <v>3467</v>
      </c>
      <c r="E1316" s="25" t="s">
        <v>3468</v>
      </c>
      <c r="F1316" s="11" t="s">
        <v>158</v>
      </c>
      <c r="G1316" s="11">
        <v>1340.0</v>
      </c>
      <c r="H1316" s="11">
        <v>35.0</v>
      </c>
      <c r="I1316" s="12" t="str">
        <f t="shared" si="1"/>
        <v>Persea schiedeana</v>
      </c>
      <c r="J1316" s="10" t="str">
        <f t="shared" si="2"/>
        <v>1340 Persea schiedeana</v>
      </c>
      <c r="K1316" s="10" t="str">
        <f t="shared" si="3"/>
        <v>Pahuate; Aguacatillo</v>
      </c>
      <c r="L1316" s="10" t="str">
        <f t="shared" si="4"/>
        <v>1340 Pahuate; Aguacatillo</v>
      </c>
      <c r="M1316" s="32"/>
      <c r="N1316" s="32"/>
      <c r="O1316" s="32"/>
      <c r="P1316" s="33"/>
      <c r="Q1316" s="15"/>
      <c r="R1316" s="15"/>
      <c r="S1316" s="15"/>
      <c r="T1316" s="15"/>
      <c r="U1316" s="15"/>
      <c r="V1316" s="15"/>
      <c r="W1316" s="15"/>
      <c r="X1316" s="13"/>
    </row>
    <row r="1317" ht="15.75" customHeight="1">
      <c r="A1317" s="31"/>
      <c r="B1317" s="31"/>
      <c r="C1317" s="32"/>
      <c r="D1317" s="25" t="s">
        <v>3469</v>
      </c>
      <c r="E1317" s="25" t="s">
        <v>3470</v>
      </c>
      <c r="F1317" s="11" t="s">
        <v>2327</v>
      </c>
      <c r="G1317" s="11">
        <v>1341.0</v>
      </c>
      <c r="H1317" s="11">
        <v>66.0</v>
      </c>
      <c r="I1317" s="12" t="str">
        <f t="shared" si="1"/>
        <v>Pinus radiata</v>
      </c>
      <c r="J1317" s="10" t="str">
        <f t="shared" si="2"/>
        <v>1341 Pinus radiata</v>
      </c>
      <c r="K1317" s="10" t="str">
        <f t="shared" si="3"/>
        <v>Pino De Monterrey</v>
      </c>
      <c r="L1317" s="10" t="str">
        <f t="shared" si="4"/>
        <v>1341 Pino De Monterrey</v>
      </c>
      <c r="M1317" s="32"/>
      <c r="N1317" s="32"/>
      <c r="O1317" s="32"/>
      <c r="P1317" s="33"/>
      <c r="Q1317" s="15"/>
      <c r="R1317" s="15"/>
      <c r="S1317" s="15"/>
      <c r="T1317" s="15"/>
      <c r="U1317" s="15"/>
      <c r="V1317" s="15"/>
      <c r="W1317" s="15"/>
      <c r="X1317" s="13"/>
    </row>
    <row r="1318" ht="15.75" customHeight="1">
      <c r="A1318" s="31"/>
      <c r="B1318" s="31"/>
      <c r="C1318" s="32"/>
      <c r="D1318" s="25" t="s">
        <v>3471</v>
      </c>
      <c r="E1318" s="25" t="s">
        <v>3472</v>
      </c>
      <c r="F1318" s="11" t="s">
        <v>310</v>
      </c>
      <c r="G1318" s="11">
        <v>1342.0</v>
      </c>
      <c r="H1318" s="11">
        <v>79.0</v>
      </c>
      <c r="I1318" s="12" t="str">
        <f t="shared" si="1"/>
        <v>Posoqueria sapida</v>
      </c>
      <c r="J1318" s="10" t="str">
        <f t="shared" si="2"/>
        <v>1342 Posoqueria sapida</v>
      </c>
      <c r="K1318" s="10" t="str">
        <f t="shared" si="3"/>
        <v>Guáimbé; Jazmín de embarcadero</v>
      </c>
      <c r="L1318" s="10" t="str">
        <f t="shared" si="4"/>
        <v>1342 Guáimbé; Jazmín de embarcadero</v>
      </c>
      <c r="M1318" s="32"/>
      <c r="N1318" s="32"/>
      <c r="O1318" s="32"/>
      <c r="P1318" s="33"/>
      <c r="Q1318" s="15"/>
      <c r="R1318" s="15"/>
      <c r="S1318" s="15"/>
      <c r="T1318" s="15"/>
      <c r="U1318" s="15"/>
      <c r="V1318" s="15"/>
      <c r="W1318" s="15"/>
      <c r="X1318" s="13"/>
    </row>
    <row r="1319" ht="15.75" customHeight="1">
      <c r="A1319" s="31"/>
      <c r="B1319" s="31"/>
      <c r="C1319" s="32"/>
      <c r="D1319" s="25" t="s">
        <v>3473</v>
      </c>
      <c r="E1319" s="25" t="s">
        <v>3474</v>
      </c>
      <c r="F1319" s="11" t="s">
        <v>45</v>
      </c>
      <c r="G1319" s="11">
        <v>1343.0</v>
      </c>
      <c r="H1319" s="11">
        <v>40.0</v>
      </c>
      <c r="I1319" s="12" t="str">
        <f t="shared" si="1"/>
        <v>Pseudobombax munguba</v>
      </c>
      <c r="J1319" s="10" t="str">
        <f t="shared" si="2"/>
        <v>1343 Pseudobombax munguba</v>
      </c>
      <c r="K1319" s="10" t="str">
        <f t="shared" si="3"/>
        <v>Invira; Munguba, Árbol de algodón</v>
      </c>
      <c r="L1319" s="10" t="str">
        <f t="shared" si="4"/>
        <v>1343 Invira; Munguba, Árbol de algodón</v>
      </c>
      <c r="M1319" s="32"/>
      <c r="N1319" s="32"/>
      <c r="O1319" s="32"/>
      <c r="P1319" s="33"/>
      <c r="Q1319" s="15"/>
      <c r="R1319" s="15"/>
      <c r="S1319" s="15"/>
      <c r="T1319" s="15"/>
      <c r="U1319" s="15"/>
      <c r="V1319" s="15"/>
      <c r="W1319" s="15"/>
      <c r="X1319" s="13"/>
    </row>
    <row r="1320" ht="15.75" customHeight="1">
      <c r="A1320" s="31"/>
      <c r="B1320" s="31"/>
      <c r="C1320" s="32"/>
      <c r="D1320" s="25" t="s">
        <v>3475</v>
      </c>
      <c r="E1320" s="25" t="s">
        <v>3476</v>
      </c>
      <c r="F1320" s="11" t="s">
        <v>3051</v>
      </c>
      <c r="G1320" s="11">
        <v>1344.0</v>
      </c>
      <c r="H1320" s="11">
        <v>98.0</v>
      </c>
      <c r="I1320" s="12" t="str">
        <f t="shared" si="1"/>
        <v>Vochysia ferruginea</v>
      </c>
      <c r="J1320" s="10" t="str">
        <f t="shared" si="2"/>
        <v>1344 Vochysia ferruginea</v>
      </c>
      <c r="K1320" s="10" t="str">
        <f t="shared" si="3"/>
        <v>Arracacho; Botarrama; Areno colorado</v>
      </c>
      <c r="L1320" s="10" t="str">
        <f t="shared" si="4"/>
        <v>1344 Arracacho; Botarrama; Areno colorado</v>
      </c>
      <c r="M1320" s="32"/>
      <c r="N1320" s="32"/>
      <c r="O1320" s="32"/>
      <c r="P1320" s="33"/>
      <c r="Q1320" s="15"/>
      <c r="R1320" s="15"/>
      <c r="S1320" s="15"/>
      <c r="T1320" s="15"/>
      <c r="U1320" s="15"/>
      <c r="V1320" s="15"/>
      <c r="W1320" s="15"/>
      <c r="X1320" s="13"/>
    </row>
    <row r="1321" ht="15.75" customHeight="1">
      <c r="A1321" s="31"/>
      <c r="B1321" s="31"/>
      <c r="C1321" s="32"/>
      <c r="D1321" s="26" t="s">
        <v>3477</v>
      </c>
      <c r="E1321" s="25" t="s">
        <v>3478</v>
      </c>
      <c r="F1321" s="11" t="s">
        <v>1549</v>
      </c>
      <c r="G1321" s="11">
        <v>1345.0</v>
      </c>
      <c r="H1321" s="11">
        <v>75.0</v>
      </c>
      <c r="I1321" s="12" t="str">
        <f t="shared" si="1"/>
        <v>Roupala montana</v>
      </c>
      <c r="J1321" s="10" t="str">
        <f t="shared" si="2"/>
        <v>1345 Roupala montana</v>
      </c>
      <c r="K1321" s="10" t="str">
        <f t="shared" si="3"/>
        <v>Palo de zorrillo</v>
      </c>
      <c r="L1321" s="10" t="str">
        <f t="shared" si="4"/>
        <v>1345 Palo de zorrillo</v>
      </c>
      <c r="M1321" s="32"/>
      <c r="N1321" s="32"/>
      <c r="O1321" s="32"/>
      <c r="P1321" s="33"/>
      <c r="Q1321" s="15"/>
      <c r="R1321" s="15"/>
      <c r="S1321" s="15"/>
      <c r="T1321" s="15"/>
      <c r="U1321" s="15"/>
      <c r="V1321" s="15"/>
      <c r="W1321" s="15"/>
      <c r="X1321" s="13"/>
    </row>
    <row r="1322" ht="15.75" customHeight="1">
      <c r="A1322" s="35"/>
      <c r="B1322" s="35"/>
      <c r="C1322" s="32"/>
      <c r="D1322" s="10" t="s">
        <v>3479</v>
      </c>
      <c r="E1322" s="36" t="s">
        <v>3480</v>
      </c>
      <c r="F1322" s="36" t="s">
        <v>206</v>
      </c>
      <c r="G1322" s="11">
        <v>1346.0</v>
      </c>
      <c r="H1322" s="11">
        <v>9.0</v>
      </c>
      <c r="I1322" s="12" t="str">
        <f t="shared" si="1"/>
        <v>Gomphocarpus physocarpus</v>
      </c>
      <c r="J1322" s="10" t="str">
        <f t="shared" si="2"/>
        <v>1346 Gomphocarpus physocarpus</v>
      </c>
      <c r="K1322" s="10" t="str">
        <f t="shared" si="3"/>
        <v>Chayote de Aire</v>
      </c>
      <c r="L1322" s="10" t="str">
        <f t="shared" si="4"/>
        <v>1346 Chayote de Aire</v>
      </c>
      <c r="M1322" s="32"/>
      <c r="N1322" s="32"/>
      <c r="O1322" s="32"/>
      <c r="P1322" s="33"/>
      <c r="Q1322" s="15"/>
      <c r="R1322" s="15"/>
      <c r="S1322" s="15"/>
      <c r="T1322" s="15"/>
      <c r="U1322" s="15"/>
      <c r="V1322" s="15"/>
      <c r="W1322" s="15"/>
      <c r="X1322" s="13"/>
    </row>
    <row r="1323" ht="15.75" customHeight="1">
      <c r="D1323" s="36" t="s">
        <v>3481</v>
      </c>
      <c r="E1323" s="36" t="s">
        <v>3482</v>
      </c>
      <c r="F1323" s="36" t="s">
        <v>125</v>
      </c>
      <c r="G1323" s="11">
        <v>1347.0</v>
      </c>
      <c r="H1323" s="10">
        <f>VLOOKUP(F1323,'Generos y Familia'!$A$1:$C$623,2,FALSE)</f>
        <v>37</v>
      </c>
      <c r="I1323" s="12" t="str">
        <f t="shared" si="1"/>
        <v>Lawsonia inermis</v>
      </c>
      <c r="J1323" s="10" t="str">
        <f t="shared" si="2"/>
        <v>1347 Lawsonia inermis</v>
      </c>
      <c r="K1323" s="10" t="str">
        <f t="shared" si="3"/>
        <v>Jazmín; Mielito; Resedad</v>
      </c>
      <c r="L1323" s="10" t="str">
        <f t="shared" si="4"/>
        <v>1347 Jazmín; Mielito; Resedad</v>
      </c>
      <c r="Q1323" s="15"/>
      <c r="R1323" s="15"/>
      <c r="S1323" s="15"/>
      <c r="T1323" s="15"/>
      <c r="U1323" s="15"/>
      <c r="V1323" s="15"/>
      <c r="W1323" s="15"/>
      <c r="X1323" s="13"/>
    </row>
    <row r="1324" ht="15.75" customHeight="1">
      <c r="D1324" s="36" t="s">
        <v>3483</v>
      </c>
      <c r="E1324" s="36" t="s">
        <v>3484</v>
      </c>
      <c r="F1324" s="37" t="s">
        <v>95</v>
      </c>
      <c r="G1324" s="11">
        <v>1348.0</v>
      </c>
      <c r="H1324" s="10">
        <f>VLOOKUP(F1324,'Generos y Familia'!$A$1:$C$623,2,FALSE)</f>
        <v>49</v>
      </c>
      <c r="I1324" s="12" t="str">
        <f t="shared" si="1"/>
        <v>Melaleuca viminalis</v>
      </c>
      <c r="J1324" s="10" t="str">
        <f t="shared" si="2"/>
        <v>1348 Melaleuca viminalis</v>
      </c>
      <c r="K1324" s="10" t="str">
        <f t="shared" si="3"/>
        <v>Calistemo llorón</v>
      </c>
      <c r="L1324" s="10" t="str">
        <f t="shared" si="4"/>
        <v>1348 Calistemo llorón</v>
      </c>
      <c r="Q1324" s="15"/>
      <c r="R1324" s="15"/>
      <c r="S1324" s="15"/>
      <c r="T1324" s="15"/>
      <c r="U1324" s="15"/>
      <c r="V1324" s="15"/>
      <c r="W1324" s="15"/>
      <c r="X1324" s="13"/>
    </row>
    <row r="1325" ht="15.75" customHeight="1">
      <c r="D1325" s="36" t="s">
        <v>3485</v>
      </c>
      <c r="E1325" s="36" t="s">
        <v>3486</v>
      </c>
      <c r="F1325" s="37" t="s">
        <v>206</v>
      </c>
      <c r="G1325" s="11">
        <v>1349.0</v>
      </c>
      <c r="H1325" s="10">
        <f>VLOOKUP(F1325,'Generos y Familia'!$A$1:$C$623,2,FALSE)</f>
        <v>9</v>
      </c>
      <c r="I1325" s="12" t="str">
        <f t="shared" si="1"/>
        <v>Rauvolfia tetraphylla</v>
      </c>
      <c r="J1325" s="10" t="str">
        <f t="shared" si="2"/>
        <v>1349 Rauvolfia tetraphylla</v>
      </c>
      <c r="K1325" s="10" t="str">
        <f t="shared" si="3"/>
        <v>Cerecillo; Fruta de pava; Pepa de culebra</v>
      </c>
      <c r="L1325" s="10" t="str">
        <f t="shared" si="4"/>
        <v>1349 Cerecillo; Fruta de pava; Pepa de culebra</v>
      </c>
      <c r="Q1325" s="15"/>
      <c r="R1325" s="15"/>
      <c r="S1325" s="15"/>
      <c r="T1325" s="15"/>
      <c r="U1325" s="15"/>
      <c r="V1325" s="15"/>
      <c r="W1325" s="15"/>
      <c r="X1325" s="13"/>
    </row>
    <row r="1326" ht="15.75" customHeight="1">
      <c r="D1326" s="36" t="s">
        <v>3487</v>
      </c>
      <c r="E1326" s="36" t="s">
        <v>3488</v>
      </c>
      <c r="F1326" s="36" t="s">
        <v>3032</v>
      </c>
      <c r="G1326" s="11">
        <v>1350.0</v>
      </c>
      <c r="H1326" s="10">
        <f>VLOOKUP(F1326,'Generos y Familia'!$A$1:$C$623,2,FALSE)</f>
        <v>83</v>
      </c>
      <c r="I1326" s="12" t="str">
        <f t="shared" si="1"/>
        <v>Phoradendron quadrangulare</v>
      </c>
      <c r="J1326" s="10" t="str">
        <f t="shared" si="2"/>
        <v>1350 Phoradendron quadrangulare</v>
      </c>
      <c r="K1326" s="10" t="str">
        <f t="shared" si="3"/>
        <v>Pajarito; Sueldaconsuelda; Matapalos</v>
      </c>
      <c r="L1326" s="10" t="str">
        <f t="shared" si="4"/>
        <v>1350 Pajarito; Sueldaconsuelda; Matapalos</v>
      </c>
      <c r="Q1326" s="15"/>
      <c r="R1326" s="15"/>
      <c r="S1326" s="15"/>
      <c r="T1326" s="15"/>
      <c r="U1326" s="15"/>
      <c r="V1326" s="15"/>
      <c r="W1326" s="15"/>
      <c r="X1326" s="13"/>
    </row>
    <row r="1327" ht="15.75" customHeight="1">
      <c r="D1327" s="36" t="s">
        <v>3489</v>
      </c>
      <c r="E1327" s="36" t="s">
        <v>3490</v>
      </c>
      <c r="F1327" s="37" t="s">
        <v>34</v>
      </c>
      <c r="G1327" s="11">
        <v>1351.0</v>
      </c>
      <c r="H1327" s="10">
        <f>VLOOKUP(F1327,'Generos y Familia'!$A$1:$C$623,2,FALSE)</f>
        <v>27</v>
      </c>
      <c r="I1327" s="12" t="str">
        <f t="shared" si="1"/>
        <v>Gleditsia triacanthos</v>
      </c>
      <c r="J1327" s="10" t="str">
        <f t="shared" si="2"/>
        <v>1351 Gleditsia triacanthos</v>
      </c>
      <c r="K1327" s="10" t="str">
        <f t="shared" si="3"/>
        <v>Acacia de tres espinas; Acacia de espinas</v>
      </c>
      <c r="L1327" s="10" t="str">
        <f t="shared" si="4"/>
        <v>1351 Acacia de tres espinas; Acacia de espinas</v>
      </c>
      <c r="Q1327" s="15"/>
      <c r="R1327" s="15"/>
      <c r="S1327" s="15"/>
      <c r="T1327" s="15"/>
      <c r="U1327" s="15"/>
      <c r="V1327" s="15"/>
      <c r="W1327" s="15"/>
      <c r="X1327" s="13"/>
    </row>
    <row r="1328" ht="15.75" customHeight="1">
      <c r="D1328" s="36" t="s">
        <v>3491</v>
      </c>
      <c r="E1328" s="36" t="s">
        <v>3492</v>
      </c>
      <c r="F1328" s="37" t="s">
        <v>34</v>
      </c>
      <c r="G1328" s="11">
        <v>1352.0</v>
      </c>
      <c r="H1328" s="10">
        <f>VLOOKUP(F1328,'Generos y Familia'!$A$1:$C$623,2,FALSE)</f>
        <v>27</v>
      </c>
      <c r="I1328" s="12" t="str">
        <f t="shared" si="1"/>
        <v>Pterocarpus officinalis</v>
      </c>
      <c r="J1328" s="10" t="str">
        <f t="shared" si="2"/>
        <v>1352 Pterocarpus officinalis</v>
      </c>
      <c r="K1328" s="10" t="str">
        <f t="shared" si="3"/>
        <v>Bambudo; Corcho; Fruta sábalo; Suela</v>
      </c>
      <c r="L1328" s="10" t="str">
        <f t="shared" si="4"/>
        <v>1352 Bambudo; Corcho; Fruta sábalo; Suela</v>
      </c>
      <c r="Q1328" s="15"/>
      <c r="R1328" s="15"/>
      <c r="S1328" s="15"/>
      <c r="T1328" s="15"/>
      <c r="U1328" s="15"/>
      <c r="V1328" s="15"/>
      <c r="W1328" s="15"/>
      <c r="X1328" s="13"/>
    </row>
    <row r="1329" ht="15.75" customHeight="1">
      <c r="D1329" s="36" t="s">
        <v>3493</v>
      </c>
      <c r="E1329" s="36" t="s">
        <v>3494</v>
      </c>
      <c r="F1329" s="38" t="s">
        <v>3495</v>
      </c>
      <c r="G1329" s="11">
        <v>1353.0</v>
      </c>
      <c r="H1329" s="10"/>
      <c r="I1329" s="12" t="str">
        <f t="shared" si="1"/>
        <v>Cordia panamensis</v>
      </c>
      <c r="J1329" s="10" t="str">
        <f t="shared" si="2"/>
        <v>1353 Cordia panamensis</v>
      </c>
      <c r="K1329" s="10" t="str">
        <f t="shared" si="3"/>
        <v>Muñeco blanco; Cunula; Guácimo peludo</v>
      </c>
      <c r="L1329" s="10" t="str">
        <f t="shared" si="4"/>
        <v>1353 Muñeco blanco; Cunula; Guácimo peludo</v>
      </c>
      <c r="Q1329" s="15"/>
      <c r="R1329" s="15"/>
      <c r="S1329" s="15"/>
      <c r="T1329" s="15"/>
      <c r="U1329" s="15"/>
      <c r="V1329" s="15"/>
      <c r="W1329" s="15"/>
      <c r="X1329" s="13"/>
    </row>
    <row r="1330" ht="15.75" customHeight="1">
      <c r="D1330" s="36" t="s">
        <v>3496</v>
      </c>
      <c r="E1330" s="36" t="s">
        <v>3497</v>
      </c>
      <c r="F1330" s="36" t="s">
        <v>574</v>
      </c>
      <c r="G1330" s="11">
        <v>1354.0</v>
      </c>
      <c r="H1330" s="10">
        <f>VLOOKUP(F1330,'Generos y Familia'!$A$1:$C$623,2,FALSE)</f>
        <v>39</v>
      </c>
      <c r="I1330" s="12" t="str">
        <f t="shared" si="1"/>
        <v>Laguncularia racemosa</v>
      </c>
      <c r="J1330" s="10" t="str">
        <f t="shared" si="2"/>
        <v>1354 Laguncularia racemosa</v>
      </c>
      <c r="K1330" s="10" t="str">
        <f t="shared" si="3"/>
        <v>Mangle blanco; Mangle bobo; Mangle salado</v>
      </c>
      <c r="L1330" s="10" t="str">
        <f t="shared" si="4"/>
        <v>1354 Mangle blanco; Mangle bobo; Mangle salado</v>
      </c>
      <c r="Q1330" s="15"/>
      <c r="R1330" s="15"/>
      <c r="S1330" s="15"/>
      <c r="T1330" s="15"/>
      <c r="U1330" s="15"/>
      <c r="V1330" s="15"/>
      <c r="W1330" s="15"/>
      <c r="X1330" s="13"/>
    </row>
    <row r="1331" ht="15.75" customHeight="1">
      <c r="D1331" s="36" t="s">
        <v>3498</v>
      </c>
      <c r="E1331" s="36" t="s">
        <v>3499</v>
      </c>
      <c r="F1331" s="37" t="s">
        <v>320</v>
      </c>
      <c r="G1331" s="11">
        <v>1355.0</v>
      </c>
      <c r="H1331" s="10">
        <f>VLOOKUP(F1331,'Generos y Familia'!$A$1:$C$623,2,FALSE)</f>
        <v>1</v>
      </c>
      <c r="I1331" s="12" t="str">
        <f t="shared" si="1"/>
        <v>Avicennia germinans</v>
      </c>
      <c r="J1331" s="10" t="str">
        <f t="shared" si="2"/>
        <v>1355 Avicennia germinans</v>
      </c>
      <c r="K1331" s="10" t="str">
        <f t="shared" si="3"/>
        <v>Mangle; Mangle blanco; Mangle negro; Iguanero</v>
      </c>
      <c r="L1331" s="10" t="str">
        <f t="shared" si="4"/>
        <v>1355 Mangle; Mangle blanco; Mangle negro; Iguanero</v>
      </c>
      <c r="Q1331" s="15"/>
      <c r="R1331" s="15"/>
      <c r="S1331" s="15"/>
      <c r="T1331" s="15"/>
      <c r="U1331" s="15"/>
      <c r="V1331" s="15"/>
      <c r="W1331" s="15"/>
      <c r="X1331" s="15"/>
    </row>
    <row r="1332" ht="15.75" customHeight="1">
      <c r="D1332" s="36" t="s">
        <v>3500</v>
      </c>
      <c r="E1332" s="36" t="s">
        <v>3501</v>
      </c>
      <c r="F1332" s="37" t="s">
        <v>3502</v>
      </c>
      <c r="G1332" s="11">
        <v>1356.0</v>
      </c>
      <c r="H1332" s="10"/>
      <c r="I1332" s="12" t="str">
        <f t="shared" si="1"/>
        <v> Rhizophora mangle</v>
      </c>
      <c r="J1332" s="10" t="str">
        <f t="shared" si="2"/>
        <v>1356  Rhizophora mangle</v>
      </c>
      <c r="K1332" s="10" t="str">
        <f t="shared" si="3"/>
        <v>Mangle; Mangle piñón; Mangle rojo</v>
      </c>
      <c r="L1332" s="10" t="str">
        <f t="shared" si="4"/>
        <v>1356 Mangle; Mangle piñón; Mangle rojo</v>
      </c>
      <c r="Q1332" s="15"/>
      <c r="R1332" s="15"/>
      <c r="S1332" s="15"/>
      <c r="T1332" s="15"/>
      <c r="U1332" s="15"/>
      <c r="V1332" s="15"/>
      <c r="W1332" s="15"/>
      <c r="X1332" s="15"/>
    </row>
    <row r="1333" ht="15.75" customHeight="1">
      <c r="D1333" s="39" t="s">
        <v>3503</v>
      </c>
      <c r="E1333" s="33"/>
      <c r="F1333" s="40" t="s">
        <v>3504</v>
      </c>
      <c r="G1333" s="29">
        <v>1357.0</v>
      </c>
      <c r="H1333" s="10"/>
      <c r="I1333" s="41" t="str">
        <f t="shared" si="1"/>
        <v>Adansonia digitata</v>
      </c>
      <c r="J1333" s="41" t="str">
        <f t="shared" si="2"/>
        <v>1357 Adansonia digitata</v>
      </c>
      <c r="K1333" s="10" t="str">
        <f t="shared" si="3"/>
        <v/>
      </c>
      <c r="L1333" s="10" t="str">
        <f t="shared" si="4"/>
        <v>1357 </v>
      </c>
      <c r="Q1333" s="15"/>
      <c r="R1333" s="15"/>
      <c r="S1333" s="15"/>
      <c r="T1333" s="15"/>
      <c r="U1333" s="15"/>
      <c r="V1333" s="15"/>
      <c r="W1333" s="15"/>
      <c r="X1333" s="15"/>
    </row>
    <row r="1334" ht="15.75" customHeight="1">
      <c r="D1334" s="11" t="s">
        <v>3505</v>
      </c>
      <c r="E1334" s="11" t="s">
        <v>3506</v>
      </c>
      <c r="F1334" s="11" t="s">
        <v>769</v>
      </c>
      <c r="G1334" s="11">
        <v>1358.0</v>
      </c>
      <c r="H1334" s="10">
        <f>VLOOKUP(F1334,'Generos y Familia'!$A$1:$C$623,2,FALSE)</f>
        <v>80</v>
      </c>
      <c r="I1334" s="42" t="s">
        <v>3505</v>
      </c>
      <c r="J1334" s="10" t="str">
        <f t="shared" si="2"/>
        <v>1358 Zanthoxylum fagara</v>
      </c>
      <c r="K1334" s="10" t="str">
        <f t="shared" si="3"/>
        <v>Tachuelo; Uña de gato</v>
      </c>
      <c r="L1334" s="10" t="str">
        <f t="shared" si="4"/>
        <v>1358 Tachuelo; Uña de gato</v>
      </c>
      <c r="Q1334" s="15"/>
      <c r="R1334" s="15"/>
      <c r="S1334" s="15"/>
      <c r="T1334" s="15"/>
      <c r="U1334" s="15"/>
      <c r="V1334" s="15"/>
      <c r="W1334" s="15"/>
      <c r="X1334" s="15"/>
    </row>
    <row r="1335" ht="15.75" customHeight="1">
      <c r="I1335" s="43"/>
      <c r="Q1335" s="15"/>
      <c r="R1335" s="15"/>
      <c r="S1335" s="15"/>
      <c r="T1335" s="15"/>
      <c r="U1335" s="15"/>
      <c r="V1335" s="15"/>
      <c r="W1335" s="15"/>
      <c r="X1335" s="15"/>
    </row>
    <row r="1336" ht="15.75" customHeight="1">
      <c r="I1336" s="43"/>
      <c r="Q1336" s="15"/>
      <c r="R1336" s="15"/>
      <c r="S1336" s="15"/>
      <c r="T1336" s="15"/>
      <c r="U1336" s="15"/>
      <c r="V1336" s="15"/>
      <c r="W1336" s="15"/>
      <c r="X1336" s="15"/>
    </row>
    <row r="1337" ht="15.75" customHeight="1">
      <c r="I1337" s="43"/>
      <c r="Q1337" s="15"/>
      <c r="R1337" s="15"/>
      <c r="S1337" s="15"/>
      <c r="T1337" s="15"/>
      <c r="U1337" s="15"/>
      <c r="V1337" s="15"/>
      <c r="W1337" s="15"/>
      <c r="X1337" s="15"/>
    </row>
    <row r="1338" ht="15.75" customHeight="1">
      <c r="I1338" s="43"/>
      <c r="Q1338" s="15"/>
      <c r="R1338" s="15"/>
      <c r="S1338" s="15"/>
      <c r="T1338" s="15"/>
      <c r="U1338" s="15"/>
      <c r="V1338" s="15"/>
      <c r="W1338" s="15"/>
      <c r="X1338" s="15"/>
    </row>
    <row r="1339" ht="15.75" customHeight="1">
      <c r="I1339" s="43"/>
      <c r="Q1339" s="15"/>
      <c r="R1339" s="15"/>
      <c r="S1339" s="15"/>
      <c r="T1339" s="15"/>
      <c r="U1339" s="15"/>
      <c r="V1339" s="15"/>
      <c r="W1339" s="15"/>
      <c r="X1339" s="15"/>
    </row>
    <row r="1340" ht="15.75" customHeight="1">
      <c r="I1340" s="43"/>
      <c r="Q1340" s="15"/>
      <c r="R1340" s="15"/>
      <c r="S1340" s="15"/>
      <c r="T1340" s="15"/>
      <c r="U1340" s="15"/>
      <c r="V1340" s="15"/>
      <c r="W1340" s="15"/>
      <c r="X1340" s="15"/>
    </row>
    <row r="1341" ht="15.75" customHeight="1">
      <c r="I1341" s="43"/>
      <c r="Q1341" s="15"/>
      <c r="R1341" s="15"/>
      <c r="S1341" s="15"/>
      <c r="T1341" s="15"/>
      <c r="U1341" s="15"/>
      <c r="V1341" s="15"/>
      <c r="W1341" s="15"/>
      <c r="X1341" s="15"/>
    </row>
    <row r="1342" ht="15.75" customHeight="1">
      <c r="I1342" s="43"/>
      <c r="Q1342" s="15"/>
      <c r="R1342" s="15"/>
      <c r="S1342" s="15"/>
      <c r="T1342" s="15"/>
      <c r="U1342" s="15"/>
      <c r="V1342" s="15"/>
      <c r="W1342" s="15"/>
      <c r="X1342" s="15"/>
    </row>
    <row r="1343" ht="15.75" customHeight="1">
      <c r="I1343" s="43"/>
      <c r="Q1343" s="15"/>
      <c r="R1343" s="15"/>
      <c r="S1343" s="15"/>
      <c r="T1343" s="15"/>
      <c r="U1343" s="15"/>
      <c r="V1343" s="15"/>
      <c r="W1343" s="15"/>
      <c r="X1343" s="15"/>
    </row>
    <row r="1344" ht="15.75" customHeight="1">
      <c r="I1344" s="43"/>
      <c r="Q1344" s="15"/>
      <c r="R1344" s="15"/>
      <c r="S1344" s="15"/>
      <c r="T1344" s="15"/>
      <c r="U1344" s="15"/>
      <c r="V1344" s="15"/>
      <c r="W1344" s="15"/>
      <c r="X1344" s="15"/>
    </row>
    <row r="1345" ht="15.75" customHeight="1">
      <c r="I1345" s="43"/>
      <c r="Q1345" s="15"/>
      <c r="R1345" s="15"/>
      <c r="S1345" s="15"/>
      <c r="T1345" s="15"/>
      <c r="U1345" s="15"/>
      <c r="V1345" s="15"/>
      <c r="W1345" s="15"/>
      <c r="X1345" s="15"/>
    </row>
    <row r="1346" ht="15.75" customHeight="1">
      <c r="I1346" s="43"/>
      <c r="Q1346" s="15"/>
      <c r="R1346" s="15"/>
      <c r="S1346" s="15"/>
      <c r="T1346" s="15"/>
      <c r="U1346" s="15"/>
      <c r="V1346" s="15"/>
      <c r="W1346" s="15"/>
      <c r="X1346" s="15"/>
    </row>
    <row r="1347" ht="15.75" customHeight="1">
      <c r="I1347" s="43"/>
      <c r="Q1347" s="15"/>
      <c r="R1347" s="15"/>
      <c r="S1347" s="15"/>
      <c r="T1347" s="15"/>
      <c r="U1347" s="15"/>
      <c r="V1347" s="15"/>
      <c r="W1347" s="15"/>
      <c r="X1347" s="15"/>
    </row>
    <row r="1348" ht="15.75" customHeight="1">
      <c r="I1348" s="43"/>
      <c r="Q1348" s="15"/>
      <c r="R1348" s="15"/>
      <c r="S1348" s="15"/>
      <c r="T1348" s="15"/>
      <c r="U1348" s="15"/>
      <c r="V1348" s="15"/>
      <c r="W1348" s="15"/>
      <c r="X1348" s="15"/>
    </row>
    <row r="1349" ht="15.75" customHeight="1">
      <c r="I1349" s="43"/>
      <c r="Q1349" s="15"/>
      <c r="R1349" s="15"/>
      <c r="S1349" s="15"/>
      <c r="T1349" s="15"/>
      <c r="U1349" s="15"/>
      <c r="V1349" s="15"/>
      <c r="W1349" s="15"/>
      <c r="X1349" s="15"/>
    </row>
    <row r="1350" ht="15.75" customHeight="1">
      <c r="I1350" s="43"/>
      <c r="Q1350" s="15"/>
      <c r="R1350" s="15"/>
      <c r="S1350" s="15"/>
      <c r="T1350" s="15"/>
      <c r="U1350" s="15"/>
      <c r="V1350" s="15"/>
      <c r="W1350" s="15"/>
      <c r="X1350" s="15"/>
    </row>
    <row r="1351" ht="15.75" customHeight="1">
      <c r="I1351" s="43"/>
      <c r="Q1351" s="15"/>
      <c r="R1351" s="15"/>
      <c r="S1351" s="15"/>
      <c r="T1351" s="15"/>
      <c r="U1351" s="15"/>
      <c r="V1351" s="15"/>
      <c r="W1351" s="15"/>
      <c r="X1351" s="15"/>
    </row>
    <row r="1352" ht="15.75" customHeight="1">
      <c r="I1352" s="43"/>
      <c r="Q1352" s="15"/>
      <c r="R1352" s="15"/>
      <c r="S1352" s="15"/>
      <c r="T1352" s="15"/>
      <c r="U1352" s="15"/>
      <c r="V1352" s="15"/>
      <c r="W1352" s="15"/>
      <c r="X1352" s="15"/>
    </row>
    <row r="1353" ht="15.75" customHeight="1">
      <c r="I1353" s="43"/>
      <c r="Q1353" s="15"/>
      <c r="R1353" s="15"/>
      <c r="S1353" s="15"/>
      <c r="T1353" s="15"/>
      <c r="U1353" s="15"/>
      <c r="V1353" s="15"/>
      <c r="W1353" s="15"/>
      <c r="X1353" s="15"/>
    </row>
    <row r="1354" ht="15.75" customHeight="1">
      <c r="I1354" s="43"/>
      <c r="Q1354" s="15"/>
      <c r="R1354" s="15"/>
      <c r="S1354" s="15"/>
      <c r="T1354" s="15"/>
      <c r="U1354" s="15"/>
      <c r="V1354" s="15"/>
      <c r="W1354" s="15"/>
      <c r="X1354" s="15"/>
    </row>
    <row r="1355" ht="15.75" customHeight="1">
      <c r="I1355" s="43"/>
      <c r="Q1355" s="15"/>
      <c r="R1355" s="15"/>
      <c r="S1355" s="15"/>
      <c r="T1355" s="15"/>
      <c r="U1355" s="15"/>
      <c r="V1355" s="15"/>
      <c r="W1355" s="15"/>
      <c r="X1355" s="15"/>
    </row>
    <row r="1356" ht="15.75" customHeight="1">
      <c r="I1356" s="43"/>
      <c r="Q1356" s="15"/>
      <c r="R1356" s="15"/>
      <c r="S1356" s="15"/>
      <c r="T1356" s="15"/>
      <c r="U1356" s="15"/>
      <c r="V1356" s="15"/>
      <c r="W1356" s="15"/>
      <c r="X1356" s="15"/>
    </row>
    <row r="1357" ht="15.75" customHeight="1">
      <c r="I1357" s="43"/>
      <c r="Q1357" s="15"/>
      <c r="R1357" s="15"/>
      <c r="S1357" s="15"/>
      <c r="T1357" s="15"/>
      <c r="U1357" s="15"/>
      <c r="V1357" s="15"/>
      <c r="W1357" s="15"/>
      <c r="X1357" s="15"/>
    </row>
    <row r="1358" ht="15.75" customHeight="1">
      <c r="I1358" s="43"/>
      <c r="Q1358" s="15"/>
      <c r="R1358" s="15"/>
      <c r="S1358" s="15"/>
      <c r="T1358" s="15"/>
      <c r="U1358" s="15"/>
      <c r="V1358" s="15"/>
      <c r="W1358" s="15"/>
      <c r="X1358" s="15"/>
    </row>
    <row r="1359" ht="15.75" customHeight="1">
      <c r="I1359" s="43"/>
      <c r="Q1359" s="15"/>
      <c r="R1359" s="15"/>
      <c r="S1359" s="15"/>
      <c r="T1359" s="15"/>
      <c r="U1359" s="15"/>
      <c r="V1359" s="15"/>
      <c r="W1359" s="15"/>
      <c r="X1359" s="15"/>
    </row>
    <row r="1360" ht="15.75" customHeight="1">
      <c r="I1360" s="43"/>
      <c r="Q1360" s="15"/>
      <c r="R1360" s="15"/>
      <c r="S1360" s="15"/>
      <c r="T1360" s="15"/>
      <c r="U1360" s="15"/>
      <c r="V1360" s="15"/>
      <c r="W1360" s="15"/>
      <c r="X1360" s="15"/>
    </row>
    <row r="1361" ht="15.75" customHeight="1">
      <c r="I1361" s="43"/>
      <c r="Q1361" s="15"/>
      <c r="R1361" s="15"/>
      <c r="S1361" s="15"/>
      <c r="T1361" s="15"/>
      <c r="U1361" s="15"/>
      <c r="V1361" s="15"/>
      <c r="W1361" s="15"/>
      <c r="X1361" s="15"/>
    </row>
    <row r="1362" ht="15.75" customHeight="1">
      <c r="I1362" s="43"/>
      <c r="Q1362" s="15"/>
      <c r="R1362" s="15"/>
      <c r="S1362" s="15"/>
      <c r="T1362" s="15"/>
      <c r="U1362" s="15"/>
      <c r="V1362" s="15"/>
      <c r="W1362" s="15"/>
      <c r="X1362" s="15"/>
    </row>
    <row r="1363" ht="15.75" customHeight="1">
      <c r="I1363" s="43"/>
      <c r="Q1363" s="15"/>
      <c r="R1363" s="15"/>
      <c r="S1363" s="15"/>
      <c r="T1363" s="15"/>
      <c r="U1363" s="15"/>
      <c r="V1363" s="15"/>
      <c r="W1363" s="15"/>
      <c r="X1363" s="15"/>
    </row>
    <row r="1364" ht="15.75" customHeight="1">
      <c r="I1364" s="43"/>
      <c r="Q1364" s="15"/>
      <c r="R1364" s="15"/>
      <c r="S1364" s="15"/>
      <c r="T1364" s="15"/>
      <c r="U1364" s="15"/>
      <c r="V1364" s="15"/>
      <c r="W1364" s="15"/>
      <c r="X1364" s="15"/>
    </row>
    <row r="1365" ht="15.75" customHeight="1">
      <c r="I1365" s="43"/>
      <c r="Q1365" s="15"/>
      <c r="R1365" s="15"/>
      <c r="S1365" s="15"/>
      <c r="T1365" s="15"/>
      <c r="U1365" s="15"/>
      <c r="V1365" s="15"/>
      <c r="W1365" s="15"/>
      <c r="X1365" s="15"/>
    </row>
    <row r="1366" ht="15.75" customHeight="1">
      <c r="I1366" s="43"/>
      <c r="Q1366" s="15"/>
      <c r="R1366" s="15"/>
      <c r="S1366" s="15"/>
      <c r="T1366" s="15"/>
      <c r="U1366" s="15"/>
      <c r="V1366" s="15"/>
      <c r="W1366" s="15"/>
      <c r="X1366" s="15"/>
    </row>
    <row r="1367" ht="15.75" customHeight="1">
      <c r="I1367" s="43"/>
      <c r="Q1367" s="15"/>
      <c r="R1367" s="15"/>
      <c r="S1367" s="15"/>
      <c r="T1367" s="15"/>
      <c r="U1367" s="15"/>
      <c r="V1367" s="15"/>
      <c r="W1367" s="15"/>
      <c r="X1367" s="15"/>
    </row>
    <row r="1368" ht="15.75" customHeight="1">
      <c r="I1368" s="43"/>
      <c r="Q1368" s="15"/>
      <c r="R1368" s="15"/>
      <c r="S1368" s="15"/>
      <c r="T1368" s="15"/>
      <c r="U1368" s="15"/>
      <c r="V1368" s="15"/>
      <c r="W1368" s="15"/>
      <c r="X1368" s="15"/>
    </row>
    <row r="1369" ht="15.75" customHeight="1">
      <c r="I1369" s="43"/>
      <c r="Q1369" s="15"/>
      <c r="R1369" s="15"/>
      <c r="S1369" s="15"/>
      <c r="T1369" s="15"/>
      <c r="U1369" s="15"/>
      <c r="V1369" s="15"/>
      <c r="W1369" s="15"/>
      <c r="X1369" s="15"/>
    </row>
    <row r="1370" ht="15.75" customHeight="1">
      <c r="I1370" s="43"/>
      <c r="Q1370" s="15"/>
      <c r="R1370" s="15"/>
      <c r="S1370" s="15"/>
      <c r="T1370" s="15"/>
      <c r="U1370" s="15"/>
      <c r="V1370" s="15"/>
      <c r="W1370" s="15"/>
      <c r="X1370" s="15"/>
    </row>
    <row r="1371" ht="15.75" customHeight="1">
      <c r="I1371" s="43"/>
      <c r="Q1371" s="15"/>
      <c r="R1371" s="15"/>
      <c r="S1371" s="15"/>
      <c r="T1371" s="15"/>
      <c r="U1371" s="15"/>
      <c r="V1371" s="15"/>
      <c r="W1371" s="15"/>
      <c r="X1371" s="15"/>
    </row>
    <row r="1372" ht="15.75" customHeight="1">
      <c r="I1372" s="43"/>
      <c r="Q1372" s="15"/>
      <c r="R1372" s="15"/>
      <c r="S1372" s="15"/>
      <c r="T1372" s="15"/>
      <c r="U1372" s="15"/>
      <c r="V1372" s="15"/>
      <c r="W1372" s="15"/>
      <c r="X1372" s="15"/>
    </row>
    <row r="1373" ht="15.75" customHeight="1">
      <c r="I1373" s="43"/>
      <c r="Q1373" s="15"/>
      <c r="R1373" s="15"/>
      <c r="S1373" s="15"/>
      <c r="T1373" s="15"/>
      <c r="U1373" s="15"/>
      <c r="V1373" s="15"/>
      <c r="W1373" s="15"/>
      <c r="X1373" s="15"/>
    </row>
    <row r="1374" ht="15.75" customHeight="1">
      <c r="I1374" s="43"/>
      <c r="Q1374" s="15"/>
      <c r="R1374" s="15"/>
      <c r="S1374" s="15"/>
      <c r="T1374" s="15"/>
      <c r="U1374" s="15"/>
      <c r="V1374" s="15"/>
      <c r="W1374" s="15"/>
      <c r="X1374" s="15"/>
    </row>
    <row r="1375" ht="15.75" customHeight="1">
      <c r="I1375" s="43"/>
      <c r="Q1375" s="15"/>
      <c r="R1375" s="15"/>
      <c r="S1375" s="15"/>
      <c r="T1375" s="15"/>
      <c r="U1375" s="15"/>
      <c r="V1375" s="15"/>
      <c r="W1375" s="15"/>
      <c r="X1375" s="15"/>
    </row>
    <row r="1376" ht="15.75" customHeight="1">
      <c r="I1376" s="43"/>
      <c r="Q1376" s="15"/>
      <c r="R1376" s="15"/>
      <c r="S1376" s="15"/>
      <c r="T1376" s="15"/>
      <c r="U1376" s="15"/>
      <c r="V1376" s="15"/>
      <c r="W1376" s="15"/>
      <c r="X1376" s="15"/>
    </row>
    <row r="1377" ht="15.75" customHeight="1">
      <c r="I1377" s="43"/>
      <c r="Q1377" s="15"/>
      <c r="R1377" s="15"/>
      <c r="S1377" s="15"/>
      <c r="T1377" s="15"/>
      <c r="U1377" s="15"/>
      <c r="V1377" s="15"/>
      <c r="W1377" s="15"/>
      <c r="X1377" s="15"/>
    </row>
    <row r="1378" ht="15.75" customHeight="1">
      <c r="I1378" s="43"/>
      <c r="Q1378" s="15"/>
      <c r="R1378" s="15"/>
      <c r="S1378" s="15"/>
      <c r="T1378" s="15"/>
      <c r="U1378" s="15"/>
      <c r="V1378" s="15"/>
      <c r="W1378" s="15"/>
      <c r="X1378" s="15"/>
    </row>
    <row r="1379" ht="15.75" customHeight="1">
      <c r="I1379" s="43"/>
      <c r="Q1379" s="15"/>
      <c r="R1379" s="15"/>
      <c r="S1379" s="15"/>
      <c r="T1379" s="15"/>
      <c r="U1379" s="15"/>
      <c r="V1379" s="15"/>
      <c r="W1379" s="15"/>
      <c r="X1379" s="15"/>
    </row>
    <row r="1380" ht="15.75" customHeight="1">
      <c r="I1380" s="43"/>
      <c r="Q1380" s="15"/>
      <c r="R1380" s="15"/>
      <c r="S1380" s="15"/>
      <c r="T1380" s="15"/>
      <c r="U1380" s="15"/>
      <c r="V1380" s="15"/>
      <c r="W1380" s="15"/>
      <c r="X1380" s="15"/>
    </row>
    <row r="1381" ht="15.75" customHeight="1">
      <c r="I1381" s="43"/>
      <c r="Q1381" s="15"/>
      <c r="R1381" s="15"/>
      <c r="S1381" s="15"/>
      <c r="T1381" s="15"/>
      <c r="U1381" s="15"/>
      <c r="V1381" s="15"/>
      <c r="W1381" s="15"/>
      <c r="X1381" s="15"/>
    </row>
    <row r="1382" ht="15.75" customHeight="1">
      <c r="I1382" s="43"/>
      <c r="Q1382" s="15"/>
      <c r="R1382" s="15"/>
      <c r="S1382" s="15"/>
      <c r="T1382" s="15"/>
      <c r="U1382" s="15"/>
      <c r="V1382" s="15"/>
      <c r="W1382" s="15"/>
      <c r="X1382" s="15"/>
    </row>
    <row r="1383" ht="15.75" customHeight="1">
      <c r="I1383" s="43"/>
      <c r="Q1383" s="15"/>
      <c r="R1383" s="15"/>
      <c r="S1383" s="15"/>
      <c r="T1383" s="15"/>
      <c r="U1383" s="15"/>
      <c r="V1383" s="15"/>
      <c r="W1383" s="15"/>
      <c r="X1383" s="15"/>
    </row>
    <row r="1384" ht="15.75" customHeight="1">
      <c r="I1384" s="43"/>
      <c r="Q1384" s="15"/>
      <c r="R1384" s="15"/>
      <c r="S1384" s="15"/>
      <c r="T1384" s="15"/>
      <c r="U1384" s="15"/>
      <c r="V1384" s="15"/>
      <c r="W1384" s="15"/>
      <c r="X1384" s="15"/>
    </row>
    <row r="1385" ht="15.75" customHeight="1">
      <c r="I1385" s="43"/>
      <c r="Q1385" s="15"/>
      <c r="R1385" s="15"/>
      <c r="S1385" s="15"/>
      <c r="T1385" s="15"/>
      <c r="U1385" s="15"/>
      <c r="V1385" s="15"/>
      <c r="W1385" s="15"/>
      <c r="X1385" s="15"/>
    </row>
    <row r="1386" ht="15.75" customHeight="1">
      <c r="I1386" s="43"/>
      <c r="Q1386" s="15"/>
      <c r="R1386" s="15"/>
      <c r="S1386" s="15"/>
      <c r="T1386" s="15"/>
      <c r="U1386" s="15"/>
      <c r="V1386" s="15"/>
      <c r="W1386" s="15"/>
      <c r="X1386" s="15"/>
    </row>
    <row r="1387" ht="15.75" customHeight="1">
      <c r="I1387" s="43"/>
      <c r="Q1387" s="15"/>
      <c r="R1387" s="15"/>
      <c r="S1387" s="15"/>
      <c r="T1387" s="15"/>
      <c r="U1387" s="15"/>
      <c r="V1387" s="15"/>
      <c r="W1387" s="15"/>
      <c r="X1387" s="15"/>
    </row>
    <row r="1388" ht="15.75" customHeight="1">
      <c r="I1388" s="43"/>
      <c r="Q1388" s="15"/>
      <c r="R1388" s="15"/>
      <c r="S1388" s="15"/>
      <c r="T1388" s="15"/>
      <c r="U1388" s="15"/>
      <c r="V1388" s="15"/>
      <c r="W1388" s="15"/>
      <c r="X1388" s="15"/>
    </row>
    <row r="1389" ht="15.75" customHeight="1">
      <c r="I1389" s="43"/>
      <c r="Q1389" s="15"/>
      <c r="R1389" s="15"/>
      <c r="S1389" s="15"/>
      <c r="T1389" s="15"/>
      <c r="U1389" s="15"/>
      <c r="V1389" s="15"/>
      <c r="W1389" s="15"/>
      <c r="X1389" s="15"/>
    </row>
    <row r="1390" ht="15.75" customHeight="1">
      <c r="I1390" s="43"/>
      <c r="Q1390" s="15"/>
      <c r="R1390" s="15"/>
      <c r="S1390" s="15"/>
      <c r="T1390" s="15"/>
      <c r="U1390" s="15"/>
      <c r="V1390" s="15"/>
      <c r="W1390" s="15"/>
      <c r="X1390" s="15"/>
    </row>
    <row r="1391" ht="15.75" customHeight="1">
      <c r="I1391" s="43"/>
      <c r="Q1391" s="15"/>
      <c r="R1391" s="15"/>
      <c r="S1391" s="15"/>
      <c r="T1391" s="15"/>
      <c r="U1391" s="15"/>
      <c r="V1391" s="15"/>
      <c r="W1391" s="15"/>
      <c r="X1391" s="15"/>
    </row>
    <row r="1392" ht="15.75" customHeight="1">
      <c r="I1392" s="43"/>
      <c r="Q1392" s="15"/>
      <c r="R1392" s="15"/>
      <c r="S1392" s="15"/>
      <c r="T1392" s="15"/>
      <c r="U1392" s="15"/>
      <c r="V1392" s="15"/>
      <c r="W1392" s="15"/>
      <c r="X1392" s="15"/>
    </row>
    <row r="1393" ht="15.75" customHeight="1">
      <c r="I1393" s="43"/>
      <c r="Q1393" s="15"/>
      <c r="R1393" s="15"/>
      <c r="S1393" s="15"/>
      <c r="T1393" s="15"/>
      <c r="U1393" s="15"/>
      <c r="V1393" s="15"/>
      <c r="W1393" s="15"/>
      <c r="X1393" s="15"/>
    </row>
    <row r="1394" ht="15.75" customHeight="1">
      <c r="I1394" s="43"/>
      <c r="Q1394" s="15"/>
      <c r="R1394" s="15"/>
      <c r="S1394" s="15"/>
      <c r="T1394" s="15"/>
      <c r="U1394" s="15"/>
      <c r="V1394" s="15"/>
      <c r="W1394" s="15"/>
      <c r="X1394" s="15"/>
    </row>
    <row r="1395" ht="15.75" customHeight="1">
      <c r="I1395" s="43"/>
      <c r="Q1395" s="15"/>
      <c r="R1395" s="15"/>
      <c r="S1395" s="15"/>
      <c r="T1395" s="15"/>
      <c r="U1395" s="15"/>
      <c r="V1395" s="15"/>
      <c r="W1395" s="15"/>
      <c r="X1395" s="15"/>
    </row>
    <row r="1396" ht="15.75" customHeight="1">
      <c r="I1396" s="43"/>
      <c r="Q1396" s="15"/>
      <c r="R1396" s="15"/>
      <c r="S1396" s="15"/>
      <c r="T1396" s="15"/>
      <c r="U1396" s="15"/>
      <c r="V1396" s="15"/>
      <c r="W1396" s="15"/>
      <c r="X1396" s="15"/>
    </row>
    <row r="1397" ht="15.75" customHeight="1">
      <c r="I1397" s="43"/>
      <c r="Q1397" s="15"/>
      <c r="R1397" s="15"/>
      <c r="S1397" s="15"/>
      <c r="T1397" s="15"/>
      <c r="U1397" s="15"/>
      <c r="V1397" s="15"/>
      <c r="W1397" s="15"/>
      <c r="X1397" s="15"/>
    </row>
    <row r="1398" ht="15.75" customHeight="1">
      <c r="I1398" s="43"/>
      <c r="Q1398" s="15"/>
      <c r="R1398" s="15"/>
      <c r="S1398" s="15"/>
      <c r="T1398" s="15"/>
      <c r="U1398" s="15"/>
      <c r="V1398" s="15"/>
      <c r="W1398" s="15"/>
      <c r="X1398" s="15"/>
    </row>
    <row r="1399" ht="15.75" customHeight="1">
      <c r="I1399" s="43"/>
      <c r="Q1399" s="15"/>
      <c r="R1399" s="15"/>
      <c r="S1399" s="15"/>
      <c r="T1399" s="15"/>
      <c r="U1399" s="15"/>
      <c r="V1399" s="15"/>
      <c r="W1399" s="15"/>
      <c r="X1399" s="15"/>
    </row>
    <row r="1400" ht="15.75" customHeight="1">
      <c r="I1400" s="43"/>
      <c r="Q1400" s="15"/>
      <c r="R1400" s="15"/>
      <c r="S1400" s="15"/>
      <c r="T1400" s="15"/>
      <c r="U1400" s="15"/>
      <c r="V1400" s="15"/>
      <c r="W1400" s="15"/>
      <c r="X1400" s="15"/>
    </row>
    <row r="1401" ht="15.75" customHeight="1">
      <c r="I1401" s="43"/>
      <c r="Q1401" s="15"/>
      <c r="R1401" s="15"/>
      <c r="S1401" s="15"/>
      <c r="T1401" s="15"/>
      <c r="U1401" s="15"/>
      <c r="V1401" s="15"/>
      <c r="W1401" s="15"/>
      <c r="X1401" s="15"/>
    </row>
    <row r="1402" ht="15.75" customHeight="1">
      <c r="I1402" s="43"/>
      <c r="Q1402" s="15"/>
      <c r="R1402" s="15"/>
      <c r="S1402" s="15"/>
      <c r="T1402" s="15"/>
      <c r="U1402" s="15"/>
      <c r="V1402" s="15"/>
      <c r="W1402" s="15"/>
      <c r="X1402" s="15"/>
    </row>
    <row r="1403" ht="15.75" customHeight="1">
      <c r="I1403" s="43"/>
      <c r="Q1403" s="15"/>
      <c r="R1403" s="15"/>
      <c r="S1403" s="15"/>
      <c r="T1403" s="15"/>
      <c r="U1403" s="15"/>
      <c r="V1403" s="15"/>
      <c r="W1403" s="15"/>
      <c r="X1403" s="15"/>
    </row>
    <row r="1404" ht="15.75" customHeight="1">
      <c r="I1404" s="43"/>
      <c r="Q1404" s="15"/>
      <c r="R1404" s="15"/>
      <c r="S1404" s="15"/>
      <c r="T1404" s="15"/>
      <c r="U1404" s="15"/>
      <c r="V1404" s="15"/>
      <c r="W1404" s="15"/>
      <c r="X1404" s="15"/>
    </row>
    <row r="1405" ht="15.75" customHeight="1">
      <c r="I1405" s="43"/>
      <c r="Q1405" s="15"/>
      <c r="R1405" s="15"/>
      <c r="S1405" s="15"/>
      <c r="T1405" s="15"/>
      <c r="U1405" s="15"/>
      <c r="V1405" s="15"/>
      <c r="W1405" s="15"/>
      <c r="X1405" s="15"/>
    </row>
    <row r="1406" ht="15.75" customHeight="1">
      <c r="I1406" s="43"/>
      <c r="Q1406" s="15"/>
      <c r="R1406" s="15"/>
      <c r="S1406" s="15"/>
      <c r="T1406" s="15"/>
      <c r="U1406" s="15"/>
      <c r="V1406" s="15"/>
      <c r="W1406" s="15"/>
      <c r="X1406" s="15"/>
    </row>
    <row r="1407" ht="15.75" customHeight="1">
      <c r="I1407" s="43"/>
      <c r="Q1407" s="15"/>
      <c r="R1407" s="15"/>
      <c r="S1407" s="15"/>
      <c r="T1407" s="15"/>
      <c r="U1407" s="15"/>
      <c r="V1407" s="15"/>
      <c r="W1407" s="15"/>
      <c r="X1407" s="15"/>
    </row>
    <row r="1408" ht="15.75" customHeight="1">
      <c r="I1408" s="43"/>
      <c r="Q1408" s="15"/>
      <c r="R1408" s="15"/>
      <c r="S1408" s="15"/>
      <c r="T1408" s="15"/>
      <c r="U1408" s="15"/>
      <c r="V1408" s="15"/>
      <c r="W1408" s="15"/>
      <c r="X1408" s="15"/>
    </row>
    <row r="1409" ht="15.75" customHeight="1">
      <c r="I1409" s="43"/>
      <c r="Q1409" s="15"/>
      <c r="R1409" s="15"/>
      <c r="S1409" s="15"/>
      <c r="T1409" s="15"/>
      <c r="U1409" s="15"/>
      <c r="V1409" s="15"/>
      <c r="W1409" s="15"/>
      <c r="X1409" s="15"/>
    </row>
    <row r="1410" ht="15.75" customHeight="1">
      <c r="I1410" s="43"/>
      <c r="Q1410" s="15"/>
      <c r="R1410" s="15"/>
      <c r="S1410" s="15"/>
      <c r="T1410" s="15"/>
      <c r="U1410" s="15"/>
      <c r="V1410" s="15"/>
      <c r="W1410" s="15"/>
      <c r="X1410" s="15"/>
    </row>
    <row r="1411" ht="15.75" customHeight="1">
      <c r="I1411" s="43"/>
      <c r="Q1411" s="15"/>
      <c r="R1411" s="15"/>
      <c r="S1411" s="15"/>
      <c r="T1411" s="15"/>
      <c r="U1411" s="15"/>
      <c r="V1411" s="15"/>
      <c r="W1411" s="15"/>
      <c r="X1411" s="15"/>
    </row>
    <row r="1412" ht="15.75" customHeight="1">
      <c r="I1412" s="43"/>
      <c r="Q1412" s="15"/>
      <c r="R1412" s="15"/>
      <c r="S1412" s="15"/>
      <c r="T1412" s="15"/>
      <c r="U1412" s="15"/>
      <c r="V1412" s="15"/>
      <c r="W1412" s="15"/>
      <c r="X1412" s="15"/>
    </row>
    <row r="1413" ht="15.75" customHeight="1">
      <c r="I1413" s="43"/>
      <c r="Q1413" s="15"/>
      <c r="R1413" s="15"/>
      <c r="S1413" s="15"/>
      <c r="T1413" s="15"/>
      <c r="U1413" s="15"/>
      <c r="V1413" s="15"/>
      <c r="W1413" s="15"/>
      <c r="X1413" s="15"/>
    </row>
    <row r="1414" ht="15.75" customHeight="1">
      <c r="I1414" s="43"/>
      <c r="Q1414" s="15"/>
      <c r="R1414" s="15"/>
      <c r="S1414" s="15"/>
      <c r="T1414" s="15"/>
      <c r="U1414" s="15"/>
      <c r="V1414" s="15"/>
      <c r="W1414" s="15"/>
      <c r="X1414" s="15"/>
    </row>
    <row r="1415" ht="15.75" customHeight="1">
      <c r="I1415" s="43"/>
      <c r="Q1415" s="15"/>
      <c r="R1415" s="15"/>
      <c r="S1415" s="15"/>
      <c r="T1415" s="15"/>
      <c r="U1415" s="15"/>
      <c r="V1415" s="15"/>
      <c r="W1415" s="15"/>
      <c r="X1415" s="15"/>
    </row>
    <row r="1416" ht="15.75" customHeight="1">
      <c r="I1416" s="43"/>
      <c r="Q1416" s="15"/>
      <c r="R1416" s="15"/>
      <c r="S1416" s="15"/>
      <c r="T1416" s="15"/>
      <c r="U1416" s="15"/>
      <c r="V1416" s="15"/>
      <c r="W1416" s="15"/>
      <c r="X1416" s="15"/>
    </row>
    <row r="1417" ht="15.75" customHeight="1">
      <c r="I1417" s="43"/>
      <c r="Q1417" s="15"/>
      <c r="R1417" s="15"/>
      <c r="S1417" s="15"/>
      <c r="T1417" s="15"/>
      <c r="U1417" s="15"/>
      <c r="V1417" s="15"/>
      <c r="W1417" s="15"/>
      <c r="X1417" s="15"/>
    </row>
    <row r="1418" ht="15.75" customHeight="1">
      <c r="I1418" s="43"/>
      <c r="Q1418" s="15"/>
      <c r="R1418" s="15"/>
      <c r="S1418" s="15"/>
      <c r="T1418" s="15"/>
      <c r="U1418" s="15"/>
      <c r="V1418" s="15"/>
      <c r="W1418" s="15"/>
      <c r="X1418" s="15"/>
    </row>
    <row r="1419" ht="15.75" customHeight="1">
      <c r="I1419" s="43"/>
      <c r="Q1419" s="15"/>
      <c r="R1419" s="15"/>
      <c r="S1419" s="15"/>
      <c r="T1419" s="15"/>
      <c r="U1419" s="15"/>
      <c r="V1419" s="15"/>
      <c r="W1419" s="15"/>
      <c r="X1419" s="15"/>
    </row>
    <row r="1420" ht="15.75" customHeight="1">
      <c r="I1420" s="43"/>
      <c r="Q1420" s="15"/>
      <c r="R1420" s="15"/>
      <c r="S1420" s="15"/>
      <c r="T1420" s="15"/>
      <c r="U1420" s="15"/>
      <c r="V1420" s="15"/>
      <c r="W1420" s="15"/>
      <c r="X1420" s="15"/>
    </row>
    <row r="1421" ht="15.75" customHeight="1">
      <c r="I1421" s="43"/>
      <c r="Q1421" s="15"/>
      <c r="R1421" s="15"/>
      <c r="S1421" s="15"/>
      <c r="T1421" s="15"/>
      <c r="U1421" s="15"/>
      <c r="V1421" s="15"/>
      <c r="W1421" s="15"/>
      <c r="X1421" s="15"/>
    </row>
    <row r="1422" ht="15.75" customHeight="1">
      <c r="I1422" s="43"/>
      <c r="Q1422" s="15"/>
      <c r="R1422" s="15"/>
      <c r="S1422" s="15"/>
      <c r="T1422" s="15"/>
      <c r="U1422" s="15"/>
      <c r="V1422" s="15"/>
      <c r="W1422" s="15"/>
      <c r="X1422" s="15"/>
    </row>
    <row r="1423" ht="15.75" customHeight="1">
      <c r="I1423" s="43"/>
      <c r="Q1423" s="15"/>
      <c r="R1423" s="15"/>
      <c r="S1423" s="15"/>
      <c r="T1423" s="15"/>
      <c r="U1423" s="15"/>
      <c r="V1423" s="15"/>
      <c r="W1423" s="15"/>
      <c r="X1423" s="15"/>
    </row>
    <row r="1424" ht="15.75" customHeight="1">
      <c r="I1424" s="43"/>
      <c r="Q1424" s="15"/>
      <c r="R1424" s="15"/>
      <c r="S1424" s="15"/>
      <c r="T1424" s="15"/>
      <c r="U1424" s="15"/>
      <c r="V1424" s="15"/>
      <c r="W1424" s="15"/>
      <c r="X1424" s="15"/>
    </row>
    <row r="1425" ht="15.75" customHeight="1">
      <c r="I1425" s="43"/>
      <c r="Q1425" s="15"/>
      <c r="R1425" s="15"/>
      <c r="S1425" s="15"/>
      <c r="T1425" s="15"/>
      <c r="U1425" s="15"/>
      <c r="V1425" s="15"/>
      <c r="W1425" s="15"/>
      <c r="X1425" s="15"/>
    </row>
    <row r="1426" ht="15.75" customHeight="1">
      <c r="I1426" s="43"/>
      <c r="Q1426" s="15"/>
      <c r="R1426" s="15"/>
      <c r="S1426" s="15"/>
      <c r="T1426" s="15"/>
      <c r="U1426" s="15"/>
      <c r="V1426" s="15"/>
      <c r="W1426" s="15"/>
      <c r="X1426" s="15"/>
    </row>
    <row r="1427" ht="15.75" customHeight="1">
      <c r="I1427" s="43"/>
      <c r="Q1427" s="15"/>
      <c r="R1427" s="15"/>
      <c r="S1427" s="15"/>
      <c r="T1427" s="15"/>
      <c r="U1427" s="15"/>
      <c r="V1427" s="15"/>
      <c r="W1427" s="15"/>
      <c r="X1427" s="15"/>
    </row>
    <row r="1428" ht="15.75" customHeight="1">
      <c r="I1428" s="43"/>
      <c r="Q1428" s="15"/>
      <c r="R1428" s="15"/>
      <c r="S1428" s="15"/>
      <c r="T1428" s="15"/>
      <c r="U1428" s="15"/>
      <c r="V1428" s="15"/>
      <c r="W1428" s="15"/>
      <c r="X1428" s="15"/>
    </row>
    <row r="1429" ht="15.75" customHeight="1">
      <c r="I1429" s="43"/>
      <c r="Q1429" s="15"/>
      <c r="R1429" s="15"/>
      <c r="S1429" s="15"/>
      <c r="T1429" s="15"/>
      <c r="U1429" s="15"/>
      <c r="V1429" s="15"/>
      <c r="W1429" s="15"/>
      <c r="X1429" s="15"/>
    </row>
    <row r="1430" ht="15.75" customHeight="1">
      <c r="I1430" s="43"/>
      <c r="Q1430" s="15"/>
      <c r="R1430" s="15"/>
      <c r="S1430" s="15"/>
      <c r="T1430" s="15"/>
      <c r="U1430" s="15"/>
      <c r="V1430" s="15"/>
      <c r="W1430" s="15"/>
      <c r="X1430" s="15"/>
    </row>
    <row r="1431" ht="15.75" customHeight="1">
      <c r="I1431" s="43"/>
      <c r="Q1431" s="15"/>
      <c r="R1431" s="15"/>
      <c r="S1431" s="15"/>
      <c r="T1431" s="15"/>
      <c r="U1431" s="15"/>
      <c r="V1431" s="15"/>
      <c r="W1431" s="15"/>
      <c r="X1431" s="15"/>
    </row>
    <row r="1432" ht="15.75" customHeight="1">
      <c r="I1432" s="43"/>
      <c r="Q1432" s="15"/>
      <c r="R1432" s="15"/>
      <c r="S1432" s="15"/>
      <c r="T1432" s="15"/>
      <c r="U1432" s="15"/>
      <c r="V1432" s="15"/>
      <c r="W1432" s="15"/>
      <c r="X1432" s="15"/>
    </row>
    <row r="1433" ht="15.75" customHeight="1">
      <c r="I1433" s="43"/>
      <c r="Q1433" s="15"/>
      <c r="R1433" s="15"/>
      <c r="S1433" s="15"/>
      <c r="T1433" s="15"/>
      <c r="U1433" s="15"/>
      <c r="V1433" s="15"/>
      <c r="W1433" s="15"/>
      <c r="X1433" s="15"/>
    </row>
    <row r="1434" ht="15.75" customHeight="1">
      <c r="I1434" s="43"/>
      <c r="Q1434" s="15"/>
      <c r="R1434" s="15"/>
      <c r="S1434" s="15"/>
      <c r="T1434" s="15"/>
      <c r="U1434" s="15"/>
      <c r="V1434" s="15"/>
      <c r="W1434" s="15"/>
      <c r="X1434" s="15"/>
    </row>
    <row r="1435" ht="15.75" customHeight="1">
      <c r="I1435" s="43"/>
      <c r="Q1435" s="15"/>
      <c r="R1435" s="15"/>
      <c r="S1435" s="15"/>
      <c r="T1435" s="15"/>
      <c r="U1435" s="15"/>
      <c r="V1435" s="15"/>
      <c r="W1435" s="15"/>
      <c r="X1435" s="15"/>
    </row>
    <row r="1436" ht="15.75" customHeight="1">
      <c r="I1436" s="43"/>
      <c r="Q1436" s="15"/>
      <c r="R1436" s="15"/>
      <c r="S1436" s="15"/>
      <c r="T1436" s="15"/>
      <c r="U1436" s="15"/>
      <c r="V1436" s="15"/>
      <c r="W1436" s="15"/>
      <c r="X1436" s="15"/>
    </row>
    <row r="1437" ht="15.75" customHeight="1">
      <c r="I1437" s="43"/>
      <c r="Q1437" s="15"/>
      <c r="R1437" s="15"/>
      <c r="S1437" s="15"/>
      <c r="T1437" s="15"/>
      <c r="U1437" s="15"/>
      <c r="V1437" s="15"/>
      <c r="W1437" s="15"/>
      <c r="X1437" s="15"/>
    </row>
    <row r="1438" ht="15.75" customHeight="1">
      <c r="I1438" s="43"/>
      <c r="Q1438" s="15"/>
      <c r="R1438" s="15"/>
      <c r="S1438" s="15"/>
      <c r="T1438" s="15"/>
      <c r="U1438" s="15"/>
      <c r="V1438" s="15"/>
      <c r="W1438" s="15"/>
      <c r="X1438" s="15"/>
    </row>
    <row r="1439" ht="15.75" customHeight="1">
      <c r="I1439" s="43"/>
      <c r="Q1439" s="15"/>
      <c r="R1439" s="15"/>
      <c r="S1439" s="15"/>
      <c r="T1439" s="15"/>
      <c r="U1439" s="15"/>
      <c r="V1439" s="15"/>
      <c r="W1439" s="15"/>
      <c r="X1439" s="15"/>
    </row>
    <row r="1440" ht="15.75" customHeight="1">
      <c r="I1440" s="43"/>
      <c r="Q1440" s="15"/>
      <c r="R1440" s="15"/>
      <c r="S1440" s="15"/>
      <c r="T1440" s="15"/>
      <c r="U1440" s="15"/>
      <c r="V1440" s="15"/>
      <c r="W1440" s="15"/>
      <c r="X1440" s="15"/>
    </row>
    <row r="1441" ht="15.75" customHeight="1">
      <c r="I1441" s="43"/>
      <c r="Q1441" s="15"/>
      <c r="R1441" s="15"/>
      <c r="S1441" s="15"/>
      <c r="T1441" s="15"/>
      <c r="U1441" s="15"/>
      <c r="V1441" s="15"/>
      <c r="W1441" s="15"/>
      <c r="X1441" s="15"/>
    </row>
    <row r="1442" ht="15.75" customHeight="1">
      <c r="I1442" s="43"/>
      <c r="Q1442" s="15"/>
      <c r="R1442" s="15"/>
      <c r="S1442" s="15"/>
      <c r="T1442" s="15"/>
      <c r="U1442" s="15"/>
      <c r="V1442" s="15"/>
      <c r="W1442" s="15"/>
      <c r="X1442" s="15"/>
    </row>
    <row r="1443" ht="15.75" customHeight="1">
      <c r="I1443" s="43"/>
      <c r="Q1443" s="15"/>
      <c r="R1443" s="15"/>
      <c r="S1443" s="15"/>
      <c r="T1443" s="15"/>
      <c r="U1443" s="15"/>
      <c r="V1443" s="15"/>
      <c r="W1443" s="15"/>
      <c r="X1443" s="15"/>
    </row>
    <row r="1444" ht="15.75" customHeight="1">
      <c r="I1444" s="43"/>
      <c r="Q1444" s="15"/>
      <c r="R1444" s="15"/>
      <c r="S1444" s="15"/>
      <c r="T1444" s="15"/>
      <c r="U1444" s="15"/>
      <c r="V1444" s="15"/>
      <c r="W1444" s="15"/>
      <c r="X1444" s="15"/>
    </row>
    <row r="1445" ht="15.75" customHeight="1">
      <c r="I1445" s="43"/>
      <c r="Q1445" s="15"/>
      <c r="R1445" s="15"/>
      <c r="S1445" s="15"/>
      <c r="T1445" s="15"/>
      <c r="U1445" s="15"/>
      <c r="V1445" s="15"/>
      <c r="W1445" s="15"/>
      <c r="X1445" s="15"/>
    </row>
    <row r="1446" ht="15.75" customHeight="1">
      <c r="I1446" s="43"/>
      <c r="Q1446" s="15"/>
      <c r="R1446" s="15"/>
      <c r="S1446" s="15"/>
      <c r="T1446" s="15"/>
      <c r="U1446" s="15"/>
      <c r="V1446" s="15"/>
      <c r="W1446" s="15"/>
      <c r="X1446" s="15"/>
    </row>
    <row r="1447" ht="15.75" customHeight="1">
      <c r="I1447" s="43"/>
      <c r="Q1447" s="15"/>
      <c r="R1447" s="15"/>
      <c r="S1447" s="15"/>
      <c r="T1447" s="15"/>
      <c r="U1447" s="15"/>
      <c r="V1447" s="15"/>
      <c r="W1447" s="15"/>
      <c r="X1447" s="15"/>
    </row>
    <row r="1448" ht="15.75" customHeight="1">
      <c r="I1448" s="43"/>
      <c r="Q1448" s="15"/>
      <c r="R1448" s="15"/>
      <c r="S1448" s="15"/>
      <c r="T1448" s="15"/>
      <c r="U1448" s="15"/>
      <c r="V1448" s="15"/>
      <c r="W1448" s="15"/>
      <c r="X1448" s="15"/>
    </row>
    <row r="1449" ht="15.75" customHeight="1">
      <c r="I1449" s="43"/>
      <c r="Q1449" s="15"/>
      <c r="R1449" s="15"/>
      <c r="S1449" s="15"/>
      <c r="T1449" s="15"/>
      <c r="U1449" s="15"/>
      <c r="V1449" s="15"/>
      <c r="W1449" s="15"/>
      <c r="X1449" s="15"/>
    </row>
    <row r="1450" ht="15.75" customHeight="1">
      <c r="I1450" s="43"/>
      <c r="Q1450" s="15"/>
      <c r="R1450" s="15"/>
      <c r="S1450" s="15"/>
      <c r="T1450" s="15"/>
      <c r="U1450" s="15"/>
      <c r="V1450" s="15"/>
      <c r="W1450" s="15"/>
      <c r="X1450" s="15"/>
    </row>
    <row r="1451" ht="15.75" customHeight="1">
      <c r="I1451" s="43"/>
      <c r="Q1451" s="15"/>
      <c r="R1451" s="15"/>
      <c r="S1451" s="15"/>
      <c r="T1451" s="15"/>
      <c r="U1451" s="15"/>
      <c r="V1451" s="15"/>
      <c r="W1451" s="15"/>
      <c r="X1451" s="15"/>
    </row>
    <row r="1452" ht="15.75" customHeight="1">
      <c r="I1452" s="43"/>
      <c r="Q1452" s="15"/>
      <c r="R1452" s="15"/>
      <c r="S1452" s="15"/>
      <c r="T1452" s="15"/>
      <c r="U1452" s="15"/>
      <c r="V1452" s="15"/>
      <c r="W1452" s="15"/>
      <c r="X1452" s="15"/>
    </row>
    <row r="1453" ht="15.75" customHeight="1">
      <c r="I1453" s="43"/>
      <c r="Q1453" s="15"/>
      <c r="R1453" s="15"/>
      <c r="S1453" s="15"/>
      <c r="T1453" s="15"/>
      <c r="U1453" s="15"/>
      <c r="V1453" s="15"/>
      <c r="W1453" s="15"/>
      <c r="X1453" s="15"/>
    </row>
    <row r="1454" ht="15.75" customHeight="1">
      <c r="I1454" s="43"/>
      <c r="Q1454" s="15"/>
      <c r="R1454" s="15"/>
      <c r="S1454" s="15"/>
      <c r="T1454" s="15"/>
      <c r="U1454" s="15"/>
      <c r="V1454" s="15"/>
      <c r="W1454" s="15"/>
      <c r="X1454" s="15"/>
    </row>
    <row r="1455" ht="15.75" customHeight="1">
      <c r="I1455" s="43"/>
      <c r="Q1455" s="15"/>
      <c r="R1455" s="15"/>
      <c r="S1455" s="15"/>
      <c r="T1455" s="15"/>
      <c r="U1455" s="15"/>
      <c r="V1455" s="15"/>
      <c r="W1455" s="15"/>
      <c r="X1455" s="15"/>
    </row>
    <row r="1456" ht="15.75" customHeight="1">
      <c r="I1456" s="43"/>
      <c r="Q1456" s="15"/>
      <c r="R1456" s="15"/>
      <c r="S1456" s="15"/>
      <c r="T1456" s="15"/>
      <c r="U1456" s="15"/>
      <c r="V1456" s="15"/>
      <c r="W1456" s="15"/>
      <c r="X1456" s="15"/>
    </row>
    <row r="1457" ht="15.75" customHeight="1">
      <c r="I1457" s="43"/>
      <c r="Q1457" s="15"/>
      <c r="R1457" s="15"/>
      <c r="S1457" s="15"/>
      <c r="T1457" s="15"/>
      <c r="U1457" s="15"/>
      <c r="V1457" s="15"/>
      <c r="W1457" s="15"/>
      <c r="X1457" s="15"/>
    </row>
    <row r="1458" ht="15.75" customHeight="1">
      <c r="I1458" s="43"/>
      <c r="Q1458" s="15"/>
      <c r="R1458" s="15"/>
      <c r="S1458" s="15"/>
      <c r="T1458" s="15"/>
      <c r="U1458" s="15"/>
      <c r="V1458" s="15"/>
      <c r="W1458" s="15"/>
      <c r="X1458" s="15"/>
    </row>
    <row r="1459" ht="15.75" customHeight="1">
      <c r="I1459" s="43"/>
      <c r="Q1459" s="15"/>
      <c r="R1459" s="15"/>
      <c r="S1459" s="15"/>
      <c r="T1459" s="15"/>
      <c r="U1459" s="15"/>
      <c r="V1459" s="15"/>
      <c r="W1459" s="15"/>
      <c r="X1459" s="15"/>
    </row>
    <row r="1460" ht="15.75" customHeight="1">
      <c r="I1460" s="43"/>
      <c r="Q1460" s="15"/>
      <c r="R1460" s="15"/>
      <c r="S1460" s="15"/>
      <c r="T1460" s="15"/>
      <c r="U1460" s="15"/>
      <c r="V1460" s="15"/>
      <c r="W1460" s="15"/>
      <c r="X1460" s="15"/>
    </row>
    <row r="1461" ht="15.75" customHeight="1">
      <c r="I1461" s="43"/>
      <c r="Q1461" s="15"/>
      <c r="R1461" s="15"/>
      <c r="S1461" s="15"/>
      <c r="T1461" s="15"/>
      <c r="U1461" s="15"/>
      <c r="V1461" s="15"/>
      <c r="W1461" s="15"/>
      <c r="X1461" s="15"/>
    </row>
    <row r="1462" ht="15.75" customHeight="1">
      <c r="I1462" s="43"/>
      <c r="Q1462" s="15"/>
      <c r="R1462" s="15"/>
      <c r="S1462" s="15"/>
      <c r="T1462" s="15"/>
      <c r="U1462" s="15"/>
      <c r="V1462" s="15"/>
      <c r="W1462" s="15"/>
      <c r="X1462" s="15"/>
    </row>
    <row r="1463" ht="15.75" customHeight="1">
      <c r="I1463" s="43"/>
      <c r="Q1463" s="15"/>
      <c r="R1463" s="15"/>
      <c r="S1463" s="15"/>
      <c r="T1463" s="15"/>
      <c r="U1463" s="15"/>
      <c r="V1463" s="15"/>
      <c r="W1463" s="15"/>
      <c r="X1463" s="15"/>
    </row>
    <row r="1464" ht="15.75" customHeight="1">
      <c r="I1464" s="43"/>
      <c r="Q1464" s="15"/>
      <c r="R1464" s="15"/>
      <c r="S1464" s="15"/>
      <c r="T1464" s="15"/>
      <c r="U1464" s="15"/>
      <c r="V1464" s="15"/>
      <c r="W1464" s="15"/>
      <c r="X1464" s="15"/>
    </row>
    <row r="1465" ht="15.75" customHeight="1">
      <c r="I1465" s="43"/>
      <c r="Q1465" s="15"/>
      <c r="R1465" s="15"/>
      <c r="S1465" s="15"/>
      <c r="T1465" s="15"/>
      <c r="U1465" s="15"/>
      <c r="V1465" s="15"/>
      <c r="W1465" s="15"/>
      <c r="X1465" s="15"/>
    </row>
    <row r="1466" ht="15.75" customHeight="1">
      <c r="I1466" s="43"/>
      <c r="Q1466" s="15"/>
      <c r="R1466" s="15"/>
      <c r="S1466" s="15"/>
      <c r="T1466" s="15"/>
      <c r="U1466" s="15"/>
      <c r="V1466" s="15"/>
      <c r="W1466" s="15"/>
      <c r="X1466" s="15"/>
    </row>
    <row r="1467" ht="15.75" customHeight="1">
      <c r="I1467" s="43"/>
      <c r="Q1467" s="15"/>
      <c r="R1467" s="15"/>
      <c r="S1467" s="15"/>
      <c r="T1467" s="15"/>
      <c r="U1467" s="15"/>
      <c r="V1467" s="15"/>
      <c r="W1467" s="15"/>
      <c r="X1467" s="15"/>
    </row>
    <row r="1468" ht="15.75" customHeight="1">
      <c r="I1468" s="43"/>
      <c r="Q1468" s="15"/>
      <c r="R1468" s="15"/>
      <c r="S1468" s="15"/>
      <c r="T1468" s="15"/>
      <c r="U1468" s="15"/>
      <c r="V1468" s="15"/>
      <c r="W1468" s="15"/>
      <c r="X1468" s="15"/>
    </row>
    <row r="1469" ht="15.75" customHeight="1">
      <c r="I1469" s="43"/>
      <c r="Q1469" s="15"/>
      <c r="R1469" s="15"/>
      <c r="S1469" s="15"/>
      <c r="T1469" s="15"/>
      <c r="U1469" s="15"/>
      <c r="V1469" s="15"/>
      <c r="W1469" s="15"/>
      <c r="X1469" s="15"/>
    </row>
    <row r="1470" ht="15.75" customHeight="1">
      <c r="I1470" s="43"/>
      <c r="Q1470" s="15"/>
      <c r="R1470" s="15"/>
      <c r="S1470" s="15"/>
      <c r="T1470" s="15"/>
      <c r="U1470" s="15"/>
      <c r="V1470" s="15"/>
      <c r="W1470" s="15"/>
      <c r="X1470" s="15"/>
    </row>
    <row r="1471" ht="15.75" customHeight="1">
      <c r="I1471" s="43"/>
      <c r="Q1471" s="15"/>
      <c r="R1471" s="15"/>
      <c r="S1471" s="15"/>
      <c r="T1471" s="15"/>
      <c r="U1471" s="15"/>
      <c r="V1471" s="15"/>
      <c r="W1471" s="15"/>
      <c r="X1471" s="15"/>
    </row>
    <row r="1472" ht="15.75" customHeight="1">
      <c r="I1472" s="43"/>
      <c r="Q1472" s="15"/>
      <c r="R1472" s="15"/>
      <c r="S1472" s="15"/>
      <c r="T1472" s="15"/>
      <c r="U1472" s="15"/>
      <c r="V1472" s="15"/>
      <c r="W1472" s="15"/>
      <c r="X1472" s="15"/>
    </row>
    <row r="1473" ht="15.75" customHeight="1">
      <c r="I1473" s="43"/>
      <c r="Q1473" s="15"/>
      <c r="R1473" s="15"/>
      <c r="S1473" s="15"/>
      <c r="T1473" s="15"/>
      <c r="U1473" s="15"/>
      <c r="V1473" s="15"/>
      <c r="W1473" s="15"/>
      <c r="X1473" s="15"/>
    </row>
    <row r="1474" ht="15.75" customHeight="1">
      <c r="I1474" s="43"/>
      <c r="Q1474" s="15"/>
      <c r="R1474" s="15"/>
      <c r="S1474" s="15"/>
      <c r="T1474" s="15"/>
      <c r="U1474" s="15"/>
      <c r="V1474" s="15"/>
      <c r="W1474" s="15"/>
      <c r="X1474" s="15"/>
    </row>
    <row r="1475" ht="15.75" customHeight="1">
      <c r="I1475" s="43"/>
      <c r="Q1475" s="15"/>
      <c r="R1475" s="15"/>
      <c r="S1475" s="15"/>
      <c r="T1475" s="15"/>
      <c r="U1475" s="15"/>
      <c r="V1475" s="15"/>
      <c r="W1475" s="15"/>
      <c r="X1475" s="15"/>
    </row>
    <row r="1476" ht="15.75" customHeight="1">
      <c r="I1476" s="43"/>
      <c r="Q1476" s="15"/>
      <c r="R1476" s="15"/>
      <c r="S1476" s="15"/>
      <c r="T1476" s="15"/>
      <c r="U1476" s="15"/>
      <c r="V1476" s="15"/>
      <c r="W1476" s="15"/>
      <c r="X1476" s="15"/>
    </row>
    <row r="1477" ht="15.75" customHeight="1">
      <c r="I1477" s="43"/>
      <c r="Q1477" s="15"/>
      <c r="R1477" s="15"/>
      <c r="S1477" s="15"/>
      <c r="T1477" s="15"/>
      <c r="U1477" s="15"/>
      <c r="V1477" s="15"/>
      <c r="W1477" s="15"/>
      <c r="X1477" s="15"/>
    </row>
    <row r="1478" ht="15.75" customHeight="1">
      <c r="I1478" s="43"/>
      <c r="Q1478" s="15"/>
      <c r="R1478" s="15"/>
      <c r="S1478" s="15"/>
      <c r="T1478" s="15"/>
      <c r="U1478" s="15"/>
      <c r="V1478" s="15"/>
      <c r="W1478" s="15"/>
      <c r="X1478" s="15"/>
    </row>
    <row r="1479" ht="15.75" customHeight="1">
      <c r="I1479" s="43"/>
      <c r="Q1479" s="15"/>
      <c r="R1479" s="15"/>
      <c r="S1479" s="15"/>
      <c r="T1479" s="15"/>
      <c r="U1479" s="15"/>
      <c r="V1479" s="15"/>
      <c r="W1479" s="15"/>
      <c r="X1479" s="15"/>
    </row>
    <row r="1480" ht="15.75" customHeight="1">
      <c r="I1480" s="43"/>
      <c r="Q1480" s="15"/>
      <c r="R1480" s="15"/>
      <c r="S1480" s="15"/>
      <c r="T1480" s="15"/>
      <c r="U1480" s="15"/>
      <c r="V1480" s="15"/>
      <c r="W1480" s="15"/>
      <c r="X1480" s="15"/>
    </row>
    <row r="1481" ht="15.75" customHeight="1">
      <c r="I1481" s="43"/>
      <c r="Q1481" s="15"/>
      <c r="R1481" s="15"/>
      <c r="S1481" s="15"/>
      <c r="T1481" s="15"/>
      <c r="U1481" s="15"/>
      <c r="V1481" s="15"/>
      <c r="W1481" s="15"/>
      <c r="X1481" s="15"/>
    </row>
    <row r="1482" ht="15.75" customHeight="1">
      <c r="I1482" s="43"/>
      <c r="Q1482" s="15"/>
      <c r="R1482" s="15"/>
      <c r="S1482" s="15"/>
      <c r="T1482" s="15"/>
      <c r="U1482" s="15"/>
      <c r="V1482" s="15"/>
      <c r="W1482" s="15"/>
      <c r="X1482" s="15"/>
    </row>
    <row r="1483" ht="15.75" customHeight="1">
      <c r="I1483" s="43"/>
      <c r="Q1483" s="15"/>
      <c r="R1483" s="15"/>
      <c r="S1483" s="15"/>
      <c r="T1483" s="15"/>
      <c r="U1483" s="15"/>
      <c r="V1483" s="15"/>
      <c r="W1483" s="15"/>
      <c r="X1483" s="15"/>
    </row>
    <row r="1484" ht="15.75" customHeight="1">
      <c r="I1484" s="43"/>
      <c r="Q1484" s="15"/>
      <c r="R1484" s="15"/>
      <c r="S1484" s="15"/>
      <c r="T1484" s="15"/>
      <c r="U1484" s="15"/>
      <c r="V1484" s="15"/>
      <c r="W1484" s="15"/>
      <c r="X1484" s="15"/>
    </row>
    <row r="1485" ht="15.75" customHeight="1">
      <c r="I1485" s="43"/>
      <c r="Q1485" s="15"/>
      <c r="R1485" s="15"/>
      <c r="S1485" s="15"/>
      <c r="T1485" s="15"/>
      <c r="U1485" s="15"/>
      <c r="V1485" s="15"/>
      <c r="W1485" s="15"/>
      <c r="X1485" s="15"/>
    </row>
    <row r="1486" ht="15.75" customHeight="1">
      <c r="I1486" s="43"/>
      <c r="Q1486" s="15"/>
      <c r="R1486" s="15"/>
      <c r="S1486" s="15"/>
      <c r="T1486" s="15"/>
      <c r="U1486" s="15"/>
      <c r="V1486" s="15"/>
      <c r="W1486" s="15"/>
      <c r="X1486" s="15"/>
    </row>
    <row r="1487" ht="15.75" customHeight="1">
      <c r="I1487" s="43"/>
      <c r="Q1487" s="15"/>
      <c r="R1487" s="15"/>
      <c r="S1487" s="15"/>
      <c r="T1487" s="15"/>
      <c r="U1487" s="15"/>
      <c r="V1487" s="15"/>
      <c r="W1487" s="15"/>
      <c r="X1487" s="15"/>
    </row>
    <row r="1488" ht="15.75" customHeight="1">
      <c r="I1488" s="43"/>
      <c r="Q1488" s="15"/>
      <c r="R1488" s="15"/>
      <c r="S1488" s="15"/>
      <c r="T1488" s="15"/>
      <c r="U1488" s="15"/>
      <c r="V1488" s="15"/>
      <c r="W1488" s="15"/>
      <c r="X1488" s="15"/>
    </row>
    <row r="1489" ht="15.75" customHeight="1">
      <c r="I1489" s="43"/>
      <c r="Q1489" s="15"/>
      <c r="R1489" s="15"/>
      <c r="S1489" s="15"/>
      <c r="T1489" s="15"/>
      <c r="U1489" s="15"/>
      <c r="V1489" s="15"/>
      <c r="W1489" s="15"/>
      <c r="X1489" s="15"/>
    </row>
    <row r="1490" ht="15.75" customHeight="1">
      <c r="I1490" s="43"/>
      <c r="Q1490" s="15"/>
      <c r="R1490" s="15"/>
      <c r="S1490" s="15"/>
      <c r="T1490" s="15"/>
      <c r="U1490" s="15"/>
      <c r="V1490" s="15"/>
      <c r="W1490" s="15"/>
      <c r="X1490" s="15"/>
    </row>
    <row r="1491" ht="15.75" customHeight="1">
      <c r="I1491" s="43"/>
      <c r="Q1491" s="15"/>
      <c r="R1491" s="15"/>
      <c r="S1491" s="15"/>
      <c r="T1491" s="15"/>
      <c r="U1491" s="15"/>
      <c r="V1491" s="15"/>
      <c r="W1491" s="15"/>
      <c r="X1491" s="15"/>
    </row>
    <row r="1492" ht="15.75" customHeight="1">
      <c r="I1492" s="43"/>
      <c r="Q1492" s="15"/>
      <c r="R1492" s="15"/>
      <c r="S1492" s="15"/>
      <c r="T1492" s="15"/>
      <c r="U1492" s="15"/>
      <c r="V1492" s="15"/>
      <c r="W1492" s="15"/>
      <c r="X1492" s="15"/>
    </row>
    <row r="1493" ht="15.75" customHeight="1">
      <c r="I1493" s="43"/>
      <c r="Q1493" s="15"/>
      <c r="R1493" s="15"/>
      <c r="S1493" s="15"/>
      <c r="T1493" s="15"/>
      <c r="U1493" s="15"/>
      <c r="V1493" s="15"/>
      <c r="W1493" s="15"/>
      <c r="X1493" s="15"/>
    </row>
    <row r="1494" ht="15.75" customHeight="1">
      <c r="I1494" s="43"/>
      <c r="Q1494" s="15"/>
      <c r="R1494" s="15"/>
      <c r="S1494" s="15"/>
      <c r="T1494" s="15"/>
      <c r="U1494" s="15"/>
      <c r="V1494" s="15"/>
      <c r="W1494" s="15"/>
      <c r="X1494" s="15"/>
    </row>
    <row r="1495" ht="15.75" customHeight="1">
      <c r="I1495" s="43"/>
      <c r="Q1495" s="15"/>
      <c r="R1495" s="15"/>
      <c r="S1495" s="15"/>
      <c r="T1495" s="15"/>
      <c r="U1495" s="15"/>
      <c r="V1495" s="15"/>
      <c r="W1495" s="15"/>
      <c r="X1495" s="15"/>
    </row>
    <row r="1496" ht="15.75" customHeight="1">
      <c r="I1496" s="43"/>
      <c r="Q1496" s="15"/>
      <c r="R1496" s="15"/>
      <c r="S1496" s="15"/>
      <c r="T1496" s="15"/>
      <c r="U1496" s="15"/>
      <c r="V1496" s="15"/>
      <c r="W1496" s="15"/>
      <c r="X1496" s="15"/>
    </row>
    <row r="1497" ht="15.75" customHeight="1">
      <c r="I1497" s="43"/>
      <c r="Q1497" s="15"/>
      <c r="R1497" s="15"/>
      <c r="S1497" s="15"/>
      <c r="T1497" s="15"/>
      <c r="U1497" s="15"/>
      <c r="V1497" s="15"/>
      <c r="W1497" s="15"/>
      <c r="X1497" s="15"/>
    </row>
    <row r="1498" ht="15.75" customHeight="1">
      <c r="I1498" s="43"/>
      <c r="Q1498" s="15"/>
      <c r="R1498" s="15"/>
      <c r="S1498" s="15"/>
      <c r="T1498" s="15"/>
      <c r="U1498" s="15"/>
      <c r="V1498" s="15"/>
      <c r="W1498" s="15"/>
      <c r="X1498" s="15"/>
    </row>
    <row r="1499" ht="15.75" customHeight="1">
      <c r="I1499" s="43"/>
      <c r="Q1499" s="15"/>
      <c r="R1499" s="15"/>
      <c r="S1499" s="15"/>
      <c r="T1499" s="15"/>
      <c r="U1499" s="15"/>
      <c r="V1499" s="15"/>
      <c r="W1499" s="15"/>
      <c r="X1499" s="15"/>
    </row>
    <row r="1500" ht="15.75" customHeight="1">
      <c r="I1500" s="43"/>
      <c r="Q1500" s="15"/>
      <c r="R1500" s="15"/>
      <c r="S1500" s="15"/>
      <c r="T1500" s="15"/>
      <c r="U1500" s="15"/>
      <c r="V1500" s="15"/>
      <c r="W1500" s="15"/>
      <c r="X1500" s="15"/>
    </row>
    <row r="1501" ht="15.75" customHeight="1">
      <c r="I1501" s="43"/>
      <c r="Q1501" s="15"/>
      <c r="R1501" s="15"/>
      <c r="S1501" s="15"/>
      <c r="T1501" s="15"/>
      <c r="U1501" s="15"/>
      <c r="V1501" s="15"/>
      <c r="W1501" s="15"/>
      <c r="X1501" s="15"/>
    </row>
    <row r="1502" ht="15.75" customHeight="1">
      <c r="I1502" s="43"/>
      <c r="Q1502" s="15"/>
      <c r="R1502" s="15"/>
      <c r="S1502" s="15"/>
      <c r="T1502" s="15"/>
      <c r="U1502" s="15"/>
      <c r="V1502" s="15"/>
      <c r="W1502" s="15"/>
      <c r="X1502" s="15"/>
    </row>
    <row r="1503" ht="15.75" customHeight="1">
      <c r="I1503" s="43"/>
      <c r="Q1503" s="15"/>
      <c r="R1503" s="15"/>
      <c r="S1503" s="15"/>
      <c r="T1503" s="15"/>
      <c r="U1503" s="15"/>
      <c r="V1503" s="15"/>
      <c r="W1503" s="15"/>
      <c r="X1503" s="15"/>
    </row>
    <row r="1504" ht="15.75" customHeight="1">
      <c r="I1504" s="43"/>
      <c r="Q1504" s="15"/>
      <c r="R1504" s="15"/>
      <c r="S1504" s="15"/>
      <c r="T1504" s="15"/>
      <c r="U1504" s="15"/>
      <c r="V1504" s="15"/>
      <c r="W1504" s="15"/>
      <c r="X1504" s="15"/>
    </row>
    <row r="1505" ht="15.75" customHeight="1">
      <c r="I1505" s="43"/>
      <c r="Q1505" s="15"/>
      <c r="R1505" s="15"/>
      <c r="S1505" s="15"/>
      <c r="T1505" s="15"/>
      <c r="U1505" s="15"/>
      <c r="V1505" s="15"/>
      <c r="W1505" s="15"/>
      <c r="X1505" s="15"/>
    </row>
    <row r="1506" ht="15.75" customHeight="1">
      <c r="I1506" s="43"/>
      <c r="Q1506" s="15"/>
      <c r="R1506" s="15"/>
      <c r="S1506" s="15"/>
      <c r="T1506" s="15"/>
      <c r="U1506" s="15"/>
      <c r="V1506" s="15"/>
      <c r="W1506" s="15"/>
      <c r="X1506" s="15"/>
    </row>
    <row r="1507" ht="15.75" customHeight="1">
      <c r="I1507" s="43"/>
      <c r="Q1507" s="15"/>
      <c r="R1507" s="15"/>
      <c r="S1507" s="15"/>
      <c r="T1507" s="15"/>
      <c r="U1507" s="15"/>
      <c r="V1507" s="15"/>
      <c r="W1507" s="15"/>
      <c r="X1507" s="15"/>
    </row>
    <row r="1508" ht="15.75" customHeight="1">
      <c r="I1508" s="43"/>
      <c r="Q1508" s="15"/>
      <c r="R1508" s="15"/>
      <c r="S1508" s="15"/>
      <c r="T1508" s="15"/>
      <c r="U1508" s="15"/>
      <c r="V1508" s="15"/>
      <c r="W1508" s="15"/>
      <c r="X1508" s="15"/>
    </row>
    <row r="1509" ht="15.75" customHeight="1">
      <c r="I1509" s="43"/>
      <c r="Q1509" s="15"/>
      <c r="R1509" s="15"/>
      <c r="S1509" s="15"/>
      <c r="T1509" s="15"/>
      <c r="U1509" s="15"/>
      <c r="V1509" s="15"/>
      <c r="W1509" s="15"/>
      <c r="X1509" s="15"/>
    </row>
    <row r="1510" ht="15.75" customHeight="1">
      <c r="I1510" s="43"/>
      <c r="Q1510" s="15"/>
      <c r="R1510" s="15"/>
      <c r="S1510" s="15"/>
      <c r="T1510" s="15"/>
      <c r="U1510" s="15"/>
      <c r="V1510" s="15"/>
      <c r="W1510" s="15"/>
      <c r="X1510" s="15"/>
    </row>
    <row r="1511" ht="15.75" customHeight="1">
      <c r="I1511" s="43"/>
      <c r="Q1511" s="15"/>
      <c r="R1511" s="15"/>
      <c r="S1511" s="15"/>
      <c r="T1511" s="15"/>
      <c r="U1511" s="15"/>
      <c r="V1511" s="15"/>
      <c r="W1511" s="15"/>
      <c r="X1511" s="15"/>
    </row>
    <row r="1512" ht="15.75" customHeight="1">
      <c r="I1512" s="43"/>
      <c r="Q1512" s="15"/>
      <c r="R1512" s="15"/>
      <c r="S1512" s="15"/>
      <c r="T1512" s="15"/>
      <c r="U1512" s="15"/>
      <c r="V1512" s="15"/>
      <c r="W1512" s="15"/>
      <c r="X1512" s="15"/>
    </row>
    <row r="1513" ht="15.75" customHeight="1">
      <c r="I1513" s="43"/>
      <c r="Q1513" s="15"/>
      <c r="R1513" s="15"/>
      <c r="S1513" s="15"/>
      <c r="T1513" s="15"/>
      <c r="U1513" s="15"/>
      <c r="V1513" s="15"/>
      <c r="W1513" s="15"/>
      <c r="X1513" s="15"/>
    </row>
    <row r="1514" ht="15.75" customHeight="1">
      <c r="I1514" s="43"/>
      <c r="Q1514" s="15"/>
      <c r="R1514" s="15"/>
      <c r="S1514" s="15"/>
      <c r="T1514" s="15"/>
      <c r="U1514" s="15"/>
      <c r="V1514" s="15"/>
      <c r="W1514" s="15"/>
      <c r="X1514" s="15"/>
    </row>
    <row r="1515" ht="15.75" customHeight="1">
      <c r="I1515" s="43"/>
      <c r="Q1515" s="15"/>
      <c r="R1515" s="15"/>
      <c r="S1515" s="15"/>
      <c r="T1515" s="15"/>
      <c r="U1515" s="15"/>
      <c r="V1515" s="15"/>
      <c r="W1515" s="15"/>
      <c r="X1515" s="15"/>
    </row>
    <row r="1516" ht="15.75" customHeight="1">
      <c r="I1516" s="43"/>
      <c r="Q1516" s="15"/>
      <c r="R1516" s="15"/>
      <c r="S1516" s="15"/>
      <c r="T1516" s="15"/>
      <c r="U1516" s="15"/>
      <c r="V1516" s="15"/>
      <c r="W1516" s="15"/>
      <c r="X1516" s="15"/>
    </row>
    <row r="1517" ht="15.75" customHeight="1">
      <c r="I1517" s="43"/>
      <c r="Q1517" s="15"/>
      <c r="R1517" s="15"/>
      <c r="S1517" s="15"/>
      <c r="T1517" s="15"/>
      <c r="U1517" s="15"/>
      <c r="V1517" s="15"/>
      <c r="W1517" s="15"/>
      <c r="X1517" s="15"/>
    </row>
    <row r="1518" ht="15.75" customHeight="1">
      <c r="I1518" s="43"/>
      <c r="Q1518" s="15"/>
      <c r="R1518" s="15"/>
      <c r="S1518" s="15"/>
      <c r="T1518" s="15"/>
      <c r="U1518" s="15"/>
      <c r="V1518" s="15"/>
      <c r="W1518" s="15"/>
      <c r="X1518" s="15"/>
    </row>
    <row r="1519" ht="15.75" customHeight="1">
      <c r="I1519" s="43"/>
      <c r="Q1519" s="15"/>
      <c r="R1519" s="15"/>
      <c r="S1519" s="15"/>
      <c r="T1519" s="15"/>
      <c r="U1519" s="15"/>
      <c r="V1519" s="15"/>
      <c r="W1519" s="15"/>
      <c r="X1519" s="15"/>
    </row>
    <row r="1520" ht="15.75" customHeight="1">
      <c r="I1520" s="43"/>
      <c r="Q1520" s="15"/>
      <c r="R1520" s="15"/>
      <c r="S1520" s="15"/>
      <c r="T1520" s="15"/>
      <c r="U1520" s="15"/>
      <c r="V1520" s="15"/>
      <c r="W1520" s="15"/>
      <c r="X1520" s="15"/>
    </row>
    <row r="1521" ht="15.75" customHeight="1">
      <c r="I1521" s="43"/>
      <c r="Q1521" s="15"/>
      <c r="R1521" s="15"/>
      <c r="S1521" s="15"/>
      <c r="T1521" s="15"/>
      <c r="U1521" s="15"/>
      <c r="V1521" s="15"/>
      <c r="W1521" s="15"/>
      <c r="X1521" s="15"/>
    </row>
    <row r="1522" ht="15.75" customHeight="1">
      <c r="I1522" s="43"/>
      <c r="Q1522" s="15"/>
      <c r="R1522" s="15"/>
      <c r="S1522" s="15"/>
      <c r="T1522" s="15"/>
      <c r="U1522" s="15"/>
      <c r="V1522" s="15"/>
      <c r="W1522" s="15"/>
      <c r="X1522" s="15"/>
    </row>
    <row r="1523" ht="15.75" customHeight="1">
      <c r="I1523" s="43"/>
      <c r="Q1523" s="15"/>
      <c r="R1523" s="15"/>
      <c r="S1523" s="15"/>
      <c r="T1523" s="15"/>
      <c r="U1523" s="15"/>
      <c r="V1523" s="15"/>
      <c r="W1523" s="15"/>
      <c r="X1523" s="15"/>
    </row>
    <row r="1524" ht="15.75" customHeight="1">
      <c r="I1524" s="43"/>
      <c r="Q1524" s="15"/>
      <c r="R1524" s="15"/>
      <c r="S1524" s="15"/>
      <c r="T1524" s="15"/>
      <c r="U1524" s="15"/>
      <c r="V1524" s="15"/>
      <c r="W1524" s="15"/>
      <c r="X1524" s="15"/>
    </row>
    <row r="1525" ht="15.75" customHeight="1">
      <c r="I1525" s="43"/>
      <c r="Q1525" s="15"/>
      <c r="R1525" s="15"/>
      <c r="S1525" s="15"/>
      <c r="T1525" s="15"/>
      <c r="U1525" s="15"/>
      <c r="V1525" s="15"/>
      <c r="W1525" s="15"/>
      <c r="X1525" s="15"/>
    </row>
    <row r="1526" ht="15.75" customHeight="1">
      <c r="I1526" s="43"/>
      <c r="Q1526" s="15"/>
      <c r="R1526" s="15"/>
      <c r="S1526" s="15"/>
      <c r="T1526" s="15"/>
      <c r="U1526" s="15"/>
      <c r="V1526" s="15"/>
      <c r="W1526" s="15"/>
      <c r="X1526" s="15"/>
    </row>
    <row r="1527" ht="15.75" customHeight="1">
      <c r="I1527" s="43"/>
      <c r="Q1527" s="15"/>
      <c r="R1527" s="15"/>
      <c r="S1527" s="15"/>
      <c r="T1527" s="15"/>
      <c r="U1527" s="15"/>
      <c r="V1527" s="15"/>
      <c r="W1527" s="15"/>
      <c r="X1527" s="15"/>
    </row>
    <row r="1528" ht="15.75" customHeight="1">
      <c r="I1528" s="43"/>
      <c r="Q1528" s="15"/>
      <c r="R1528" s="15"/>
      <c r="S1528" s="15"/>
      <c r="T1528" s="15"/>
      <c r="U1528" s="15"/>
      <c r="V1528" s="15"/>
      <c r="W1528" s="15"/>
      <c r="X1528" s="15"/>
    </row>
    <row r="1529" ht="15.75" customHeight="1">
      <c r="I1529" s="43"/>
      <c r="Q1529" s="15"/>
      <c r="R1529" s="15"/>
      <c r="S1529" s="15"/>
      <c r="T1529" s="15"/>
      <c r="U1529" s="15"/>
      <c r="V1529" s="15"/>
      <c r="W1529" s="15"/>
      <c r="X1529" s="15"/>
    </row>
    <row r="1530" ht="15.75" customHeight="1">
      <c r="I1530" s="43"/>
      <c r="Q1530" s="15"/>
      <c r="R1530" s="15"/>
      <c r="S1530" s="15"/>
      <c r="T1530" s="15"/>
      <c r="U1530" s="15"/>
      <c r="V1530" s="15"/>
      <c r="W1530" s="15"/>
      <c r="X1530" s="15"/>
    </row>
    <row r="1531" ht="15.75" customHeight="1">
      <c r="I1531" s="43"/>
      <c r="Q1531" s="15"/>
      <c r="R1531" s="15"/>
      <c r="S1531" s="15"/>
      <c r="T1531" s="15"/>
      <c r="U1531" s="15"/>
      <c r="V1531" s="15"/>
      <c r="W1531" s="15"/>
      <c r="X1531" s="15"/>
    </row>
    <row r="1532" ht="15.75" customHeight="1">
      <c r="I1532" s="43"/>
      <c r="Q1532" s="15"/>
      <c r="R1532" s="15"/>
      <c r="S1532" s="15"/>
      <c r="T1532" s="15"/>
      <c r="U1532" s="15"/>
      <c r="V1532" s="15"/>
      <c r="W1532" s="15"/>
      <c r="X1532" s="15"/>
    </row>
    <row r="1533" ht="15.75" customHeight="1">
      <c r="I1533" s="43"/>
      <c r="Q1533" s="15"/>
      <c r="R1533" s="15"/>
      <c r="S1533" s="15"/>
      <c r="T1533" s="15"/>
      <c r="U1533" s="15"/>
      <c r="V1533" s="15"/>
      <c r="W1533" s="15"/>
      <c r="X1533" s="15"/>
    </row>
    <row r="1534" ht="15.75" customHeight="1">
      <c r="I1534" s="43"/>
      <c r="Q1534" s="15"/>
      <c r="R1534" s="15"/>
      <c r="S1534" s="15"/>
      <c r="T1534" s="15"/>
      <c r="U1534" s="15"/>
      <c r="V1534" s="15"/>
      <c r="W1534" s="15"/>
      <c r="X1534" s="15"/>
    </row>
    <row r="1535" ht="15.75" customHeight="1">
      <c r="I1535" s="43"/>
      <c r="Q1535" s="15"/>
      <c r="R1535" s="15"/>
      <c r="S1535" s="15"/>
      <c r="T1535" s="15"/>
      <c r="U1535" s="15"/>
      <c r="V1535" s="15"/>
      <c r="W1535" s="15"/>
      <c r="X1535" s="15"/>
    </row>
    <row r="1536" ht="15.75" customHeight="1">
      <c r="I1536" s="43"/>
      <c r="Q1536" s="15"/>
      <c r="R1536" s="15"/>
      <c r="S1536" s="15"/>
      <c r="T1536" s="15"/>
      <c r="U1536" s="15"/>
      <c r="V1536" s="15"/>
      <c r="W1536" s="15"/>
      <c r="X1536" s="15"/>
    </row>
    <row r="1537" ht="15.75" customHeight="1">
      <c r="I1537" s="43"/>
      <c r="Q1537" s="15"/>
      <c r="R1537" s="15"/>
      <c r="S1537" s="15"/>
      <c r="T1537" s="15"/>
      <c r="U1537" s="15"/>
      <c r="V1537" s="15"/>
      <c r="W1537" s="15"/>
      <c r="X1537" s="15"/>
    </row>
    <row r="1538" ht="15.75" customHeight="1">
      <c r="I1538" s="43"/>
      <c r="Q1538" s="15"/>
      <c r="R1538" s="15"/>
      <c r="S1538" s="15"/>
      <c r="T1538" s="15"/>
      <c r="U1538" s="15"/>
      <c r="V1538" s="15"/>
      <c r="W1538" s="15"/>
      <c r="X1538" s="15"/>
    </row>
    <row r="1539" ht="15.75" customHeight="1">
      <c r="I1539" s="43"/>
      <c r="Q1539" s="15"/>
      <c r="R1539" s="15"/>
      <c r="S1539" s="15"/>
      <c r="T1539" s="15"/>
      <c r="U1539" s="15"/>
      <c r="V1539" s="15"/>
      <c r="W1539" s="15"/>
      <c r="X1539" s="15"/>
    </row>
    <row r="1540" ht="15.75" customHeight="1">
      <c r="I1540" s="43"/>
      <c r="Q1540" s="15"/>
      <c r="R1540" s="15"/>
      <c r="S1540" s="15"/>
      <c r="T1540" s="15"/>
      <c r="U1540" s="15"/>
      <c r="V1540" s="15"/>
      <c r="W1540" s="15"/>
      <c r="X1540" s="15"/>
    </row>
    <row r="1541" ht="15.75" customHeight="1">
      <c r="I1541" s="43"/>
      <c r="Q1541" s="15"/>
      <c r="R1541" s="15"/>
      <c r="S1541" s="15"/>
      <c r="T1541" s="15"/>
      <c r="U1541" s="15"/>
      <c r="V1541" s="15"/>
      <c r="W1541" s="15"/>
      <c r="X1541" s="15"/>
    </row>
    <row r="1542" ht="15.75" customHeight="1">
      <c r="I1542" s="43"/>
      <c r="Q1542" s="15"/>
      <c r="R1542" s="15"/>
      <c r="S1542" s="15"/>
      <c r="T1542" s="15"/>
      <c r="U1542" s="15"/>
      <c r="V1542" s="15"/>
      <c r="W1542" s="15"/>
      <c r="X1542" s="15"/>
    </row>
    <row r="1543" ht="15.75" customHeight="1">
      <c r="I1543" s="43"/>
      <c r="Q1543" s="15"/>
      <c r="R1543" s="15"/>
      <c r="S1543" s="15"/>
      <c r="T1543" s="15"/>
      <c r="U1543" s="15"/>
      <c r="V1543" s="15"/>
      <c r="W1543" s="15"/>
      <c r="X1543" s="15"/>
    </row>
    <row r="1544" ht="15.75" customHeight="1">
      <c r="I1544" s="43"/>
      <c r="Q1544" s="15"/>
      <c r="R1544" s="15"/>
      <c r="S1544" s="15"/>
      <c r="T1544" s="15"/>
      <c r="U1544" s="15"/>
      <c r="V1544" s="15"/>
      <c r="W1544" s="15"/>
      <c r="X1544" s="15"/>
    </row>
    <row r="1545" ht="15.75" customHeight="1">
      <c r="I1545" s="43"/>
      <c r="Q1545" s="15"/>
      <c r="R1545" s="15"/>
      <c r="S1545" s="15"/>
      <c r="T1545" s="15"/>
      <c r="U1545" s="15"/>
      <c r="V1545" s="15"/>
      <c r="W1545" s="15"/>
      <c r="X1545" s="15"/>
    </row>
    <row r="1546" ht="15.75" customHeight="1">
      <c r="I1546" s="43"/>
      <c r="Q1546" s="15"/>
      <c r="R1546" s="15"/>
      <c r="S1546" s="15"/>
      <c r="T1546" s="15"/>
      <c r="U1546" s="15"/>
      <c r="V1546" s="15"/>
      <c r="W1546" s="15"/>
      <c r="X1546" s="15"/>
    </row>
    <row r="1547" ht="15.75" customHeight="1">
      <c r="I1547" s="43"/>
      <c r="Q1547" s="15"/>
      <c r="R1547" s="15"/>
      <c r="S1547" s="15"/>
      <c r="T1547" s="15"/>
      <c r="U1547" s="15"/>
      <c r="V1547" s="15"/>
      <c r="W1547" s="15"/>
      <c r="X1547" s="15"/>
    </row>
    <row r="1548" ht="15.75" customHeight="1">
      <c r="I1548" s="43"/>
      <c r="Q1548" s="15"/>
      <c r="R1548" s="15"/>
      <c r="S1548" s="15"/>
      <c r="T1548" s="15"/>
      <c r="U1548" s="15"/>
      <c r="V1548" s="15"/>
      <c r="W1548" s="15"/>
      <c r="X1548" s="15"/>
    </row>
    <row r="1549" ht="15.75" customHeight="1">
      <c r="I1549" s="43"/>
      <c r="Q1549" s="15"/>
      <c r="R1549" s="15"/>
      <c r="S1549" s="15"/>
      <c r="T1549" s="15"/>
      <c r="U1549" s="15"/>
      <c r="V1549" s="15"/>
      <c r="W1549" s="15"/>
      <c r="X1549" s="15"/>
    </row>
    <row r="1550" ht="15.75" customHeight="1">
      <c r="I1550" s="43"/>
      <c r="Q1550" s="15"/>
      <c r="R1550" s="15"/>
      <c r="S1550" s="15"/>
      <c r="T1550" s="15"/>
      <c r="U1550" s="15"/>
      <c r="V1550" s="15"/>
      <c r="W1550" s="15"/>
      <c r="X1550" s="15"/>
    </row>
    <row r="1551" ht="15.75" customHeight="1">
      <c r="I1551" s="43"/>
      <c r="Q1551" s="15"/>
      <c r="R1551" s="15"/>
      <c r="S1551" s="15"/>
      <c r="T1551" s="15"/>
      <c r="U1551" s="15"/>
      <c r="V1551" s="15"/>
      <c r="W1551" s="15"/>
      <c r="X1551" s="15"/>
    </row>
    <row r="1552" ht="15.75" customHeight="1">
      <c r="I1552" s="43"/>
      <c r="Q1552" s="15"/>
      <c r="R1552" s="15"/>
      <c r="S1552" s="15"/>
      <c r="T1552" s="15"/>
      <c r="U1552" s="15"/>
      <c r="V1552" s="15"/>
      <c r="W1552" s="15"/>
      <c r="X1552" s="15"/>
    </row>
    <row r="1553" ht="15.75" customHeight="1">
      <c r="I1553" s="43"/>
      <c r="Q1553" s="15"/>
      <c r="R1553" s="15"/>
      <c r="S1553" s="15"/>
      <c r="T1553" s="15"/>
      <c r="U1553" s="15"/>
      <c r="V1553" s="15"/>
      <c r="W1553" s="15"/>
      <c r="X1553" s="15"/>
    </row>
    <row r="1554" ht="15.75" customHeight="1">
      <c r="I1554" s="43"/>
      <c r="Q1554" s="15"/>
      <c r="R1554" s="15"/>
      <c r="S1554" s="15"/>
      <c r="T1554" s="15"/>
      <c r="U1554" s="15"/>
      <c r="V1554" s="15"/>
      <c r="W1554" s="15"/>
      <c r="X1554" s="15"/>
    </row>
    <row r="1555" ht="15.75" customHeight="1">
      <c r="I1555" s="43"/>
      <c r="Q1555" s="15"/>
      <c r="R1555" s="15"/>
      <c r="S1555" s="15"/>
      <c r="T1555" s="15"/>
      <c r="U1555" s="15"/>
      <c r="V1555" s="15"/>
      <c r="W1555" s="15"/>
      <c r="X1555" s="15"/>
    </row>
    <row r="1556" ht="15.75" customHeight="1">
      <c r="I1556" s="43"/>
      <c r="Q1556" s="15"/>
      <c r="R1556" s="15"/>
      <c r="S1556" s="15"/>
      <c r="T1556" s="15"/>
      <c r="U1556" s="15"/>
      <c r="V1556" s="15"/>
      <c r="W1556" s="15"/>
      <c r="X1556" s="15"/>
    </row>
    <row r="1557" ht="15.75" customHeight="1">
      <c r="I1557" s="43"/>
      <c r="Q1557" s="15"/>
      <c r="R1557" s="15"/>
      <c r="S1557" s="15"/>
      <c r="T1557" s="15"/>
      <c r="U1557" s="15"/>
      <c r="V1557" s="15"/>
      <c r="W1557" s="15"/>
      <c r="X1557" s="15"/>
    </row>
    <row r="1558" ht="15.75" customHeight="1">
      <c r="I1558" s="43"/>
      <c r="Q1558" s="15"/>
      <c r="R1558" s="15"/>
      <c r="S1558" s="15"/>
      <c r="T1558" s="15"/>
      <c r="U1558" s="15"/>
      <c r="V1558" s="15"/>
      <c r="W1558" s="15"/>
      <c r="X1558" s="15"/>
    </row>
    <row r="1559" ht="15.75" customHeight="1">
      <c r="I1559" s="43"/>
      <c r="Q1559" s="15"/>
      <c r="R1559" s="15"/>
      <c r="S1559" s="15"/>
      <c r="T1559" s="15"/>
      <c r="U1559" s="15"/>
      <c r="V1559" s="15"/>
      <c r="W1559" s="15"/>
      <c r="X1559" s="15"/>
    </row>
    <row r="1560" ht="15.75" customHeight="1">
      <c r="I1560" s="43"/>
      <c r="Q1560" s="15"/>
      <c r="R1560" s="15"/>
      <c r="S1560" s="15"/>
      <c r="T1560" s="15"/>
      <c r="U1560" s="15"/>
      <c r="V1560" s="15"/>
      <c r="W1560" s="15"/>
      <c r="X1560" s="15"/>
    </row>
    <row r="1561" ht="15.75" customHeight="1">
      <c r="I1561" s="43"/>
      <c r="Q1561" s="15"/>
      <c r="R1561" s="15"/>
      <c r="S1561" s="15"/>
      <c r="T1561" s="15"/>
      <c r="U1561" s="15"/>
      <c r="V1561" s="15"/>
      <c r="W1561" s="15"/>
      <c r="X1561" s="15"/>
    </row>
    <row r="1562" ht="15.75" customHeight="1">
      <c r="I1562" s="43"/>
      <c r="Q1562" s="15"/>
      <c r="R1562" s="15"/>
      <c r="S1562" s="15"/>
      <c r="T1562" s="15"/>
      <c r="U1562" s="15"/>
      <c r="V1562" s="15"/>
      <c r="W1562" s="15"/>
      <c r="X1562" s="15"/>
    </row>
    <row r="1563" ht="15.75" customHeight="1">
      <c r="I1563" s="43"/>
      <c r="Q1563" s="15"/>
      <c r="R1563" s="15"/>
      <c r="S1563" s="15"/>
      <c r="T1563" s="15"/>
      <c r="U1563" s="15"/>
      <c r="V1563" s="15"/>
      <c r="W1563" s="15"/>
      <c r="X1563" s="15"/>
    </row>
    <row r="1564" ht="15.75" customHeight="1">
      <c r="I1564" s="43"/>
      <c r="Q1564" s="15"/>
      <c r="R1564" s="15"/>
      <c r="S1564" s="15"/>
      <c r="T1564" s="15"/>
      <c r="U1564" s="15"/>
      <c r="V1564" s="15"/>
      <c r="W1564" s="15"/>
      <c r="X1564" s="15"/>
    </row>
    <row r="1565" ht="15.75" customHeight="1">
      <c r="I1565" s="43"/>
      <c r="Q1565" s="15"/>
      <c r="R1565" s="15"/>
      <c r="S1565" s="15"/>
      <c r="T1565" s="15"/>
      <c r="U1565" s="15"/>
      <c r="V1565" s="15"/>
      <c r="W1565" s="15"/>
      <c r="X1565" s="15"/>
    </row>
    <row r="1566" ht="15.75" customHeight="1">
      <c r="I1566" s="43"/>
      <c r="Q1566" s="15"/>
      <c r="R1566" s="15"/>
      <c r="S1566" s="15"/>
      <c r="T1566" s="15"/>
      <c r="U1566" s="15"/>
      <c r="V1566" s="15"/>
      <c r="W1566" s="15"/>
      <c r="X1566" s="15"/>
    </row>
    <row r="1567" ht="15.75" customHeight="1">
      <c r="I1567" s="43"/>
      <c r="Q1567" s="15"/>
      <c r="R1567" s="15"/>
      <c r="S1567" s="15"/>
      <c r="T1567" s="15"/>
      <c r="U1567" s="15"/>
      <c r="V1567" s="15"/>
      <c r="W1567" s="15"/>
      <c r="X1567" s="15"/>
    </row>
    <row r="1568" ht="15.75" customHeight="1">
      <c r="I1568" s="43"/>
      <c r="Q1568" s="15"/>
      <c r="R1568" s="15"/>
      <c r="S1568" s="15"/>
      <c r="T1568" s="15"/>
      <c r="U1568" s="15"/>
      <c r="V1568" s="15"/>
      <c r="W1568" s="15"/>
      <c r="X1568" s="15"/>
    </row>
    <row r="1569" ht="15.75" customHeight="1">
      <c r="I1569" s="43"/>
      <c r="Q1569" s="15"/>
      <c r="R1569" s="15"/>
      <c r="S1569" s="15"/>
      <c r="T1569" s="15"/>
      <c r="U1569" s="15"/>
      <c r="V1569" s="15"/>
      <c r="W1569" s="15"/>
      <c r="X1569" s="15"/>
    </row>
    <row r="1570" ht="15.75" customHeight="1">
      <c r="I1570" s="43"/>
      <c r="Q1570" s="15"/>
      <c r="R1570" s="15"/>
      <c r="S1570" s="15"/>
      <c r="T1570" s="15"/>
      <c r="U1570" s="15"/>
      <c r="V1570" s="15"/>
      <c r="W1570" s="15"/>
      <c r="X1570" s="15"/>
    </row>
    <row r="1571" ht="15.75" customHeight="1">
      <c r="I1571" s="43"/>
      <c r="Q1571" s="15"/>
      <c r="R1571" s="15"/>
      <c r="S1571" s="15"/>
      <c r="T1571" s="15"/>
      <c r="U1571" s="15"/>
      <c r="V1571" s="15"/>
      <c r="W1571" s="15"/>
      <c r="X1571" s="15"/>
    </row>
    <row r="1572" ht="15.75" customHeight="1">
      <c r="I1572" s="43"/>
      <c r="Q1572" s="15"/>
      <c r="R1572" s="15"/>
      <c r="S1572" s="15"/>
      <c r="T1572" s="15"/>
      <c r="U1572" s="15"/>
      <c r="V1572" s="15"/>
      <c r="W1572" s="15"/>
      <c r="X1572" s="15"/>
    </row>
    <row r="1573" ht="15.75" customHeight="1">
      <c r="I1573" s="43"/>
      <c r="Q1573" s="15"/>
      <c r="R1573" s="15"/>
      <c r="S1573" s="15"/>
      <c r="T1573" s="15"/>
      <c r="U1573" s="15"/>
      <c r="V1573" s="15"/>
      <c r="W1573" s="15"/>
      <c r="X1573" s="15"/>
    </row>
    <row r="1574" ht="15.75" customHeight="1">
      <c r="I1574" s="43"/>
      <c r="Q1574" s="15"/>
      <c r="R1574" s="15"/>
      <c r="S1574" s="15"/>
      <c r="T1574" s="15"/>
      <c r="U1574" s="15"/>
      <c r="V1574" s="15"/>
      <c r="W1574" s="15"/>
      <c r="X1574" s="15"/>
    </row>
    <row r="1575" ht="15.75" customHeight="1">
      <c r="I1575" s="43"/>
      <c r="Q1575" s="15"/>
      <c r="R1575" s="15"/>
      <c r="S1575" s="15"/>
      <c r="T1575" s="15"/>
      <c r="U1575" s="15"/>
      <c r="V1575" s="15"/>
      <c r="W1575" s="15"/>
      <c r="X1575" s="15"/>
    </row>
    <row r="1576" ht="15.75" customHeight="1">
      <c r="I1576" s="43"/>
      <c r="Q1576" s="15"/>
      <c r="R1576" s="15"/>
      <c r="S1576" s="15"/>
      <c r="T1576" s="15"/>
      <c r="U1576" s="15"/>
      <c r="V1576" s="15"/>
      <c r="W1576" s="15"/>
      <c r="X1576" s="15"/>
    </row>
    <row r="1577" ht="15.75" customHeight="1">
      <c r="I1577" s="43"/>
      <c r="Q1577" s="15"/>
      <c r="R1577" s="15"/>
      <c r="S1577" s="15"/>
      <c r="T1577" s="15"/>
      <c r="U1577" s="15"/>
      <c r="V1577" s="15"/>
      <c r="W1577" s="15"/>
      <c r="X1577" s="15"/>
    </row>
    <row r="1578" ht="15.75" customHeight="1">
      <c r="I1578" s="43"/>
      <c r="Q1578" s="15"/>
      <c r="R1578" s="15"/>
      <c r="S1578" s="15"/>
      <c r="T1578" s="15"/>
      <c r="U1578" s="15"/>
      <c r="V1578" s="15"/>
      <c r="W1578" s="15"/>
      <c r="X1578" s="15"/>
    </row>
    <row r="1579" ht="15.75" customHeight="1">
      <c r="I1579" s="43"/>
      <c r="Q1579" s="15"/>
      <c r="R1579" s="15"/>
      <c r="S1579" s="15"/>
      <c r="T1579" s="15"/>
      <c r="U1579" s="15"/>
      <c r="V1579" s="15"/>
      <c r="W1579" s="15"/>
      <c r="X1579" s="15"/>
    </row>
    <row r="1580" ht="15.75" customHeight="1">
      <c r="I1580" s="43"/>
      <c r="Q1580" s="15"/>
      <c r="R1580" s="15"/>
      <c r="S1580" s="15"/>
      <c r="T1580" s="15"/>
      <c r="U1580" s="15"/>
      <c r="V1580" s="15"/>
      <c r="W1580" s="15"/>
      <c r="X1580" s="15"/>
    </row>
    <row r="1581" ht="15.75" customHeight="1">
      <c r="I1581" s="43"/>
      <c r="Q1581" s="15"/>
      <c r="R1581" s="15"/>
      <c r="S1581" s="15"/>
      <c r="T1581" s="15"/>
      <c r="U1581" s="15"/>
      <c r="V1581" s="15"/>
      <c r="W1581" s="15"/>
      <c r="X1581" s="15"/>
    </row>
    <row r="1582" ht="15.75" customHeight="1">
      <c r="I1582" s="43"/>
      <c r="Q1582" s="15"/>
      <c r="R1582" s="15"/>
      <c r="S1582" s="15"/>
      <c r="T1582" s="15"/>
      <c r="U1582" s="15"/>
      <c r="V1582" s="15"/>
      <c r="W1582" s="15"/>
      <c r="X1582" s="15"/>
    </row>
    <row r="1583" ht="15.75" customHeight="1">
      <c r="I1583" s="43"/>
      <c r="Q1583" s="15"/>
      <c r="R1583" s="15"/>
      <c r="S1583" s="15"/>
      <c r="T1583" s="15"/>
      <c r="U1583" s="15"/>
      <c r="V1583" s="15"/>
      <c r="W1583" s="15"/>
      <c r="X1583" s="15"/>
    </row>
    <row r="1584" ht="15.75" customHeight="1">
      <c r="I1584" s="43"/>
      <c r="Q1584" s="15"/>
      <c r="R1584" s="15"/>
      <c r="S1584" s="15"/>
      <c r="T1584" s="15"/>
      <c r="U1584" s="15"/>
      <c r="V1584" s="15"/>
      <c r="W1584" s="15"/>
      <c r="X1584" s="15"/>
    </row>
    <row r="1585" ht="15.75" customHeight="1">
      <c r="I1585" s="43"/>
      <c r="Q1585" s="15"/>
      <c r="R1585" s="15"/>
      <c r="S1585" s="15"/>
      <c r="T1585" s="15"/>
      <c r="U1585" s="15"/>
      <c r="V1585" s="15"/>
      <c r="W1585" s="15"/>
      <c r="X1585" s="15"/>
    </row>
    <row r="1586" ht="15.75" customHeight="1">
      <c r="I1586" s="43"/>
      <c r="Q1586" s="15"/>
      <c r="R1586" s="15"/>
      <c r="S1586" s="15"/>
      <c r="T1586" s="15"/>
      <c r="U1586" s="15"/>
      <c r="V1586" s="15"/>
      <c r="W1586" s="15"/>
      <c r="X1586" s="15"/>
    </row>
    <row r="1587" ht="15.75" customHeight="1">
      <c r="I1587" s="43"/>
      <c r="Q1587" s="15"/>
      <c r="R1587" s="15"/>
      <c r="S1587" s="15"/>
      <c r="T1587" s="15"/>
      <c r="U1587" s="15"/>
      <c r="V1587" s="15"/>
      <c r="W1587" s="15"/>
      <c r="X1587" s="15"/>
    </row>
    <row r="1588" ht="15.75" customHeight="1">
      <c r="I1588" s="43"/>
      <c r="Q1588" s="15"/>
      <c r="R1588" s="15"/>
      <c r="S1588" s="15"/>
      <c r="T1588" s="15"/>
      <c r="U1588" s="15"/>
      <c r="V1588" s="15"/>
      <c r="W1588" s="15"/>
      <c r="X1588" s="15"/>
    </row>
    <row r="1589" ht="15.75" customHeight="1">
      <c r="I1589" s="43"/>
      <c r="Q1589" s="15"/>
      <c r="R1589" s="15"/>
      <c r="S1589" s="15"/>
      <c r="T1589" s="15"/>
      <c r="U1589" s="15"/>
      <c r="V1589" s="15"/>
      <c r="W1589" s="15"/>
      <c r="X1589" s="15"/>
    </row>
    <row r="1590" ht="15.75" customHeight="1">
      <c r="I1590" s="43"/>
      <c r="Q1590" s="15"/>
      <c r="R1590" s="15"/>
      <c r="S1590" s="15"/>
      <c r="T1590" s="15"/>
      <c r="U1590" s="15"/>
      <c r="V1590" s="15"/>
      <c r="W1590" s="15"/>
      <c r="X1590" s="15"/>
    </row>
    <row r="1591" ht="15.75" customHeight="1">
      <c r="I1591" s="43"/>
      <c r="Q1591" s="15"/>
      <c r="R1591" s="15"/>
      <c r="S1591" s="15"/>
      <c r="T1591" s="15"/>
      <c r="U1591" s="15"/>
      <c r="V1591" s="15"/>
      <c r="W1591" s="15"/>
      <c r="X1591" s="15"/>
    </row>
    <row r="1592" ht="15.75" customHeight="1">
      <c r="I1592" s="43"/>
      <c r="Q1592" s="15"/>
      <c r="R1592" s="15"/>
      <c r="S1592" s="15"/>
      <c r="T1592" s="15"/>
      <c r="U1592" s="15"/>
      <c r="V1592" s="15"/>
      <c r="W1592" s="15"/>
      <c r="X1592" s="15"/>
    </row>
    <row r="1593" ht="15.75" customHeight="1">
      <c r="I1593" s="43"/>
      <c r="Q1593" s="15"/>
      <c r="R1593" s="15"/>
      <c r="S1593" s="15"/>
      <c r="T1593" s="15"/>
      <c r="U1593" s="15"/>
      <c r="V1593" s="15"/>
      <c r="W1593" s="15"/>
      <c r="X1593" s="15"/>
    </row>
    <row r="1594" ht="15.75" customHeight="1">
      <c r="I1594" s="43"/>
      <c r="Q1594" s="15"/>
      <c r="R1594" s="15"/>
      <c r="S1594" s="15"/>
      <c r="T1594" s="15"/>
      <c r="U1594" s="15"/>
      <c r="V1594" s="15"/>
      <c r="W1594" s="15"/>
      <c r="X1594" s="15"/>
    </row>
    <row r="1595" ht="15.75" customHeight="1">
      <c r="I1595" s="43"/>
      <c r="Q1595" s="15"/>
      <c r="R1595" s="15"/>
      <c r="S1595" s="15"/>
      <c r="T1595" s="15"/>
      <c r="U1595" s="15"/>
      <c r="V1595" s="15"/>
      <c r="W1595" s="15"/>
      <c r="X1595" s="15"/>
    </row>
    <row r="1596" ht="15.75" customHeight="1">
      <c r="I1596" s="43"/>
      <c r="Q1596" s="15"/>
      <c r="R1596" s="15"/>
      <c r="S1596" s="15"/>
      <c r="T1596" s="15"/>
      <c r="U1596" s="15"/>
      <c r="V1596" s="15"/>
      <c r="W1596" s="15"/>
      <c r="X1596" s="15"/>
    </row>
    <row r="1597" ht="15.75" customHeight="1">
      <c r="I1597" s="43"/>
      <c r="Q1597" s="15"/>
      <c r="R1597" s="15"/>
      <c r="S1597" s="15"/>
      <c r="T1597" s="15"/>
      <c r="U1597" s="15"/>
      <c r="V1597" s="15"/>
      <c r="W1597" s="15"/>
      <c r="X1597" s="15"/>
    </row>
    <row r="1598" ht="15.75" customHeight="1">
      <c r="I1598" s="43"/>
      <c r="Q1598" s="15"/>
      <c r="R1598" s="15"/>
      <c r="S1598" s="15"/>
      <c r="T1598" s="15"/>
      <c r="U1598" s="15"/>
      <c r="V1598" s="15"/>
      <c r="W1598" s="15"/>
      <c r="X1598" s="15"/>
    </row>
    <row r="1599" ht="15.75" customHeight="1">
      <c r="I1599" s="43"/>
      <c r="Q1599" s="15"/>
      <c r="R1599" s="15"/>
      <c r="S1599" s="15"/>
      <c r="T1599" s="15"/>
      <c r="U1599" s="15"/>
      <c r="V1599" s="15"/>
      <c r="W1599" s="15"/>
      <c r="X1599" s="15"/>
    </row>
    <row r="1600" ht="15.75" customHeight="1">
      <c r="I1600" s="43"/>
      <c r="Q1600" s="15"/>
      <c r="R1600" s="15"/>
      <c r="S1600" s="15"/>
      <c r="T1600" s="15"/>
      <c r="U1600" s="15"/>
      <c r="V1600" s="15"/>
      <c r="W1600" s="15"/>
      <c r="X1600" s="15"/>
    </row>
    <row r="1601" ht="15.75" customHeight="1">
      <c r="I1601" s="43"/>
      <c r="Q1601" s="15"/>
      <c r="R1601" s="15"/>
      <c r="S1601" s="15"/>
      <c r="T1601" s="15"/>
      <c r="U1601" s="15"/>
      <c r="V1601" s="15"/>
      <c r="W1601" s="15"/>
      <c r="X1601" s="15"/>
    </row>
    <row r="1602" ht="15.75" customHeight="1">
      <c r="I1602" s="43"/>
      <c r="Q1602" s="15"/>
      <c r="R1602" s="15"/>
      <c r="S1602" s="15"/>
      <c r="T1602" s="15"/>
      <c r="U1602" s="15"/>
      <c r="V1602" s="15"/>
      <c r="W1602" s="15"/>
      <c r="X1602" s="15"/>
    </row>
    <row r="1603" ht="15.75" customHeight="1">
      <c r="I1603" s="43"/>
      <c r="Q1603" s="15"/>
      <c r="R1603" s="15"/>
      <c r="S1603" s="15"/>
      <c r="T1603" s="15"/>
      <c r="U1603" s="15"/>
      <c r="V1603" s="15"/>
      <c r="W1603" s="15"/>
      <c r="X1603" s="15"/>
    </row>
    <row r="1604" ht="15.75" customHeight="1">
      <c r="I1604" s="43"/>
      <c r="Q1604" s="15"/>
      <c r="R1604" s="15"/>
      <c r="S1604" s="15"/>
      <c r="T1604" s="15"/>
      <c r="U1604" s="15"/>
      <c r="V1604" s="15"/>
      <c r="W1604" s="15"/>
      <c r="X1604" s="15"/>
    </row>
    <row r="1605" ht="15.75" customHeight="1">
      <c r="I1605" s="43"/>
      <c r="Q1605" s="15"/>
      <c r="R1605" s="15"/>
      <c r="S1605" s="15"/>
      <c r="T1605" s="15"/>
      <c r="U1605" s="15"/>
      <c r="V1605" s="15"/>
      <c r="W1605" s="15"/>
      <c r="X1605" s="15"/>
    </row>
    <row r="1606" ht="15.75" customHeight="1">
      <c r="I1606" s="43"/>
      <c r="Q1606" s="15"/>
      <c r="R1606" s="15"/>
      <c r="S1606" s="15"/>
      <c r="T1606" s="15"/>
      <c r="U1606" s="15"/>
      <c r="V1606" s="15"/>
      <c r="W1606" s="15"/>
      <c r="X1606" s="15"/>
    </row>
    <row r="1607" ht="15.75" customHeight="1">
      <c r="I1607" s="43"/>
      <c r="Q1607" s="15"/>
      <c r="R1607" s="15"/>
      <c r="S1607" s="15"/>
      <c r="T1607" s="15"/>
      <c r="U1607" s="15"/>
      <c r="V1607" s="15"/>
      <c r="W1607" s="15"/>
      <c r="X1607" s="15"/>
    </row>
    <row r="1608" ht="15.75" customHeight="1">
      <c r="I1608" s="43"/>
      <c r="Q1608" s="15"/>
      <c r="R1608" s="15"/>
      <c r="S1608" s="15"/>
      <c r="T1608" s="15"/>
      <c r="U1608" s="15"/>
      <c r="V1608" s="15"/>
      <c r="W1608" s="15"/>
      <c r="X1608" s="15"/>
    </row>
    <row r="1609" ht="15.75" customHeight="1">
      <c r="I1609" s="43"/>
      <c r="Q1609" s="15"/>
      <c r="R1609" s="15"/>
      <c r="S1609" s="15"/>
      <c r="T1609" s="15"/>
      <c r="U1609" s="15"/>
      <c r="V1609" s="15"/>
      <c r="W1609" s="15"/>
      <c r="X1609" s="15"/>
    </row>
    <row r="1610" ht="15.75" customHeight="1">
      <c r="I1610" s="43"/>
      <c r="Q1610" s="15"/>
      <c r="R1610" s="15"/>
      <c r="S1610" s="15"/>
      <c r="T1610" s="15"/>
      <c r="U1610" s="15"/>
      <c r="V1610" s="15"/>
      <c r="W1610" s="15"/>
      <c r="X1610" s="15"/>
    </row>
    <row r="1611" ht="15.75" customHeight="1">
      <c r="I1611" s="43"/>
      <c r="Q1611" s="15"/>
      <c r="R1611" s="15"/>
      <c r="S1611" s="15"/>
      <c r="T1611" s="15"/>
      <c r="U1611" s="15"/>
      <c r="V1611" s="15"/>
      <c r="W1611" s="15"/>
      <c r="X1611" s="15"/>
    </row>
    <row r="1612" ht="15.75" customHeight="1">
      <c r="I1612" s="43"/>
      <c r="Q1612" s="15"/>
      <c r="R1612" s="15"/>
      <c r="S1612" s="15"/>
      <c r="T1612" s="15"/>
      <c r="U1612" s="15"/>
      <c r="V1612" s="15"/>
      <c r="W1612" s="15"/>
      <c r="X1612" s="15"/>
    </row>
    <row r="1613" ht="15.75" customHeight="1">
      <c r="I1613" s="43"/>
      <c r="Q1613" s="15"/>
      <c r="R1613" s="15"/>
      <c r="S1613" s="15"/>
      <c r="T1613" s="15"/>
      <c r="U1613" s="15"/>
      <c r="V1613" s="15"/>
      <c r="W1613" s="15"/>
      <c r="X1613" s="15"/>
    </row>
    <row r="1614" ht="15.75" customHeight="1">
      <c r="I1614" s="43"/>
      <c r="Q1614" s="15"/>
      <c r="R1614" s="15"/>
      <c r="S1614" s="15"/>
      <c r="T1614" s="15"/>
      <c r="U1614" s="15"/>
      <c r="V1614" s="15"/>
      <c r="W1614" s="15"/>
      <c r="X1614" s="15"/>
    </row>
    <row r="1615" ht="15.75" customHeight="1">
      <c r="I1615" s="43"/>
      <c r="Q1615" s="15"/>
      <c r="R1615" s="15"/>
      <c r="S1615" s="15"/>
      <c r="T1615" s="15"/>
      <c r="U1615" s="15"/>
      <c r="V1615" s="15"/>
      <c r="W1615" s="15"/>
      <c r="X1615" s="15"/>
    </row>
    <row r="1616" ht="15.75" customHeight="1">
      <c r="I1616" s="43"/>
      <c r="Q1616" s="15"/>
      <c r="R1616" s="15"/>
      <c r="S1616" s="15"/>
      <c r="T1616" s="15"/>
      <c r="U1616" s="15"/>
      <c r="V1616" s="15"/>
      <c r="W1616" s="15"/>
      <c r="X1616" s="15"/>
    </row>
    <row r="1617" ht="15.75" customHeight="1">
      <c r="I1617" s="43"/>
      <c r="Q1617" s="15"/>
      <c r="R1617" s="15"/>
      <c r="S1617" s="15"/>
      <c r="T1617" s="15"/>
      <c r="U1617" s="15"/>
      <c r="V1617" s="15"/>
      <c r="W1617" s="15"/>
      <c r="X1617" s="15"/>
    </row>
    <row r="1618" ht="15.75" customHeight="1">
      <c r="I1618" s="43"/>
      <c r="Q1618" s="15"/>
      <c r="R1618" s="15"/>
      <c r="S1618" s="15"/>
      <c r="T1618" s="15"/>
      <c r="U1618" s="15"/>
      <c r="V1618" s="15"/>
      <c r="W1618" s="15"/>
      <c r="X1618" s="15"/>
    </row>
    <row r="1619" ht="15.75" customHeight="1">
      <c r="I1619" s="43"/>
      <c r="Q1619" s="15"/>
      <c r="R1619" s="15"/>
      <c r="S1619" s="15"/>
      <c r="T1619" s="15"/>
      <c r="U1619" s="15"/>
      <c r="V1619" s="15"/>
      <c r="W1619" s="15"/>
      <c r="X1619" s="15"/>
    </row>
    <row r="1620" ht="15.75" customHeight="1">
      <c r="I1620" s="43"/>
      <c r="Q1620" s="15"/>
      <c r="R1620" s="15"/>
      <c r="S1620" s="15"/>
      <c r="T1620" s="15"/>
      <c r="U1620" s="15"/>
      <c r="V1620" s="15"/>
      <c r="W1620" s="15"/>
      <c r="X1620" s="15"/>
    </row>
    <row r="1621" ht="15.75" customHeight="1">
      <c r="I1621" s="43"/>
      <c r="Q1621" s="15"/>
      <c r="R1621" s="15"/>
      <c r="S1621" s="15"/>
      <c r="T1621" s="15"/>
      <c r="U1621" s="15"/>
      <c r="V1621" s="15"/>
      <c r="W1621" s="15"/>
      <c r="X1621" s="15"/>
    </row>
    <row r="1622" ht="15.75" customHeight="1">
      <c r="I1622" s="43"/>
      <c r="Q1622" s="15"/>
      <c r="R1622" s="15"/>
      <c r="S1622" s="15"/>
      <c r="T1622" s="15"/>
      <c r="U1622" s="15"/>
      <c r="V1622" s="15"/>
      <c r="W1622" s="15"/>
      <c r="X1622" s="15"/>
    </row>
    <row r="1623" ht="15.75" customHeight="1">
      <c r="I1623" s="43"/>
      <c r="Q1623" s="15"/>
      <c r="R1623" s="15"/>
      <c r="S1623" s="15"/>
      <c r="T1623" s="15"/>
      <c r="U1623" s="15"/>
      <c r="V1623" s="15"/>
      <c r="W1623" s="15"/>
      <c r="X1623" s="15"/>
    </row>
    <row r="1624" ht="15.75" customHeight="1">
      <c r="I1624" s="43"/>
      <c r="Q1624" s="15"/>
      <c r="R1624" s="15"/>
      <c r="S1624" s="15"/>
      <c r="T1624" s="15"/>
      <c r="U1624" s="15"/>
      <c r="V1624" s="15"/>
      <c r="W1624" s="15"/>
      <c r="X1624" s="15"/>
    </row>
    <row r="1625" ht="15.75" customHeight="1">
      <c r="I1625" s="43"/>
      <c r="Q1625" s="15"/>
      <c r="R1625" s="15"/>
      <c r="S1625" s="15"/>
      <c r="T1625" s="15"/>
      <c r="U1625" s="15"/>
      <c r="V1625" s="15"/>
      <c r="W1625" s="15"/>
      <c r="X1625" s="15"/>
    </row>
    <row r="1626" ht="15.75" customHeight="1">
      <c r="I1626" s="43"/>
      <c r="Q1626" s="15"/>
      <c r="R1626" s="15"/>
      <c r="S1626" s="15"/>
      <c r="T1626" s="15"/>
      <c r="U1626" s="15"/>
      <c r="V1626" s="15"/>
      <c r="W1626" s="15"/>
      <c r="X1626" s="15"/>
    </row>
    <row r="1627" ht="15.75" customHeight="1">
      <c r="I1627" s="43"/>
      <c r="Q1627" s="15"/>
      <c r="R1627" s="15"/>
      <c r="S1627" s="15"/>
      <c r="T1627" s="15"/>
      <c r="U1627" s="15"/>
      <c r="V1627" s="15"/>
      <c r="W1627" s="15"/>
      <c r="X1627" s="15"/>
    </row>
    <row r="1628" ht="15.75" customHeight="1">
      <c r="I1628" s="43"/>
      <c r="Q1628" s="15"/>
      <c r="R1628" s="15"/>
      <c r="S1628" s="15"/>
      <c r="T1628" s="15"/>
      <c r="U1628" s="15"/>
      <c r="V1628" s="15"/>
      <c r="W1628" s="15"/>
      <c r="X1628" s="15"/>
    </row>
    <row r="1629" ht="15.75" customHeight="1">
      <c r="I1629" s="43"/>
      <c r="Q1629" s="15"/>
      <c r="R1629" s="15"/>
      <c r="S1629" s="15"/>
      <c r="T1629" s="15"/>
      <c r="U1629" s="15"/>
      <c r="V1629" s="15"/>
      <c r="W1629" s="15"/>
      <c r="X1629" s="15"/>
    </row>
    <row r="1630" ht="15.75" customHeight="1">
      <c r="I1630" s="43"/>
      <c r="Q1630" s="15"/>
      <c r="R1630" s="15"/>
      <c r="S1630" s="15"/>
      <c r="T1630" s="15"/>
      <c r="U1630" s="15"/>
      <c r="V1630" s="15"/>
      <c r="W1630" s="15"/>
      <c r="X1630" s="15"/>
    </row>
    <row r="1631" ht="15.75" customHeight="1">
      <c r="I1631" s="43"/>
      <c r="Q1631" s="15"/>
      <c r="R1631" s="15"/>
      <c r="S1631" s="15"/>
      <c r="T1631" s="15"/>
      <c r="U1631" s="15"/>
      <c r="V1631" s="15"/>
      <c r="W1631" s="15"/>
      <c r="X1631" s="15"/>
    </row>
    <row r="1632" ht="15.75" customHeight="1">
      <c r="I1632" s="43"/>
      <c r="Q1632" s="15"/>
      <c r="R1632" s="15"/>
      <c r="S1632" s="15"/>
      <c r="T1632" s="15"/>
      <c r="U1632" s="15"/>
      <c r="V1632" s="15"/>
      <c r="W1632" s="15"/>
      <c r="X1632" s="15"/>
    </row>
    <row r="1633" ht="15.75" customHeight="1">
      <c r="I1633" s="43"/>
      <c r="Q1633" s="15"/>
      <c r="R1633" s="15"/>
      <c r="S1633" s="15"/>
      <c r="T1633" s="15"/>
      <c r="U1633" s="15"/>
      <c r="V1633" s="15"/>
      <c r="W1633" s="15"/>
      <c r="X1633" s="15"/>
    </row>
    <row r="1634" ht="15.75" customHeight="1">
      <c r="I1634" s="43"/>
      <c r="Q1634" s="15"/>
      <c r="R1634" s="15"/>
      <c r="S1634" s="15"/>
      <c r="T1634" s="15"/>
      <c r="U1634" s="15"/>
      <c r="V1634" s="15"/>
      <c r="W1634" s="15"/>
      <c r="X1634" s="15"/>
    </row>
    <row r="1635" ht="15.75" customHeight="1">
      <c r="I1635" s="43"/>
      <c r="Q1635" s="15"/>
      <c r="R1635" s="15"/>
      <c r="S1635" s="15"/>
      <c r="T1635" s="15"/>
      <c r="U1635" s="15"/>
      <c r="V1635" s="15"/>
      <c r="W1635" s="15"/>
      <c r="X1635" s="15"/>
    </row>
    <row r="1636" ht="15.75" customHeight="1">
      <c r="I1636" s="43"/>
      <c r="Q1636" s="15"/>
      <c r="R1636" s="15"/>
      <c r="S1636" s="15"/>
      <c r="T1636" s="15"/>
      <c r="U1636" s="15"/>
      <c r="V1636" s="15"/>
      <c r="W1636" s="15"/>
      <c r="X1636" s="15"/>
    </row>
    <row r="1637" ht="15.75" customHeight="1">
      <c r="I1637" s="43"/>
      <c r="Q1637" s="15"/>
      <c r="R1637" s="15"/>
      <c r="S1637" s="15"/>
      <c r="T1637" s="15"/>
      <c r="U1637" s="15"/>
      <c r="V1637" s="15"/>
      <c r="W1637" s="15"/>
      <c r="X1637" s="15"/>
    </row>
    <row r="1638" ht="15.75" customHeight="1">
      <c r="I1638" s="43"/>
      <c r="Q1638" s="15"/>
      <c r="R1638" s="15"/>
      <c r="S1638" s="15"/>
      <c r="T1638" s="15"/>
      <c r="U1638" s="15"/>
      <c r="V1638" s="15"/>
      <c r="W1638" s="15"/>
      <c r="X1638" s="15"/>
    </row>
    <row r="1639" ht="15.75" customHeight="1">
      <c r="I1639" s="43"/>
      <c r="Q1639" s="15"/>
      <c r="R1639" s="15"/>
      <c r="S1639" s="15"/>
      <c r="T1639" s="15"/>
      <c r="U1639" s="15"/>
      <c r="V1639" s="15"/>
      <c r="W1639" s="15"/>
      <c r="X1639" s="15"/>
    </row>
    <row r="1640" ht="15.75" customHeight="1">
      <c r="I1640" s="43"/>
      <c r="Q1640" s="15"/>
      <c r="R1640" s="15"/>
      <c r="S1640" s="15"/>
      <c r="T1640" s="15"/>
      <c r="U1640" s="15"/>
      <c r="V1640" s="15"/>
      <c r="W1640" s="15"/>
      <c r="X1640" s="15"/>
    </row>
    <row r="1641" ht="15.75" customHeight="1">
      <c r="I1641" s="43"/>
      <c r="Q1641" s="15"/>
      <c r="R1641" s="15"/>
      <c r="S1641" s="15"/>
      <c r="T1641" s="15"/>
      <c r="U1641" s="15"/>
      <c r="V1641" s="15"/>
      <c r="W1641" s="15"/>
      <c r="X1641" s="15"/>
    </row>
    <row r="1642" ht="15.75" customHeight="1">
      <c r="I1642" s="43"/>
      <c r="Q1642" s="15"/>
      <c r="R1642" s="15"/>
      <c r="S1642" s="15"/>
      <c r="T1642" s="15"/>
      <c r="U1642" s="15"/>
      <c r="V1642" s="15"/>
      <c r="W1642" s="15"/>
      <c r="X1642" s="15"/>
    </row>
    <row r="1643" ht="15.75" customHeight="1">
      <c r="I1643" s="43"/>
      <c r="Q1643" s="15"/>
      <c r="R1643" s="15"/>
      <c r="S1643" s="15"/>
      <c r="T1643" s="15"/>
      <c r="U1643" s="15"/>
      <c r="V1643" s="15"/>
      <c r="W1643" s="15"/>
      <c r="X1643" s="15"/>
    </row>
    <row r="1644" ht="15.75" customHeight="1">
      <c r="I1644" s="43"/>
      <c r="Q1644" s="15"/>
      <c r="R1644" s="15"/>
      <c r="S1644" s="15"/>
      <c r="T1644" s="15"/>
      <c r="U1644" s="15"/>
      <c r="V1644" s="15"/>
      <c r="W1644" s="15"/>
      <c r="X1644" s="15"/>
    </row>
    <row r="1645" ht="15.75" customHeight="1">
      <c r="I1645" s="43"/>
      <c r="Q1645" s="15"/>
      <c r="R1645" s="15"/>
      <c r="S1645" s="15"/>
      <c r="T1645" s="15"/>
      <c r="U1645" s="15"/>
      <c r="V1645" s="15"/>
      <c r="W1645" s="15"/>
      <c r="X1645" s="15"/>
    </row>
    <row r="1646" ht="15.75" customHeight="1">
      <c r="I1646" s="43"/>
      <c r="Q1646" s="15"/>
      <c r="R1646" s="15"/>
      <c r="S1646" s="15"/>
      <c r="T1646" s="15"/>
      <c r="U1646" s="15"/>
      <c r="V1646" s="15"/>
      <c r="W1646" s="15"/>
      <c r="X1646" s="15"/>
    </row>
    <row r="1647" ht="15.75" customHeight="1">
      <c r="I1647" s="43"/>
      <c r="Q1647" s="15"/>
      <c r="R1647" s="15"/>
      <c r="S1647" s="15"/>
      <c r="T1647" s="15"/>
      <c r="U1647" s="15"/>
      <c r="V1647" s="15"/>
      <c r="W1647" s="15"/>
      <c r="X1647" s="15"/>
    </row>
    <row r="1648" ht="15.75" customHeight="1">
      <c r="I1648" s="43"/>
      <c r="Q1648" s="15"/>
      <c r="R1648" s="15"/>
      <c r="S1648" s="15"/>
      <c r="T1648" s="15"/>
      <c r="U1648" s="15"/>
      <c r="V1648" s="15"/>
      <c r="W1648" s="15"/>
      <c r="X1648" s="15"/>
    </row>
    <row r="1649" ht="15.75" customHeight="1">
      <c r="I1649" s="43"/>
      <c r="Q1649" s="15"/>
      <c r="R1649" s="15"/>
      <c r="S1649" s="15"/>
      <c r="T1649" s="15"/>
      <c r="U1649" s="15"/>
      <c r="V1649" s="15"/>
      <c r="W1649" s="15"/>
      <c r="X1649" s="15"/>
    </row>
    <row r="1650" ht="15.75" customHeight="1">
      <c r="I1650" s="43"/>
      <c r="Q1650" s="15"/>
      <c r="R1650" s="15"/>
      <c r="S1650" s="15"/>
      <c r="T1650" s="15"/>
      <c r="U1650" s="15"/>
      <c r="V1650" s="15"/>
      <c r="W1650" s="15"/>
      <c r="X1650" s="15"/>
    </row>
    <row r="1651" ht="15.75" customHeight="1">
      <c r="I1651" s="43"/>
      <c r="Q1651" s="15"/>
      <c r="R1651" s="15"/>
      <c r="S1651" s="15"/>
      <c r="T1651" s="15"/>
      <c r="U1651" s="15"/>
      <c r="V1651" s="15"/>
      <c r="W1651" s="15"/>
      <c r="X1651" s="15"/>
    </row>
    <row r="1652" ht="15.75" customHeight="1">
      <c r="I1652" s="43"/>
      <c r="Q1652" s="15"/>
      <c r="R1652" s="15"/>
      <c r="S1652" s="15"/>
      <c r="T1652" s="15"/>
      <c r="U1652" s="15"/>
      <c r="V1652" s="15"/>
      <c r="W1652" s="15"/>
      <c r="X1652" s="15"/>
    </row>
    <row r="1653" ht="15.75" customHeight="1">
      <c r="I1653" s="43"/>
      <c r="Q1653" s="15"/>
      <c r="R1653" s="15"/>
      <c r="S1653" s="15"/>
      <c r="T1653" s="15"/>
      <c r="U1653" s="15"/>
      <c r="V1653" s="15"/>
      <c r="W1653" s="15"/>
      <c r="X1653" s="15"/>
    </row>
    <row r="1654" ht="15.75" customHeight="1">
      <c r="I1654" s="43"/>
      <c r="Q1654" s="15"/>
      <c r="R1654" s="15"/>
      <c r="S1654" s="15"/>
      <c r="T1654" s="15"/>
      <c r="U1654" s="15"/>
      <c r="V1654" s="15"/>
      <c r="W1654" s="15"/>
      <c r="X1654" s="15"/>
    </row>
    <row r="1655" ht="15.75" customHeight="1">
      <c r="I1655" s="43"/>
      <c r="Q1655" s="15"/>
      <c r="R1655" s="15"/>
      <c r="S1655" s="15"/>
      <c r="T1655" s="15"/>
      <c r="U1655" s="15"/>
      <c r="V1655" s="15"/>
      <c r="W1655" s="15"/>
      <c r="X1655" s="15"/>
    </row>
    <row r="1656" ht="15.75" customHeight="1">
      <c r="I1656" s="43"/>
      <c r="Q1656" s="15"/>
      <c r="R1656" s="15"/>
      <c r="S1656" s="15"/>
      <c r="T1656" s="15"/>
      <c r="U1656" s="15"/>
      <c r="V1656" s="15"/>
      <c r="W1656" s="15"/>
      <c r="X1656" s="15"/>
    </row>
    <row r="1657" ht="15.75" customHeight="1">
      <c r="I1657" s="43"/>
      <c r="Q1657" s="15"/>
      <c r="R1657" s="15"/>
      <c r="S1657" s="15"/>
      <c r="T1657" s="15"/>
      <c r="U1657" s="15"/>
      <c r="V1657" s="15"/>
      <c r="W1657" s="15"/>
      <c r="X1657" s="15"/>
    </row>
    <row r="1658" ht="15.75" customHeight="1">
      <c r="I1658" s="43"/>
      <c r="Q1658" s="15"/>
      <c r="R1658" s="15"/>
      <c r="S1658" s="15"/>
      <c r="T1658" s="15"/>
      <c r="U1658" s="15"/>
      <c r="V1658" s="15"/>
      <c r="W1658" s="15"/>
      <c r="X1658" s="15"/>
    </row>
    <row r="1659" ht="15.75" customHeight="1">
      <c r="I1659" s="43"/>
      <c r="Q1659" s="15"/>
      <c r="R1659" s="15"/>
      <c r="S1659" s="15"/>
      <c r="T1659" s="15"/>
      <c r="U1659" s="15"/>
      <c r="V1659" s="15"/>
      <c r="W1659" s="15"/>
      <c r="X1659" s="15"/>
    </row>
    <row r="1660" ht="15.75" customHeight="1">
      <c r="I1660" s="43"/>
      <c r="Q1660" s="15"/>
      <c r="R1660" s="15"/>
      <c r="S1660" s="15"/>
      <c r="T1660" s="15"/>
      <c r="U1660" s="15"/>
      <c r="V1660" s="15"/>
      <c r="W1660" s="15"/>
      <c r="X1660" s="15"/>
    </row>
    <row r="1661" ht="15.75" customHeight="1">
      <c r="I1661" s="43"/>
      <c r="Q1661" s="15"/>
      <c r="R1661" s="15"/>
      <c r="S1661" s="15"/>
      <c r="T1661" s="15"/>
      <c r="U1661" s="15"/>
      <c r="V1661" s="15"/>
      <c r="W1661" s="15"/>
      <c r="X1661" s="15"/>
    </row>
    <row r="1662" ht="15.75" customHeight="1">
      <c r="I1662" s="43"/>
      <c r="Q1662" s="15"/>
      <c r="R1662" s="15"/>
      <c r="S1662" s="15"/>
      <c r="T1662" s="15"/>
      <c r="U1662" s="15"/>
      <c r="V1662" s="15"/>
      <c r="W1662" s="15"/>
      <c r="X1662" s="15"/>
    </row>
    <row r="1663" ht="15.75" customHeight="1">
      <c r="I1663" s="43"/>
      <c r="Q1663" s="15"/>
      <c r="R1663" s="15"/>
      <c r="S1663" s="15"/>
      <c r="T1663" s="15"/>
      <c r="U1663" s="15"/>
      <c r="V1663" s="15"/>
      <c r="W1663" s="15"/>
      <c r="X1663" s="15"/>
    </row>
    <row r="1664" ht="15.75" customHeight="1">
      <c r="I1664" s="43"/>
      <c r="Q1664" s="15"/>
      <c r="R1664" s="15"/>
      <c r="S1664" s="15"/>
      <c r="T1664" s="15"/>
      <c r="U1664" s="15"/>
      <c r="V1664" s="15"/>
      <c r="W1664" s="15"/>
      <c r="X1664" s="15"/>
    </row>
    <row r="1665" ht="15.75" customHeight="1">
      <c r="I1665" s="43"/>
      <c r="Q1665" s="15"/>
      <c r="R1665" s="15"/>
      <c r="S1665" s="15"/>
      <c r="T1665" s="15"/>
      <c r="U1665" s="15"/>
      <c r="V1665" s="15"/>
      <c r="W1665" s="15"/>
      <c r="X1665" s="15"/>
    </row>
    <row r="1666" ht="15.75" customHeight="1">
      <c r="I1666" s="43"/>
      <c r="Q1666" s="15"/>
      <c r="R1666" s="15"/>
      <c r="S1666" s="15"/>
      <c r="T1666" s="15"/>
      <c r="U1666" s="15"/>
      <c r="V1666" s="15"/>
      <c r="W1666" s="15"/>
      <c r="X1666" s="15"/>
    </row>
    <row r="1667" ht="15.75" customHeight="1">
      <c r="I1667" s="43"/>
      <c r="Q1667" s="15"/>
      <c r="R1667" s="15"/>
      <c r="S1667" s="15"/>
      <c r="T1667" s="15"/>
      <c r="U1667" s="15"/>
      <c r="V1667" s="15"/>
      <c r="W1667" s="15"/>
      <c r="X1667" s="15"/>
    </row>
    <row r="1668" ht="15.75" customHeight="1">
      <c r="I1668" s="43"/>
      <c r="Q1668" s="15"/>
      <c r="R1668" s="15"/>
      <c r="S1668" s="15"/>
      <c r="T1668" s="15"/>
      <c r="U1668" s="15"/>
      <c r="V1668" s="15"/>
      <c r="W1668" s="15"/>
      <c r="X1668" s="15"/>
    </row>
    <row r="1669" ht="15.75" customHeight="1">
      <c r="I1669" s="43"/>
      <c r="Q1669" s="15"/>
      <c r="R1669" s="15"/>
      <c r="S1669" s="15"/>
      <c r="T1669" s="15"/>
      <c r="U1669" s="15"/>
      <c r="V1669" s="15"/>
      <c r="W1669" s="15"/>
      <c r="X1669" s="15"/>
    </row>
    <row r="1670" ht="15.75" customHeight="1">
      <c r="I1670" s="43"/>
      <c r="Q1670" s="15"/>
      <c r="R1670" s="15"/>
      <c r="S1670" s="15"/>
      <c r="T1670" s="15"/>
      <c r="U1670" s="15"/>
      <c r="V1670" s="15"/>
      <c r="W1670" s="15"/>
      <c r="X1670" s="15"/>
    </row>
    <row r="1671" ht="15.75" customHeight="1">
      <c r="I1671" s="43"/>
      <c r="Q1671" s="15"/>
      <c r="R1671" s="15"/>
      <c r="S1671" s="15"/>
      <c r="T1671" s="15"/>
      <c r="U1671" s="15"/>
      <c r="V1671" s="15"/>
      <c r="W1671" s="15"/>
      <c r="X1671" s="15"/>
    </row>
    <row r="1672" ht="15.75" customHeight="1">
      <c r="I1672" s="43"/>
      <c r="Q1672" s="15"/>
      <c r="R1672" s="15"/>
      <c r="S1672" s="15"/>
      <c r="T1672" s="15"/>
      <c r="U1672" s="15"/>
      <c r="V1672" s="15"/>
      <c r="W1672" s="15"/>
      <c r="X1672" s="15"/>
    </row>
    <row r="1673" ht="15.75" customHeight="1">
      <c r="I1673" s="43"/>
      <c r="Q1673" s="15"/>
      <c r="R1673" s="15"/>
      <c r="S1673" s="15"/>
      <c r="T1673" s="15"/>
      <c r="U1673" s="15"/>
      <c r="V1673" s="15"/>
      <c r="W1673" s="15"/>
      <c r="X1673" s="15"/>
    </row>
    <row r="1674" ht="15.75" customHeight="1">
      <c r="I1674" s="43"/>
      <c r="Q1674" s="15"/>
      <c r="R1674" s="15"/>
      <c r="S1674" s="15"/>
      <c r="T1674" s="15"/>
      <c r="U1674" s="15"/>
      <c r="V1674" s="15"/>
      <c r="W1674" s="15"/>
      <c r="X1674" s="15"/>
    </row>
    <row r="1675" ht="15.75" customHeight="1">
      <c r="I1675" s="43"/>
      <c r="Q1675" s="15"/>
      <c r="R1675" s="15"/>
      <c r="S1675" s="15"/>
      <c r="T1675" s="15"/>
      <c r="U1675" s="15"/>
      <c r="V1675" s="15"/>
      <c r="W1675" s="15"/>
      <c r="X1675" s="15"/>
    </row>
    <row r="1676" ht="15.75" customHeight="1">
      <c r="I1676" s="43"/>
      <c r="Q1676" s="15"/>
      <c r="R1676" s="15"/>
      <c r="S1676" s="15"/>
      <c r="T1676" s="15"/>
      <c r="U1676" s="15"/>
      <c r="V1676" s="15"/>
      <c r="W1676" s="15"/>
      <c r="X1676" s="15"/>
    </row>
    <row r="1677" ht="15.75" customHeight="1">
      <c r="I1677" s="43"/>
      <c r="Q1677" s="15"/>
      <c r="R1677" s="15"/>
      <c r="S1677" s="15"/>
      <c r="T1677" s="15"/>
      <c r="U1677" s="15"/>
      <c r="V1677" s="15"/>
      <c r="W1677" s="15"/>
      <c r="X1677" s="15"/>
    </row>
    <row r="1678" ht="15.75" customHeight="1">
      <c r="I1678" s="43"/>
      <c r="Q1678" s="15"/>
      <c r="R1678" s="15"/>
      <c r="S1678" s="15"/>
      <c r="T1678" s="15"/>
      <c r="U1678" s="15"/>
      <c r="V1678" s="15"/>
      <c r="W1678" s="15"/>
      <c r="X1678" s="15"/>
    </row>
    <row r="1679" ht="15.75" customHeight="1">
      <c r="I1679" s="43"/>
      <c r="Q1679" s="15"/>
      <c r="R1679" s="15"/>
      <c r="S1679" s="15"/>
      <c r="T1679" s="15"/>
      <c r="U1679" s="15"/>
      <c r="V1679" s="15"/>
      <c r="W1679" s="15"/>
      <c r="X1679" s="15"/>
    </row>
    <row r="1680" ht="15.75" customHeight="1">
      <c r="I1680" s="43"/>
      <c r="Q1680" s="15"/>
      <c r="R1680" s="15"/>
      <c r="S1680" s="15"/>
      <c r="T1680" s="15"/>
      <c r="U1680" s="15"/>
      <c r="V1680" s="15"/>
      <c r="W1680" s="15"/>
      <c r="X1680" s="15"/>
    </row>
    <row r="1681" ht="15.75" customHeight="1">
      <c r="I1681" s="43"/>
      <c r="Q1681" s="15"/>
      <c r="R1681" s="15"/>
      <c r="S1681" s="15"/>
      <c r="T1681" s="15"/>
      <c r="U1681" s="15"/>
      <c r="V1681" s="15"/>
      <c r="W1681" s="15"/>
      <c r="X1681" s="15"/>
    </row>
    <row r="1682" ht="15.75" customHeight="1">
      <c r="I1682" s="43"/>
      <c r="Q1682" s="15"/>
      <c r="R1682" s="15"/>
      <c r="S1682" s="15"/>
      <c r="T1682" s="15"/>
      <c r="U1682" s="15"/>
      <c r="V1682" s="15"/>
      <c r="W1682" s="15"/>
      <c r="X1682" s="15"/>
    </row>
    <row r="1683" ht="15.75" customHeight="1">
      <c r="I1683" s="43"/>
      <c r="Q1683" s="15"/>
      <c r="R1683" s="15"/>
      <c r="S1683" s="15"/>
      <c r="T1683" s="15"/>
      <c r="U1683" s="15"/>
      <c r="V1683" s="15"/>
      <c r="W1683" s="15"/>
      <c r="X1683" s="15"/>
    </row>
    <row r="1684" ht="15.75" customHeight="1">
      <c r="I1684" s="43"/>
      <c r="Q1684" s="15"/>
      <c r="R1684" s="15"/>
      <c r="S1684" s="15"/>
      <c r="T1684" s="15"/>
      <c r="U1684" s="15"/>
      <c r="V1684" s="15"/>
      <c r="W1684" s="15"/>
      <c r="X1684" s="15"/>
    </row>
    <row r="1685" ht="15.75" customHeight="1">
      <c r="I1685" s="43"/>
      <c r="Q1685" s="15"/>
      <c r="R1685" s="15"/>
      <c r="S1685" s="15"/>
      <c r="T1685" s="15"/>
      <c r="U1685" s="15"/>
      <c r="V1685" s="15"/>
      <c r="W1685" s="15"/>
      <c r="X1685" s="15"/>
    </row>
    <row r="1686" ht="15.75" customHeight="1">
      <c r="I1686" s="43"/>
      <c r="Q1686" s="15"/>
      <c r="R1686" s="15"/>
      <c r="S1686" s="15"/>
      <c r="T1686" s="15"/>
      <c r="U1686" s="15"/>
      <c r="V1686" s="15"/>
      <c r="W1686" s="15"/>
      <c r="X1686" s="15"/>
    </row>
    <row r="1687" ht="15.75" customHeight="1">
      <c r="I1687" s="43"/>
      <c r="Q1687" s="15"/>
      <c r="R1687" s="15"/>
      <c r="S1687" s="15"/>
      <c r="T1687" s="15"/>
      <c r="U1687" s="15"/>
      <c r="V1687" s="15"/>
      <c r="W1687" s="15"/>
      <c r="X1687" s="15"/>
    </row>
    <row r="1688" ht="15.75" customHeight="1">
      <c r="I1688" s="43"/>
      <c r="Q1688" s="15"/>
      <c r="R1688" s="15"/>
      <c r="S1688" s="15"/>
      <c r="T1688" s="15"/>
      <c r="U1688" s="15"/>
      <c r="V1688" s="15"/>
      <c r="W1688" s="15"/>
      <c r="X1688" s="15"/>
    </row>
    <row r="1689" ht="15.75" customHeight="1">
      <c r="I1689" s="43"/>
      <c r="Q1689" s="15"/>
      <c r="R1689" s="15"/>
      <c r="S1689" s="15"/>
      <c r="T1689" s="15"/>
      <c r="U1689" s="15"/>
      <c r="V1689" s="15"/>
      <c r="W1689" s="15"/>
      <c r="X1689" s="15"/>
    </row>
    <row r="1690" ht="15.75" customHeight="1">
      <c r="I1690" s="43"/>
      <c r="Q1690" s="15"/>
      <c r="R1690" s="15"/>
      <c r="S1690" s="15"/>
      <c r="T1690" s="15"/>
      <c r="U1690" s="15"/>
      <c r="V1690" s="15"/>
      <c r="W1690" s="15"/>
      <c r="X1690" s="15"/>
    </row>
    <row r="1691" ht="15.75" customHeight="1">
      <c r="I1691" s="43"/>
      <c r="Q1691" s="15"/>
      <c r="R1691" s="15"/>
      <c r="S1691" s="15"/>
      <c r="T1691" s="15"/>
      <c r="U1691" s="15"/>
      <c r="V1691" s="15"/>
      <c r="W1691" s="15"/>
      <c r="X1691" s="15"/>
    </row>
    <row r="1692" ht="15.75" customHeight="1">
      <c r="I1692" s="43"/>
      <c r="Q1692" s="15"/>
      <c r="R1692" s="15"/>
      <c r="S1692" s="15"/>
      <c r="T1692" s="15"/>
      <c r="U1692" s="15"/>
      <c r="V1692" s="15"/>
      <c r="W1692" s="15"/>
      <c r="X1692" s="15"/>
    </row>
    <row r="1693" ht="15.75" customHeight="1">
      <c r="I1693" s="43"/>
      <c r="Q1693" s="15"/>
      <c r="R1693" s="15"/>
      <c r="S1693" s="15"/>
      <c r="T1693" s="15"/>
      <c r="U1693" s="15"/>
      <c r="V1693" s="15"/>
      <c r="W1693" s="15"/>
      <c r="X1693" s="15"/>
    </row>
    <row r="1694" ht="15.75" customHeight="1">
      <c r="I1694" s="43"/>
      <c r="Q1694" s="15"/>
      <c r="R1694" s="15"/>
      <c r="S1694" s="15"/>
      <c r="T1694" s="15"/>
      <c r="U1694" s="15"/>
      <c r="V1694" s="15"/>
      <c r="W1694" s="15"/>
      <c r="X1694" s="15"/>
    </row>
    <row r="1695" ht="15.75" customHeight="1">
      <c r="I1695" s="43"/>
      <c r="Q1695" s="15"/>
      <c r="R1695" s="15"/>
      <c r="S1695" s="15"/>
      <c r="T1695" s="15"/>
      <c r="U1695" s="15"/>
      <c r="V1695" s="15"/>
      <c r="W1695" s="15"/>
      <c r="X1695" s="15"/>
    </row>
    <row r="1696" ht="15.75" customHeight="1">
      <c r="I1696" s="43"/>
      <c r="Q1696" s="15"/>
      <c r="R1696" s="15"/>
      <c r="S1696" s="15"/>
      <c r="T1696" s="15"/>
      <c r="U1696" s="15"/>
      <c r="V1696" s="15"/>
      <c r="W1696" s="15"/>
      <c r="X1696" s="15"/>
    </row>
    <row r="1697" ht="15.75" customHeight="1">
      <c r="I1697" s="43"/>
      <c r="Q1697" s="15"/>
      <c r="R1697" s="15"/>
      <c r="S1697" s="15"/>
      <c r="T1697" s="15"/>
      <c r="U1697" s="15"/>
      <c r="V1697" s="15"/>
      <c r="W1697" s="15"/>
      <c r="X1697" s="15"/>
    </row>
    <row r="1698" ht="15.75" customHeight="1">
      <c r="I1698" s="43"/>
      <c r="Q1698" s="15"/>
      <c r="R1698" s="15"/>
      <c r="S1698" s="15"/>
      <c r="T1698" s="15"/>
      <c r="U1698" s="15"/>
      <c r="V1698" s="15"/>
      <c r="W1698" s="15"/>
      <c r="X1698" s="15"/>
    </row>
    <row r="1699" ht="15.75" customHeight="1">
      <c r="I1699" s="43"/>
      <c r="Q1699" s="15"/>
      <c r="R1699" s="15"/>
      <c r="S1699" s="15"/>
      <c r="T1699" s="15"/>
      <c r="U1699" s="15"/>
      <c r="V1699" s="15"/>
      <c r="W1699" s="15"/>
      <c r="X1699" s="15"/>
    </row>
    <row r="1700" ht="15.75" customHeight="1">
      <c r="I1700" s="43"/>
      <c r="Q1700" s="15"/>
      <c r="R1700" s="15"/>
      <c r="S1700" s="15"/>
      <c r="T1700" s="15"/>
      <c r="U1700" s="15"/>
      <c r="V1700" s="15"/>
      <c r="W1700" s="15"/>
      <c r="X1700" s="15"/>
    </row>
    <row r="1701" ht="15.75" customHeight="1">
      <c r="I1701" s="43"/>
      <c r="Q1701" s="15"/>
      <c r="R1701" s="15"/>
      <c r="S1701" s="15"/>
      <c r="T1701" s="15"/>
      <c r="U1701" s="15"/>
      <c r="V1701" s="15"/>
      <c r="W1701" s="15"/>
      <c r="X1701" s="15"/>
    </row>
    <row r="1702" ht="15.75" customHeight="1">
      <c r="I1702" s="43"/>
      <c r="Q1702" s="15"/>
      <c r="R1702" s="15"/>
      <c r="S1702" s="15"/>
      <c r="T1702" s="15"/>
      <c r="U1702" s="15"/>
      <c r="V1702" s="15"/>
      <c r="W1702" s="15"/>
      <c r="X1702" s="15"/>
    </row>
    <row r="1703" ht="15.75" customHeight="1">
      <c r="I1703" s="43"/>
      <c r="Q1703" s="15"/>
      <c r="R1703" s="15"/>
      <c r="S1703" s="15"/>
      <c r="T1703" s="15"/>
      <c r="U1703" s="15"/>
      <c r="V1703" s="15"/>
      <c r="W1703" s="15"/>
      <c r="X1703" s="15"/>
    </row>
    <row r="1704" ht="15.75" customHeight="1">
      <c r="I1704" s="43"/>
      <c r="Q1704" s="15"/>
      <c r="R1704" s="15"/>
      <c r="S1704" s="15"/>
      <c r="T1704" s="15"/>
      <c r="U1704" s="15"/>
      <c r="V1704" s="15"/>
      <c r="W1704" s="15"/>
      <c r="X1704" s="15"/>
    </row>
    <row r="1705" ht="15.75" customHeight="1">
      <c r="I1705" s="43"/>
      <c r="Q1705" s="15"/>
      <c r="R1705" s="15"/>
      <c r="S1705" s="15"/>
      <c r="T1705" s="15"/>
      <c r="U1705" s="15"/>
      <c r="V1705" s="15"/>
      <c r="W1705" s="15"/>
      <c r="X1705" s="15"/>
    </row>
    <row r="1706" ht="15.75" customHeight="1">
      <c r="I1706" s="43"/>
      <c r="Q1706" s="15"/>
      <c r="R1706" s="15"/>
      <c r="S1706" s="15"/>
      <c r="T1706" s="15"/>
      <c r="U1706" s="15"/>
      <c r="V1706" s="15"/>
      <c r="W1706" s="15"/>
      <c r="X1706" s="15"/>
    </row>
    <row r="1707" ht="15.75" customHeight="1">
      <c r="I1707" s="43"/>
      <c r="Q1707" s="15"/>
      <c r="R1707" s="15"/>
      <c r="S1707" s="15"/>
      <c r="T1707" s="15"/>
      <c r="U1707" s="15"/>
      <c r="V1707" s="15"/>
      <c r="W1707" s="15"/>
      <c r="X1707" s="15"/>
    </row>
    <row r="1708" ht="15.75" customHeight="1">
      <c r="I1708" s="43"/>
      <c r="Q1708" s="15"/>
      <c r="R1708" s="15"/>
      <c r="S1708" s="15"/>
      <c r="T1708" s="15"/>
      <c r="U1708" s="15"/>
      <c r="V1708" s="15"/>
      <c r="W1708" s="15"/>
      <c r="X1708" s="15"/>
    </row>
    <row r="1709" ht="15.75" customHeight="1">
      <c r="I1709" s="43"/>
      <c r="Q1709" s="15"/>
      <c r="R1709" s="15"/>
      <c r="S1709" s="15"/>
      <c r="T1709" s="15"/>
      <c r="U1709" s="15"/>
      <c r="V1709" s="15"/>
      <c r="W1709" s="15"/>
      <c r="X1709" s="15"/>
    </row>
    <row r="1710" ht="15.75" customHeight="1">
      <c r="I1710" s="43"/>
      <c r="Q1710" s="15"/>
      <c r="R1710" s="15"/>
      <c r="S1710" s="15"/>
      <c r="T1710" s="15"/>
      <c r="U1710" s="15"/>
      <c r="V1710" s="15"/>
      <c r="W1710" s="15"/>
      <c r="X1710" s="15"/>
    </row>
    <row r="1711" ht="15.75" customHeight="1">
      <c r="I1711" s="43"/>
      <c r="Q1711" s="15"/>
      <c r="R1711" s="15"/>
      <c r="S1711" s="15"/>
      <c r="T1711" s="15"/>
      <c r="U1711" s="15"/>
      <c r="V1711" s="15"/>
      <c r="W1711" s="15"/>
      <c r="X1711" s="15"/>
    </row>
    <row r="1712" ht="15.75" customHeight="1">
      <c r="I1712" s="43"/>
      <c r="Q1712" s="15"/>
      <c r="R1712" s="15"/>
      <c r="S1712" s="15"/>
      <c r="T1712" s="15"/>
      <c r="U1712" s="15"/>
      <c r="V1712" s="15"/>
      <c r="W1712" s="15"/>
      <c r="X1712" s="15"/>
    </row>
    <row r="1713" ht="15.75" customHeight="1">
      <c r="I1713" s="43"/>
      <c r="Q1713" s="15"/>
      <c r="R1713" s="15"/>
      <c r="S1713" s="15"/>
      <c r="T1713" s="15"/>
      <c r="U1713" s="15"/>
      <c r="V1713" s="15"/>
      <c r="W1713" s="15"/>
      <c r="X1713" s="15"/>
    </row>
    <row r="1714" ht="15.75" customHeight="1">
      <c r="I1714" s="43"/>
      <c r="Q1714" s="15"/>
      <c r="R1714" s="15"/>
      <c r="S1714" s="15"/>
      <c r="T1714" s="15"/>
      <c r="U1714" s="15"/>
      <c r="V1714" s="15"/>
      <c r="W1714" s="15"/>
      <c r="X1714" s="15"/>
    </row>
    <row r="1715" ht="15.75" customHeight="1">
      <c r="I1715" s="43"/>
      <c r="Q1715" s="15"/>
      <c r="R1715" s="15"/>
      <c r="S1715" s="15"/>
      <c r="T1715" s="15"/>
      <c r="U1715" s="15"/>
      <c r="V1715" s="15"/>
      <c r="W1715" s="15"/>
      <c r="X1715" s="15"/>
    </row>
    <row r="1716" ht="15.75" customHeight="1">
      <c r="I1716" s="43"/>
      <c r="Q1716" s="15"/>
      <c r="R1716" s="15"/>
      <c r="S1716" s="15"/>
      <c r="T1716" s="15"/>
      <c r="U1716" s="15"/>
      <c r="V1716" s="15"/>
      <c r="W1716" s="15"/>
      <c r="X1716" s="15"/>
    </row>
    <row r="1717" ht="15.75" customHeight="1">
      <c r="I1717" s="43"/>
      <c r="Q1717" s="15"/>
      <c r="R1717" s="15"/>
      <c r="S1717" s="15"/>
      <c r="T1717" s="15"/>
      <c r="U1717" s="15"/>
      <c r="V1717" s="15"/>
      <c r="W1717" s="15"/>
      <c r="X1717" s="15"/>
    </row>
    <row r="1718" ht="15.75" customHeight="1">
      <c r="I1718" s="43"/>
      <c r="Q1718" s="15"/>
      <c r="R1718" s="15"/>
      <c r="S1718" s="15"/>
      <c r="T1718" s="15"/>
      <c r="U1718" s="15"/>
      <c r="V1718" s="15"/>
      <c r="W1718" s="15"/>
      <c r="X1718" s="15"/>
    </row>
    <row r="1719" ht="15.75" customHeight="1">
      <c r="I1719" s="43"/>
      <c r="Q1719" s="15"/>
      <c r="R1719" s="15"/>
      <c r="S1719" s="15"/>
      <c r="T1719" s="15"/>
      <c r="U1719" s="15"/>
      <c r="V1719" s="15"/>
      <c r="W1719" s="15"/>
      <c r="X1719" s="15"/>
    </row>
    <row r="1720" ht="15.75" customHeight="1">
      <c r="I1720" s="43"/>
      <c r="Q1720" s="15"/>
      <c r="R1720" s="15"/>
      <c r="S1720" s="15"/>
      <c r="T1720" s="15"/>
      <c r="U1720" s="15"/>
      <c r="V1720" s="15"/>
      <c r="W1720" s="15"/>
      <c r="X1720" s="15"/>
    </row>
    <row r="1721" ht="15.75" customHeight="1">
      <c r="I1721" s="43"/>
      <c r="Q1721" s="15"/>
      <c r="R1721" s="15"/>
      <c r="S1721" s="15"/>
      <c r="T1721" s="15"/>
      <c r="U1721" s="15"/>
      <c r="V1721" s="15"/>
      <c r="W1721" s="15"/>
      <c r="X1721" s="15"/>
    </row>
    <row r="1722" ht="15.75" customHeight="1">
      <c r="I1722" s="43"/>
      <c r="Q1722" s="15"/>
      <c r="R1722" s="15"/>
      <c r="S1722" s="15"/>
      <c r="T1722" s="15"/>
      <c r="U1722" s="15"/>
      <c r="V1722" s="15"/>
      <c r="W1722" s="15"/>
      <c r="X1722" s="15"/>
    </row>
    <row r="1723" ht="15.75" customHeight="1">
      <c r="I1723" s="43"/>
      <c r="Q1723" s="15"/>
      <c r="R1723" s="15"/>
      <c r="S1723" s="15"/>
      <c r="T1723" s="15"/>
      <c r="U1723" s="15"/>
      <c r="V1723" s="15"/>
      <c r="W1723" s="15"/>
      <c r="X1723" s="15"/>
    </row>
    <row r="1724" ht="15.75" customHeight="1">
      <c r="I1724" s="43"/>
      <c r="Q1724" s="15"/>
      <c r="R1724" s="15"/>
      <c r="S1724" s="15"/>
      <c r="T1724" s="15"/>
      <c r="U1724" s="15"/>
      <c r="V1724" s="15"/>
      <c r="W1724" s="15"/>
      <c r="X1724" s="15"/>
    </row>
    <row r="1725" ht="15.75" customHeight="1">
      <c r="I1725" s="43"/>
      <c r="Q1725" s="15"/>
      <c r="R1725" s="15"/>
      <c r="S1725" s="15"/>
      <c r="T1725" s="15"/>
      <c r="U1725" s="15"/>
      <c r="V1725" s="15"/>
      <c r="W1725" s="15"/>
      <c r="X1725" s="15"/>
    </row>
    <row r="1726" ht="15.75" customHeight="1">
      <c r="I1726" s="43"/>
      <c r="Q1726" s="15"/>
      <c r="R1726" s="15"/>
      <c r="S1726" s="15"/>
      <c r="T1726" s="15"/>
      <c r="U1726" s="15"/>
      <c r="V1726" s="15"/>
      <c r="W1726" s="15"/>
      <c r="X1726" s="15"/>
    </row>
    <row r="1727" ht="15.75" customHeight="1">
      <c r="I1727" s="43"/>
      <c r="Q1727" s="15"/>
      <c r="R1727" s="15"/>
      <c r="S1727" s="15"/>
      <c r="T1727" s="15"/>
      <c r="U1727" s="15"/>
      <c r="V1727" s="15"/>
      <c r="W1727" s="15"/>
      <c r="X1727" s="15"/>
    </row>
    <row r="1728" ht="15.75" customHeight="1">
      <c r="I1728" s="43"/>
      <c r="Q1728" s="15"/>
      <c r="R1728" s="15"/>
      <c r="S1728" s="15"/>
      <c r="T1728" s="15"/>
      <c r="U1728" s="15"/>
      <c r="V1728" s="15"/>
      <c r="W1728" s="15"/>
      <c r="X1728" s="15"/>
    </row>
    <row r="1729" ht="15.75" customHeight="1">
      <c r="I1729" s="43"/>
      <c r="Q1729" s="15"/>
      <c r="R1729" s="15"/>
      <c r="S1729" s="15"/>
      <c r="T1729" s="15"/>
      <c r="U1729" s="15"/>
      <c r="V1729" s="15"/>
      <c r="W1729" s="15"/>
      <c r="X1729" s="15"/>
    </row>
    <row r="1730" ht="15.75" customHeight="1">
      <c r="I1730" s="43"/>
      <c r="Q1730" s="15"/>
      <c r="R1730" s="15"/>
      <c r="S1730" s="15"/>
      <c r="T1730" s="15"/>
      <c r="U1730" s="15"/>
      <c r="V1730" s="15"/>
      <c r="W1730" s="15"/>
      <c r="X1730" s="15"/>
    </row>
    <row r="1731" ht="15.75" customHeight="1">
      <c r="I1731" s="43"/>
      <c r="Q1731" s="15"/>
      <c r="R1731" s="15"/>
      <c r="S1731" s="15"/>
      <c r="T1731" s="15"/>
      <c r="U1731" s="15"/>
      <c r="V1731" s="15"/>
      <c r="W1731" s="15"/>
      <c r="X1731" s="15"/>
    </row>
    <row r="1732" ht="15.75" customHeight="1">
      <c r="I1732" s="43"/>
      <c r="Q1732" s="15"/>
      <c r="R1732" s="15"/>
      <c r="S1732" s="15"/>
      <c r="T1732" s="15"/>
      <c r="U1732" s="15"/>
      <c r="V1732" s="15"/>
      <c r="W1732" s="15"/>
      <c r="X1732" s="15"/>
    </row>
    <row r="1733" ht="15.75" customHeight="1">
      <c r="I1733" s="43"/>
      <c r="Q1733" s="15"/>
      <c r="R1733" s="15"/>
      <c r="S1733" s="15"/>
      <c r="T1733" s="15"/>
      <c r="U1733" s="15"/>
      <c r="V1733" s="15"/>
      <c r="W1733" s="15"/>
      <c r="X1733" s="15"/>
    </row>
    <row r="1734" ht="15.75" customHeight="1">
      <c r="I1734" s="43"/>
      <c r="Q1734" s="15"/>
      <c r="R1734" s="15"/>
      <c r="S1734" s="15"/>
      <c r="T1734" s="15"/>
      <c r="U1734" s="15"/>
      <c r="V1734" s="15"/>
      <c r="W1734" s="15"/>
      <c r="X1734" s="15"/>
    </row>
    <row r="1735" ht="15.75" customHeight="1">
      <c r="I1735" s="43"/>
      <c r="Q1735" s="15"/>
      <c r="R1735" s="15"/>
      <c r="S1735" s="15"/>
      <c r="T1735" s="15"/>
      <c r="U1735" s="15"/>
      <c r="V1735" s="15"/>
      <c r="W1735" s="15"/>
      <c r="X1735" s="15"/>
    </row>
    <row r="1736" ht="15.75" customHeight="1">
      <c r="I1736" s="43"/>
      <c r="Q1736" s="15"/>
      <c r="R1736" s="15"/>
      <c r="S1736" s="15"/>
      <c r="T1736" s="15"/>
      <c r="U1736" s="15"/>
      <c r="V1736" s="15"/>
      <c r="W1736" s="15"/>
      <c r="X1736" s="15"/>
    </row>
    <row r="1737" ht="15.75" customHeight="1">
      <c r="I1737" s="43"/>
      <c r="Q1737" s="15"/>
      <c r="R1737" s="15"/>
      <c r="S1737" s="15"/>
      <c r="T1737" s="15"/>
      <c r="U1737" s="15"/>
      <c r="V1737" s="15"/>
      <c r="W1737" s="15"/>
      <c r="X1737" s="15"/>
    </row>
    <row r="1738" ht="15.75" customHeight="1">
      <c r="I1738" s="43"/>
      <c r="Q1738" s="15"/>
      <c r="R1738" s="15"/>
      <c r="S1738" s="15"/>
      <c r="T1738" s="15"/>
      <c r="U1738" s="15"/>
      <c r="V1738" s="15"/>
      <c r="W1738" s="15"/>
      <c r="X1738" s="15"/>
    </row>
    <row r="1739" ht="15.75" customHeight="1">
      <c r="I1739" s="43"/>
      <c r="Q1739" s="15"/>
      <c r="R1739" s="15"/>
      <c r="S1739" s="15"/>
      <c r="T1739" s="15"/>
      <c r="U1739" s="15"/>
      <c r="V1739" s="15"/>
      <c r="W1739" s="15"/>
      <c r="X1739" s="15"/>
    </row>
    <row r="1740" ht="15.75" customHeight="1">
      <c r="I1740" s="43"/>
      <c r="Q1740" s="15"/>
      <c r="R1740" s="15"/>
      <c r="S1740" s="15"/>
      <c r="T1740" s="15"/>
      <c r="U1740" s="15"/>
      <c r="V1740" s="15"/>
      <c r="W1740" s="15"/>
      <c r="X1740" s="15"/>
    </row>
    <row r="1741" ht="15.75" customHeight="1">
      <c r="I1741" s="43"/>
      <c r="Q1741" s="15"/>
      <c r="R1741" s="15"/>
      <c r="S1741" s="15"/>
      <c r="T1741" s="15"/>
      <c r="U1741" s="15"/>
      <c r="V1741" s="15"/>
      <c r="W1741" s="15"/>
      <c r="X1741" s="15"/>
    </row>
    <row r="1742" ht="15.75" customHeight="1">
      <c r="I1742" s="43"/>
      <c r="Q1742" s="15"/>
      <c r="R1742" s="15"/>
      <c r="S1742" s="15"/>
      <c r="T1742" s="15"/>
      <c r="U1742" s="15"/>
      <c r="V1742" s="15"/>
      <c r="W1742" s="15"/>
      <c r="X1742" s="15"/>
    </row>
    <row r="1743" ht="15.75" customHeight="1">
      <c r="I1743" s="43"/>
      <c r="Q1743" s="15"/>
      <c r="R1743" s="15"/>
      <c r="S1743" s="15"/>
      <c r="T1743" s="15"/>
      <c r="U1743" s="15"/>
      <c r="V1743" s="15"/>
      <c r="W1743" s="15"/>
      <c r="X1743" s="15"/>
    </row>
    <row r="1744" ht="15.75" customHeight="1">
      <c r="I1744" s="43"/>
      <c r="Q1744" s="15"/>
      <c r="R1744" s="15"/>
      <c r="S1744" s="15"/>
      <c r="T1744" s="15"/>
      <c r="U1744" s="15"/>
      <c r="V1744" s="15"/>
      <c r="W1744" s="15"/>
      <c r="X1744" s="15"/>
    </row>
    <row r="1745" ht="15.75" customHeight="1">
      <c r="I1745" s="43"/>
      <c r="Q1745" s="15"/>
      <c r="R1745" s="15"/>
      <c r="S1745" s="15"/>
      <c r="T1745" s="15"/>
      <c r="U1745" s="15"/>
      <c r="V1745" s="15"/>
      <c r="W1745" s="15"/>
      <c r="X1745" s="15"/>
    </row>
    <row r="1746" ht="15.75" customHeight="1">
      <c r="I1746" s="43"/>
      <c r="Q1746" s="15"/>
      <c r="R1746" s="15"/>
      <c r="S1746" s="15"/>
      <c r="T1746" s="15"/>
      <c r="U1746" s="15"/>
      <c r="V1746" s="15"/>
      <c r="W1746" s="15"/>
      <c r="X1746" s="15"/>
    </row>
    <row r="1747" ht="15.75" customHeight="1">
      <c r="I1747" s="43"/>
      <c r="Q1747" s="15"/>
      <c r="R1747" s="15"/>
      <c r="S1747" s="15"/>
      <c r="T1747" s="15"/>
      <c r="U1747" s="15"/>
      <c r="V1747" s="15"/>
      <c r="W1747" s="15"/>
      <c r="X1747" s="15"/>
    </row>
    <row r="1748" ht="15.75" customHeight="1">
      <c r="I1748" s="43"/>
      <c r="Q1748" s="15"/>
      <c r="R1748" s="15"/>
      <c r="S1748" s="15"/>
      <c r="T1748" s="15"/>
      <c r="U1748" s="15"/>
      <c r="V1748" s="15"/>
      <c r="W1748" s="15"/>
      <c r="X1748" s="15"/>
    </row>
    <row r="1749" ht="15.75" customHeight="1">
      <c r="I1749" s="43"/>
      <c r="Q1749" s="15"/>
      <c r="R1749" s="15"/>
      <c r="S1749" s="15"/>
      <c r="T1749" s="15"/>
      <c r="U1749" s="15"/>
      <c r="V1749" s="15"/>
      <c r="W1749" s="15"/>
      <c r="X1749" s="15"/>
    </row>
    <row r="1750" ht="15.75" customHeight="1">
      <c r="I1750" s="43"/>
      <c r="Q1750" s="15"/>
      <c r="R1750" s="15"/>
      <c r="S1750" s="15"/>
      <c r="T1750" s="15"/>
      <c r="U1750" s="15"/>
      <c r="V1750" s="15"/>
      <c r="W1750" s="15"/>
      <c r="X1750" s="15"/>
    </row>
    <row r="1751" ht="15.75" customHeight="1">
      <c r="I1751" s="43"/>
      <c r="Q1751" s="15"/>
      <c r="R1751" s="15"/>
      <c r="S1751" s="15"/>
      <c r="T1751" s="15"/>
      <c r="U1751" s="15"/>
      <c r="V1751" s="15"/>
      <c r="W1751" s="15"/>
      <c r="X1751" s="15"/>
    </row>
    <row r="1752" ht="15.75" customHeight="1">
      <c r="I1752" s="43"/>
      <c r="Q1752" s="15"/>
      <c r="R1752" s="15"/>
      <c r="S1752" s="15"/>
      <c r="T1752" s="15"/>
      <c r="U1752" s="15"/>
      <c r="V1752" s="15"/>
      <c r="W1752" s="15"/>
      <c r="X1752" s="15"/>
    </row>
    <row r="1753" ht="15.75" customHeight="1">
      <c r="I1753" s="43"/>
      <c r="Q1753" s="15"/>
      <c r="R1753" s="15"/>
      <c r="S1753" s="15"/>
      <c r="T1753" s="15"/>
      <c r="U1753" s="15"/>
      <c r="V1753" s="15"/>
      <c r="W1753" s="15"/>
      <c r="X1753" s="15"/>
    </row>
    <row r="1754" ht="15.75" customHeight="1">
      <c r="I1754" s="43"/>
      <c r="Q1754" s="15"/>
      <c r="R1754" s="15"/>
      <c r="S1754" s="15"/>
      <c r="T1754" s="15"/>
      <c r="U1754" s="15"/>
      <c r="V1754" s="15"/>
      <c r="W1754" s="15"/>
      <c r="X1754" s="15"/>
    </row>
    <row r="1755" ht="15.75" customHeight="1">
      <c r="I1755" s="43"/>
      <c r="Q1755" s="15"/>
      <c r="R1755" s="15"/>
      <c r="S1755" s="15"/>
      <c r="T1755" s="15"/>
      <c r="U1755" s="15"/>
      <c r="V1755" s="15"/>
      <c r="W1755" s="15"/>
      <c r="X1755" s="15"/>
    </row>
    <row r="1756" ht="15.75" customHeight="1">
      <c r="I1756" s="43"/>
      <c r="Q1756" s="15"/>
      <c r="R1756" s="15"/>
      <c r="S1756" s="15"/>
      <c r="T1756" s="15"/>
      <c r="U1756" s="15"/>
      <c r="V1756" s="15"/>
      <c r="W1756" s="15"/>
      <c r="X1756" s="15"/>
    </row>
    <row r="1757" ht="15.75" customHeight="1">
      <c r="I1757" s="43"/>
      <c r="Q1757" s="15"/>
      <c r="R1757" s="15"/>
      <c r="S1757" s="15"/>
      <c r="T1757" s="15"/>
      <c r="U1757" s="15"/>
      <c r="V1757" s="15"/>
      <c r="W1757" s="15"/>
      <c r="X1757" s="15"/>
    </row>
    <row r="1758" ht="15.75" customHeight="1">
      <c r="I1758" s="43"/>
      <c r="Q1758" s="15"/>
      <c r="R1758" s="15"/>
      <c r="S1758" s="15"/>
      <c r="T1758" s="15"/>
      <c r="U1758" s="15"/>
      <c r="V1758" s="15"/>
      <c r="W1758" s="15"/>
      <c r="X1758" s="15"/>
    </row>
    <row r="1759" ht="15.75" customHeight="1">
      <c r="I1759" s="43"/>
      <c r="Q1759" s="15"/>
      <c r="R1759" s="15"/>
      <c r="S1759" s="15"/>
      <c r="T1759" s="15"/>
      <c r="U1759" s="15"/>
      <c r="V1759" s="15"/>
      <c r="W1759" s="15"/>
      <c r="X1759" s="15"/>
    </row>
    <row r="1760" ht="15.75" customHeight="1">
      <c r="I1760" s="43"/>
      <c r="Q1760" s="15"/>
      <c r="R1760" s="15"/>
      <c r="S1760" s="15"/>
      <c r="T1760" s="15"/>
      <c r="U1760" s="15"/>
      <c r="V1760" s="15"/>
      <c r="W1760" s="15"/>
      <c r="X1760" s="15"/>
    </row>
    <row r="1761" ht="15.75" customHeight="1">
      <c r="I1761" s="43"/>
      <c r="Q1761" s="15"/>
      <c r="R1761" s="15"/>
      <c r="S1761" s="15"/>
      <c r="T1761" s="15"/>
      <c r="U1761" s="15"/>
      <c r="V1761" s="15"/>
      <c r="W1761" s="15"/>
      <c r="X1761" s="15"/>
    </row>
    <row r="1762" ht="15.75" customHeight="1">
      <c r="I1762" s="43"/>
      <c r="Q1762" s="15"/>
      <c r="R1762" s="15"/>
      <c r="S1762" s="15"/>
      <c r="T1762" s="15"/>
      <c r="U1762" s="15"/>
      <c r="V1762" s="15"/>
      <c r="W1762" s="15"/>
      <c r="X1762" s="15"/>
    </row>
    <row r="1763" ht="15.75" customHeight="1">
      <c r="I1763" s="43"/>
      <c r="Q1763" s="15"/>
      <c r="R1763" s="15"/>
      <c r="S1763" s="15"/>
      <c r="T1763" s="15"/>
      <c r="U1763" s="15"/>
      <c r="V1763" s="15"/>
      <c r="W1763" s="15"/>
      <c r="X1763" s="15"/>
    </row>
    <row r="1764" ht="15.75" customHeight="1">
      <c r="I1764" s="43"/>
      <c r="Q1764" s="15"/>
      <c r="R1764" s="15"/>
      <c r="S1764" s="15"/>
      <c r="T1764" s="15"/>
      <c r="U1764" s="15"/>
      <c r="V1764" s="15"/>
      <c r="W1764" s="15"/>
      <c r="X1764" s="15"/>
    </row>
    <row r="1765" ht="15.75" customHeight="1">
      <c r="I1765" s="43"/>
      <c r="Q1765" s="15"/>
      <c r="R1765" s="15"/>
      <c r="S1765" s="15"/>
      <c r="T1765" s="15"/>
      <c r="U1765" s="15"/>
      <c r="V1765" s="15"/>
      <c r="W1765" s="15"/>
      <c r="X1765" s="15"/>
    </row>
    <row r="1766" ht="15.75" customHeight="1">
      <c r="I1766" s="43"/>
      <c r="Q1766" s="15"/>
      <c r="R1766" s="15"/>
      <c r="S1766" s="15"/>
      <c r="T1766" s="15"/>
      <c r="U1766" s="15"/>
      <c r="V1766" s="15"/>
      <c r="W1766" s="15"/>
      <c r="X1766" s="15"/>
    </row>
    <row r="1767" ht="15.75" customHeight="1">
      <c r="I1767" s="43"/>
      <c r="Q1767" s="15"/>
      <c r="R1767" s="15"/>
      <c r="S1767" s="15"/>
      <c r="T1767" s="15"/>
      <c r="U1767" s="15"/>
      <c r="V1767" s="15"/>
      <c r="W1767" s="15"/>
      <c r="X1767" s="15"/>
    </row>
    <row r="1768" ht="15.75" customHeight="1">
      <c r="I1768" s="43"/>
      <c r="Q1768" s="15"/>
      <c r="R1768" s="15"/>
      <c r="S1768" s="15"/>
      <c r="T1768" s="15"/>
      <c r="U1768" s="15"/>
      <c r="V1768" s="15"/>
      <c r="W1768" s="15"/>
      <c r="X1768" s="15"/>
    </row>
    <row r="1769" ht="15.75" customHeight="1">
      <c r="I1769" s="43"/>
      <c r="Q1769" s="15"/>
      <c r="R1769" s="15"/>
      <c r="S1769" s="15"/>
      <c r="T1769" s="15"/>
      <c r="U1769" s="15"/>
      <c r="V1769" s="15"/>
      <c r="W1769" s="15"/>
      <c r="X1769" s="15"/>
    </row>
    <row r="1770" ht="15.75" customHeight="1">
      <c r="I1770" s="43"/>
      <c r="Q1770" s="15"/>
      <c r="R1770" s="15"/>
      <c r="S1770" s="15"/>
      <c r="T1770" s="15"/>
      <c r="U1770" s="15"/>
      <c r="V1770" s="15"/>
      <c r="W1770" s="15"/>
      <c r="X1770" s="15"/>
    </row>
    <row r="1771" ht="15.75" customHeight="1">
      <c r="I1771" s="43"/>
      <c r="Q1771" s="15"/>
      <c r="R1771" s="15"/>
      <c r="S1771" s="15"/>
      <c r="T1771" s="15"/>
      <c r="U1771" s="15"/>
      <c r="V1771" s="15"/>
      <c r="W1771" s="15"/>
      <c r="X1771" s="15"/>
    </row>
    <row r="1772" ht="15.75" customHeight="1">
      <c r="I1772" s="43"/>
      <c r="Q1772" s="15"/>
      <c r="R1772" s="15"/>
      <c r="S1772" s="15"/>
      <c r="T1772" s="15"/>
      <c r="U1772" s="15"/>
      <c r="V1772" s="15"/>
      <c r="W1772" s="15"/>
      <c r="X1772" s="15"/>
    </row>
    <row r="1773" ht="15.75" customHeight="1">
      <c r="I1773" s="43"/>
      <c r="Q1773" s="15"/>
      <c r="R1773" s="15"/>
      <c r="S1773" s="15"/>
      <c r="T1773" s="15"/>
      <c r="U1773" s="15"/>
      <c r="V1773" s="15"/>
      <c r="W1773" s="15"/>
      <c r="X1773" s="15"/>
    </row>
    <row r="1774" ht="15.75" customHeight="1">
      <c r="I1774" s="43"/>
      <c r="Q1774" s="15"/>
      <c r="R1774" s="15"/>
      <c r="S1774" s="15"/>
      <c r="T1774" s="15"/>
      <c r="U1774" s="15"/>
      <c r="V1774" s="15"/>
      <c r="W1774" s="15"/>
      <c r="X1774" s="15"/>
    </row>
    <row r="1775" ht="15.75" customHeight="1">
      <c r="I1775" s="43"/>
      <c r="Q1775" s="15"/>
      <c r="R1775" s="15"/>
      <c r="S1775" s="15"/>
      <c r="T1775" s="15"/>
      <c r="U1775" s="15"/>
      <c r="V1775" s="15"/>
      <c r="W1775" s="15"/>
      <c r="X1775" s="15"/>
    </row>
    <row r="1776" ht="15.75" customHeight="1">
      <c r="I1776" s="43"/>
      <c r="Q1776" s="15"/>
      <c r="R1776" s="15"/>
      <c r="S1776" s="15"/>
      <c r="T1776" s="15"/>
      <c r="U1776" s="15"/>
      <c r="V1776" s="15"/>
      <c r="W1776" s="15"/>
      <c r="X1776" s="15"/>
    </row>
    <row r="1777" ht="15.75" customHeight="1">
      <c r="I1777" s="43"/>
      <c r="Q1777" s="15"/>
      <c r="R1777" s="15"/>
      <c r="S1777" s="15"/>
      <c r="T1777" s="15"/>
      <c r="U1777" s="15"/>
      <c r="V1777" s="15"/>
      <c r="W1777" s="15"/>
      <c r="X1777" s="15"/>
    </row>
    <row r="1778" ht="15.75" customHeight="1">
      <c r="I1778" s="43"/>
      <c r="Q1778" s="15"/>
      <c r="R1778" s="15"/>
      <c r="S1778" s="15"/>
      <c r="T1778" s="15"/>
      <c r="U1778" s="15"/>
      <c r="V1778" s="15"/>
      <c r="W1778" s="15"/>
      <c r="X1778" s="15"/>
    </row>
    <row r="1779" ht="15.75" customHeight="1">
      <c r="I1779" s="43"/>
      <c r="Q1779" s="15"/>
      <c r="R1779" s="15"/>
      <c r="S1779" s="15"/>
      <c r="T1779" s="15"/>
      <c r="U1779" s="15"/>
      <c r="V1779" s="15"/>
      <c r="W1779" s="15"/>
      <c r="X1779" s="15"/>
    </row>
    <row r="1780" ht="15.75" customHeight="1">
      <c r="I1780" s="43"/>
      <c r="Q1780" s="15"/>
      <c r="R1780" s="15"/>
      <c r="S1780" s="15"/>
      <c r="T1780" s="15"/>
      <c r="U1780" s="15"/>
      <c r="V1780" s="15"/>
      <c r="W1780" s="15"/>
      <c r="X1780" s="15"/>
    </row>
    <row r="1781" ht="15.75" customHeight="1">
      <c r="I1781" s="43"/>
      <c r="Q1781" s="15"/>
      <c r="R1781" s="15"/>
      <c r="S1781" s="15"/>
      <c r="T1781" s="15"/>
      <c r="U1781" s="15"/>
      <c r="V1781" s="15"/>
      <c r="W1781" s="15"/>
      <c r="X1781" s="15"/>
    </row>
    <row r="1782" ht="15.75" customHeight="1">
      <c r="I1782" s="43"/>
      <c r="Q1782" s="15"/>
      <c r="R1782" s="15"/>
      <c r="S1782" s="15"/>
      <c r="T1782" s="15"/>
      <c r="U1782" s="15"/>
      <c r="V1782" s="15"/>
      <c r="W1782" s="15"/>
      <c r="X1782" s="15"/>
    </row>
    <row r="1783" ht="15.75" customHeight="1">
      <c r="I1783" s="43"/>
      <c r="Q1783" s="15"/>
      <c r="R1783" s="15"/>
      <c r="S1783" s="15"/>
      <c r="T1783" s="15"/>
      <c r="U1783" s="15"/>
      <c r="V1783" s="15"/>
      <c r="W1783" s="15"/>
      <c r="X1783" s="15"/>
    </row>
    <row r="1784" ht="15.75" customHeight="1">
      <c r="I1784" s="43"/>
      <c r="Q1784" s="15"/>
      <c r="R1784" s="15"/>
      <c r="S1784" s="15"/>
      <c r="T1784" s="15"/>
      <c r="U1784" s="15"/>
      <c r="V1784" s="15"/>
      <c r="W1784" s="15"/>
      <c r="X1784" s="15"/>
    </row>
    <row r="1785" ht="15.75" customHeight="1">
      <c r="I1785" s="43"/>
      <c r="Q1785" s="15"/>
      <c r="R1785" s="15"/>
      <c r="S1785" s="15"/>
      <c r="T1785" s="15"/>
      <c r="U1785" s="15"/>
      <c r="V1785" s="15"/>
      <c r="W1785" s="15"/>
      <c r="X1785" s="15"/>
    </row>
    <row r="1786" ht="15.75" customHeight="1">
      <c r="I1786" s="43"/>
      <c r="Q1786" s="15"/>
      <c r="R1786" s="15"/>
      <c r="S1786" s="15"/>
      <c r="T1786" s="15"/>
      <c r="U1786" s="15"/>
      <c r="V1786" s="15"/>
      <c r="W1786" s="15"/>
      <c r="X1786" s="15"/>
    </row>
    <row r="1787" ht="15.75" customHeight="1">
      <c r="I1787" s="43"/>
      <c r="Q1787" s="15"/>
      <c r="R1787" s="15"/>
      <c r="S1787" s="15"/>
      <c r="T1787" s="15"/>
      <c r="U1787" s="15"/>
      <c r="V1787" s="15"/>
      <c r="W1787" s="15"/>
      <c r="X1787" s="15"/>
    </row>
    <row r="1788" ht="15.75" customHeight="1">
      <c r="I1788" s="43"/>
      <c r="Q1788" s="15"/>
      <c r="R1788" s="15"/>
      <c r="S1788" s="15"/>
      <c r="T1788" s="15"/>
      <c r="U1788" s="15"/>
      <c r="V1788" s="15"/>
      <c r="W1788" s="15"/>
      <c r="X1788" s="15"/>
    </row>
    <row r="1789" ht="15.75" customHeight="1">
      <c r="I1789" s="43"/>
      <c r="Q1789" s="15"/>
      <c r="R1789" s="15"/>
      <c r="S1789" s="15"/>
      <c r="T1789" s="15"/>
      <c r="U1789" s="15"/>
      <c r="V1789" s="15"/>
      <c r="W1789" s="15"/>
      <c r="X1789" s="15"/>
    </row>
    <row r="1790" ht="15.75" customHeight="1">
      <c r="I1790" s="43"/>
      <c r="Q1790" s="15"/>
      <c r="R1790" s="15"/>
      <c r="S1790" s="15"/>
      <c r="T1790" s="15"/>
      <c r="U1790" s="15"/>
      <c r="V1790" s="15"/>
      <c r="W1790" s="15"/>
      <c r="X1790" s="15"/>
    </row>
    <row r="1791" ht="15.75" customHeight="1">
      <c r="I1791" s="43"/>
      <c r="Q1791" s="15"/>
      <c r="R1791" s="15"/>
      <c r="S1791" s="15"/>
      <c r="T1791" s="15"/>
      <c r="U1791" s="15"/>
      <c r="V1791" s="15"/>
      <c r="W1791" s="15"/>
      <c r="X1791" s="15"/>
    </row>
    <row r="1792" ht="15.75" customHeight="1">
      <c r="I1792" s="43"/>
      <c r="Q1792" s="15"/>
      <c r="R1792" s="15"/>
      <c r="S1792" s="15"/>
      <c r="T1792" s="15"/>
      <c r="U1792" s="15"/>
      <c r="V1792" s="15"/>
      <c r="W1792" s="15"/>
      <c r="X1792" s="15"/>
    </row>
    <row r="1793" ht="15.75" customHeight="1">
      <c r="I1793" s="43"/>
      <c r="Q1793" s="15"/>
      <c r="R1793" s="15"/>
      <c r="S1793" s="15"/>
      <c r="T1793" s="15"/>
      <c r="U1793" s="15"/>
      <c r="V1793" s="15"/>
      <c r="W1793" s="15"/>
      <c r="X1793" s="15"/>
    </row>
    <row r="1794" ht="15.75" customHeight="1">
      <c r="I1794" s="43"/>
      <c r="Q1794" s="15"/>
      <c r="R1794" s="15"/>
      <c r="S1794" s="15"/>
      <c r="T1794" s="15"/>
      <c r="U1794" s="15"/>
      <c r="V1794" s="15"/>
      <c r="W1794" s="15"/>
      <c r="X1794" s="15"/>
    </row>
    <row r="1795" ht="15.75" customHeight="1">
      <c r="I1795" s="43"/>
      <c r="Q1795" s="15"/>
      <c r="R1795" s="15"/>
      <c r="S1795" s="15"/>
      <c r="T1795" s="15"/>
      <c r="U1795" s="15"/>
      <c r="V1795" s="15"/>
      <c r="W1795" s="15"/>
      <c r="X1795" s="15"/>
    </row>
    <row r="1796" ht="15.75" customHeight="1">
      <c r="I1796" s="43"/>
      <c r="Q1796" s="15"/>
      <c r="R1796" s="15"/>
      <c r="S1796" s="15"/>
      <c r="T1796" s="15"/>
      <c r="U1796" s="15"/>
      <c r="V1796" s="15"/>
      <c r="W1796" s="15"/>
      <c r="X1796" s="15"/>
    </row>
    <row r="1797" ht="15.75" customHeight="1">
      <c r="I1797" s="43"/>
      <c r="Q1797" s="15"/>
      <c r="R1797" s="15"/>
      <c r="S1797" s="15"/>
      <c r="T1797" s="15"/>
      <c r="U1797" s="15"/>
      <c r="V1797" s="15"/>
      <c r="W1797" s="15"/>
      <c r="X1797" s="15"/>
    </row>
    <row r="1798" ht="15.75" customHeight="1">
      <c r="I1798" s="43"/>
      <c r="Q1798" s="15"/>
      <c r="R1798" s="15"/>
      <c r="S1798" s="15"/>
      <c r="T1798" s="15"/>
      <c r="U1798" s="15"/>
      <c r="V1798" s="15"/>
      <c r="W1798" s="15"/>
      <c r="X1798" s="15"/>
    </row>
    <row r="1799" ht="15.75" customHeight="1">
      <c r="I1799" s="43"/>
      <c r="Q1799" s="15"/>
      <c r="R1799" s="15"/>
      <c r="S1799" s="15"/>
      <c r="T1799" s="15"/>
      <c r="U1799" s="15"/>
      <c r="V1799" s="15"/>
      <c r="W1799" s="15"/>
      <c r="X1799" s="15"/>
    </row>
    <row r="1800" ht="15.75" customHeight="1">
      <c r="I1800" s="43"/>
      <c r="Q1800" s="15"/>
      <c r="R1800" s="15"/>
      <c r="S1800" s="15"/>
      <c r="T1800" s="15"/>
      <c r="U1800" s="15"/>
      <c r="V1800" s="15"/>
      <c r="W1800" s="15"/>
      <c r="X1800" s="15"/>
    </row>
    <row r="1801" ht="15.75" customHeight="1">
      <c r="I1801" s="43"/>
      <c r="Q1801" s="15"/>
      <c r="R1801" s="15"/>
      <c r="S1801" s="15"/>
      <c r="T1801" s="15"/>
      <c r="U1801" s="15"/>
      <c r="V1801" s="15"/>
      <c r="W1801" s="15"/>
      <c r="X1801" s="15"/>
    </row>
    <row r="1802" ht="15.75" customHeight="1">
      <c r="I1802" s="43"/>
      <c r="Q1802" s="15"/>
      <c r="R1802" s="15"/>
      <c r="S1802" s="15"/>
      <c r="T1802" s="15"/>
      <c r="U1802" s="15"/>
      <c r="V1802" s="15"/>
      <c r="W1802" s="15"/>
      <c r="X1802" s="15"/>
    </row>
    <row r="1803" ht="15.75" customHeight="1">
      <c r="I1803" s="43"/>
      <c r="Q1803" s="15"/>
      <c r="R1803" s="15"/>
      <c r="S1803" s="15"/>
      <c r="T1803" s="15"/>
      <c r="U1803" s="15"/>
      <c r="V1803" s="15"/>
      <c r="W1803" s="15"/>
      <c r="X1803" s="15"/>
    </row>
    <row r="1804" ht="15.75" customHeight="1">
      <c r="I1804" s="43"/>
      <c r="Q1804" s="15"/>
      <c r="R1804" s="15"/>
      <c r="S1804" s="15"/>
      <c r="T1804" s="15"/>
      <c r="U1804" s="15"/>
      <c r="V1804" s="15"/>
      <c r="W1804" s="15"/>
      <c r="X1804" s="15"/>
    </row>
    <row r="1805" ht="15.75" customHeight="1">
      <c r="I1805" s="43"/>
      <c r="Q1805" s="15"/>
      <c r="R1805" s="15"/>
      <c r="S1805" s="15"/>
      <c r="T1805" s="15"/>
      <c r="U1805" s="15"/>
      <c r="V1805" s="15"/>
      <c r="W1805" s="15"/>
      <c r="X1805" s="15"/>
    </row>
    <row r="1806" ht="15.75" customHeight="1">
      <c r="I1806" s="43"/>
      <c r="Q1806" s="15"/>
      <c r="R1806" s="15"/>
      <c r="S1806" s="15"/>
      <c r="T1806" s="15"/>
      <c r="U1806" s="15"/>
      <c r="V1806" s="15"/>
      <c r="W1806" s="15"/>
      <c r="X1806" s="15"/>
    </row>
    <row r="1807" ht="15.75" customHeight="1">
      <c r="I1807" s="43"/>
      <c r="Q1807" s="15"/>
      <c r="R1807" s="15"/>
      <c r="S1807" s="15"/>
      <c r="T1807" s="15"/>
      <c r="U1807" s="15"/>
      <c r="V1807" s="15"/>
      <c r="W1807" s="15"/>
      <c r="X1807" s="15"/>
    </row>
    <row r="1808" ht="15.75" customHeight="1">
      <c r="I1808" s="43"/>
      <c r="Q1808" s="15"/>
      <c r="R1808" s="15"/>
      <c r="S1808" s="15"/>
      <c r="T1808" s="15"/>
      <c r="U1808" s="15"/>
      <c r="V1808" s="15"/>
      <c r="W1808" s="15"/>
      <c r="X1808" s="15"/>
    </row>
    <row r="1809" ht="15.75" customHeight="1">
      <c r="I1809" s="43"/>
      <c r="Q1809" s="15"/>
      <c r="R1809" s="15"/>
      <c r="S1809" s="15"/>
      <c r="T1809" s="15"/>
      <c r="U1809" s="15"/>
      <c r="V1809" s="15"/>
      <c r="W1809" s="15"/>
      <c r="X1809" s="15"/>
    </row>
    <row r="1810" ht="15.75" customHeight="1">
      <c r="I1810" s="43"/>
      <c r="Q1810" s="15"/>
      <c r="R1810" s="15"/>
      <c r="S1810" s="15"/>
      <c r="T1810" s="15"/>
      <c r="U1810" s="15"/>
      <c r="V1810" s="15"/>
      <c r="W1810" s="15"/>
      <c r="X1810" s="15"/>
    </row>
    <row r="1811" ht="15.75" customHeight="1">
      <c r="I1811" s="43"/>
      <c r="Q1811" s="15"/>
      <c r="R1811" s="15"/>
      <c r="S1811" s="15"/>
      <c r="T1811" s="15"/>
      <c r="U1811" s="15"/>
      <c r="V1811" s="15"/>
      <c r="W1811" s="15"/>
      <c r="X1811" s="15"/>
    </row>
    <row r="1812" ht="15.75" customHeight="1">
      <c r="I1812" s="43"/>
      <c r="Q1812" s="15"/>
      <c r="R1812" s="15"/>
      <c r="S1812" s="15"/>
      <c r="T1812" s="15"/>
      <c r="U1812" s="15"/>
      <c r="V1812" s="15"/>
      <c r="W1812" s="15"/>
      <c r="X1812" s="15"/>
    </row>
    <row r="1813" ht="15.75" customHeight="1">
      <c r="I1813" s="43"/>
      <c r="Q1813" s="15"/>
      <c r="R1813" s="15"/>
      <c r="S1813" s="15"/>
      <c r="T1813" s="15"/>
      <c r="U1813" s="15"/>
      <c r="V1813" s="15"/>
      <c r="W1813" s="15"/>
      <c r="X1813" s="15"/>
    </row>
    <row r="1814" ht="15.75" customHeight="1">
      <c r="I1814" s="43"/>
      <c r="Q1814" s="15"/>
      <c r="R1814" s="15"/>
      <c r="S1814" s="15"/>
      <c r="T1814" s="15"/>
      <c r="U1814" s="15"/>
      <c r="V1814" s="15"/>
      <c r="W1814" s="15"/>
      <c r="X1814" s="15"/>
    </row>
    <row r="1815" ht="15.75" customHeight="1">
      <c r="I1815" s="43"/>
      <c r="Q1815" s="15"/>
      <c r="R1815" s="15"/>
      <c r="S1815" s="15"/>
      <c r="T1815" s="15"/>
      <c r="U1815" s="15"/>
      <c r="V1815" s="15"/>
      <c r="W1815" s="15"/>
      <c r="X1815" s="15"/>
    </row>
    <row r="1816" ht="15.75" customHeight="1">
      <c r="I1816" s="43"/>
      <c r="Q1816" s="15"/>
      <c r="R1816" s="15"/>
      <c r="S1816" s="15"/>
      <c r="T1816" s="15"/>
      <c r="U1816" s="15"/>
      <c r="V1816" s="15"/>
      <c r="W1816" s="15"/>
      <c r="X1816" s="15"/>
    </row>
    <row r="1817" ht="15.75" customHeight="1">
      <c r="I1817" s="43"/>
      <c r="Q1817" s="15"/>
      <c r="R1817" s="15"/>
      <c r="S1817" s="15"/>
      <c r="T1817" s="15"/>
      <c r="U1817" s="15"/>
      <c r="V1817" s="15"/>
      <c r="W1817" s="15"/>
      <c r="X1817" s="15"/>
    </row>
    <row r="1818" ht="15.75" customHeight="1">
      <c r="I1818" s="43"/>
      <c r="Q1818" s="15"/>
      <c r="R1818" s="15"/>
      <c r="S1818" s="15"/>
      <c r="T1818" s="15"/>
      <c r="U1818" s="15"/>
      <c r="V1818" s="15"/>
      <c r="W1818" s="15"/>
      <c r="X1818" s="15"/>
    </row>
    <row r="1819" ht="15.75" customHeight="1">
      <c r="I1819" s="43"/>
      <c r="Q1819" s="15"/>
      <c r="R1819" s="15"/>
      <c r="S1819" s="15"/>
      <c r="T1819" s="15"/>
      <c r="U1819" s="15"/>
      <c r="V1819" s="15"/>
      <c r="W1819" s="15"/>
      <c r="X1819" s="15"/>
    </row>
    <row r="1820" ht="15.75" customHeight="1">
      <c r="I1820" s="43"/>
      <c r="Q1820" s="15"/>
      <c r="R1820" s="15"/>
      <c r="S1820" s="15"/>
      <c r="T1820" s="15"/>
      <c r="U1820" s="15"/>
      <c r="V1820" s="15"/>
      <c r="W1820" s="15"/>
      <c r="X1820" s="15"/>
    </row>
    <row r="1821" ht="15.75" customHeight="1">
      <c r="I1821" s="43"/>
      <c r="Q1821" s="15"/>
      <c r="R1821" s="15"/>
      <c r="S1821" s="15"/>
      <c r="T1821" s="15"/>
      <c r="U1821" s="15"/>
      <c r="V1821" s="15"/>
      <c r="W1821" s="15"/>
      <c r="X1821" s="15"/>
    </row>
    <row r="1822" ht="15.75" customHeight="1">
      <c r="I1822" s="43"/>
      <c r="Q1822" s="15"/>
      <c r="R1822" s="15"/>
      <c r="S1822" s="15"/>
      <c r="T1822" s="15"/>
      <c r="U1822" s="15"/>
      <c r="V1822" s="15"/>
      <c r="W1822" s="15"/>
      <c r="X1822" s="15"/>
    </row>
    <row r="1823" ht="15.75" customHeight="1">
      <c r="I1823" s="43"/>
      <c r="Q1823" s="15"/>
      <c r="R1823" s="15"/>
      <c r="S1823" s="15"/>
      <c r="T1823" s="15"/>
      <c r="U1823" s="15"/>
      <c r="V1823" s="15"/>
      <c r="W1823" s="15"/>
      <c r="X1823" s="15"/>
    </row>
    <row r="1824" ht="15.75" customHeight="1">
      <c r="I1824" s="43"/>
      <c r="Q1824" s="15"/>
      <c r="R1824" s="15"/>
      <c r="S1824" s="15"/>
      <c r="T1824" s="15"/>
      <c r="U1824" s="15"/>
      <c r="V1824" s="15"/>
      <c r="W1824" s="15"/>
      <c r="X1824" s="15"/>
    </row>
    <row r="1825" ht="15.75" customHeight="1">
      <c r="I1825" s="43"/>
      <c r="Q1825" s="15"/>
      <c r="R1825" s="15"/>
      <c r="S1825" s="15"/>
      <c r="T1825" s="15"/>
      <c r="U1825" s="15"/>
      <c r="V1825" s="15"/>
      <c r="W1825" s="15"/>
      <c r="X1825" s="15"/>
    </row>
    <row r="1826" ht="15.75" customHeight="1">
      <c r="I1826" s="43"/>
      <c r="Q1826" s="15"/>
      <c r="R1826" s="15"/>
      <c r="S1826" s="15"/>
      <c r="T1826" s="15"/>
      <c r="U1826" s="15"/>
      <c r="V1826" s="15"/>
      <c r="W1826" s="15"/>
      <c r="X1826" s="15"/>
    </row>
    <row r="1827" ht="15.75" customHeight="1">
      <c r="I1827" s="43"/>
      <c r="Q1827" s="15"/>
      <c r="R1827" s="15"/>
      <c r="S1827" s="15"/>
      <c r="T1827" s="15"/>
      <c r="U1827" s="15"/>
      <c r="V1827" s="15"/>
      <c r="W1827" s="15"/>
      <c r="X1827" s="15"/>
    </row>
    <row r="1828" ht="15.75" customHeight="1">
      <c r="I1828" s="43"/>
      <c r="Q1828" s="15"/>
      <c r="R1828" s="15"/>
      <c r="S1828" s="15"/>
      <c r="T1828" s="15"/>
      <c r="U1828" s="15"/>
      <c r="V1828" s="15"/>
      <c r="W1828" s="15"/>
      <c r="X1828" s="15"/>
    </row>
    <row r="1829" ht="15.75" customHeight="1">
      <c r="I1829" s="43"/>
      <c r="Q1829" s="15"/>
      <c r="R1829" s="15"/>
      <c r="S1829" s="15"/>
      <c r="T1829" s="15"/>
      <c r="U1829" s="15"/>
      <c r="V1829" s="15"/>
      <c r="W1829" s="15"/>
      <c r="X1829" s="15"/>
    </row>
    <row r="1830" ht="15.75" customHeight="1">
      <c r="I1830" s="43"/>
      <c r="Q1830" s="15"/>
      <c r="R1830" s="15"/>
      <c r="S1830" s="15"/>
      <c r="T1830" s="15"/>
      <c r="U1830" s="15"/>
      <c r="V1830" s="15"/>
      <c r="W1830" s="15"/>
      <c r="X1830" s="15"/>
    </row>
    <row r="1831" ht="15.75" customHeight="1">
      <c r="I1831" s="43"/>
      <c r="Q1831" s="15"/>
      <c r="R1831" s="15"/>
      <c r="S1831" s="15"/>
      <c r="T1831" s="15"/>
      <c r="U1831" s="15"/>
      <c r="V1831" s="15"/>
      <c r="W1831" s="15"/>
      <c r="X1831" s="15"/>
    </row>
    <row r="1832" ht="15.75" customHeight="1">
      <c r="I1832" s="43"/>
      <c r="Q1832" s="15"/>
      <c r="R1832" s="15"/>
      <c r="S1832" s="15"/>
      <c r="T1832" s="15"/>
      <c r="U1832" s="15"/>
      <c r="V1832" s="15"/>
      <c r="W1832" s="15"/>
      <c r="X1832" s="15"/>
    </row>
    <row r="1833" ht="15.75" customHeight="1">
      <c r="I1833" s="43"/>
      <c r="Q1833" s="15"/>
      <c r="R1833" s="15"/>
      <c r="S1833" s="15"/>
      <c r="T1833" s="15"/>
      <c r="U1833" s="15"/>
      <c r="V1833" s="15"/>
      <c r="W1833" s="15"/>
      <c r="X1833" s="15"/>
    </row>
    <row r="1834" ht="15.75" customHeight="1">
      <c r="I1834" s="43"/>
      <c r="Q1834" s="15"/>
      <c r="R1834" s="15"/>
      <c r="S1834" s="15"/>
      <c r="T1834" s="15"/>
      <c r="U1834" s="15"/>
      <c r="V1834" s="15"/>
      <c r="W1834" s="15"/>
      <c r="X1834" s="15"/>
    </row>
    <row r="1835" ht="15.75" customHeight="1">
      <c r="I1835" s="43"/>
      <c r="Q1835" s="15"/>
      <c r="R1835" s="15"/>
      <c r="S1835" s="15"/>
      <c r="T1835" s="15"/>
      <c r="U1835" s="15"/>
      <c r="V1835" s="15"/>
      <c r="W1835" s="15"/>
      <c r="X1835" s="15"/>
    </row>
    <row r="1836" ht="15.75" customHeight="1">
      <c r="I1836" s="43"/>
      <c r="Q1836" s="15"/>
      <c r="R1836" s="15"/>
      <c r="S1836" s="15"/>
      <c r="T1836" s="15"/>
      <c r="U1836" s="15"/>
      <c r="V1836" s="15"/>
      <c r="W1836" s="15"/>
      <c r="X1836" s="15"/>
    </row>
    <row r="1837" ht="15.75" customHeight="1">
      <c r="I1837" s="43"/>
      <c r="Q1837" s="15"/>
      <c r="R1837" s="15"/>
      <c r="S1837" s="15"/>
      <c r="T1837" s="15"/>
      <c r="U1837" s="15"/>
      <c r="V1837" s="15"/>
      <c r="W1837" s="15"/>
      <c r="X1837" s="15"/>
    </row>
    <row r="1838" ht="15.75" customHeight="1">
      <c r="I1838" s="43"/>
      <c r="Q1838" s="15"/>
      <c r="R1838" s="15"/>
      <c r="S1838" s="15"/>
      <c r="T1838" s="15"/>
      <c r="U1838" s="15"/>
      <c r="V1838" s="15"/>
      <c r="W1838" s="15"/>
      <c r="X1838" s="15"/>
    </row>
    <row r="1839" ht="15.75" customHeight="1">
      <c r="I1839" s="43"/>
      <c r="Q1839" s="15"/>
      <c r="R1839" s="15"/>
      <c r="S1839" s="15"/>
      <c r="T1839" s="15"/>
      <c r="U1839" s="15"/>
      <c r="V1839" s="15"/>
      <c r="W1839" s="15"/>
      <c r="X1839" s="15"/>
    </row>
    <row r="1840" ht="15.75" customHeight="1">
      <c r="I1840" s="43"/>
      <c r="Q1840" s="15"/>
      <c r="R1840" s="15"/>
      <c r="S1840" s="15"/>
      <c r="T1840" s="15"/>
      <c r="U1840" s="15"/>
      <c r="V1840" s="15"/>
      <c r="W1840" s="15"/>
      <c r="X1840" s="15"/>
    </row>
    <row r="1841" ht="15.75" customHeight="1">
      <c r="I1841" s="43"/>
      <c r="Q1841" s="15"/>
      <c r="R1841" s="15"/>
      <c r="S1841" s="15"/>
      <c r="T1841" s="15"/>
      <c r="U1841" s="15"/>
      <c r="V1841" s="15"/>
      <c r="W1841" s="15"/>
      <c r="X1841" s="15"/>
    </row>
    <row r="1842" ht="15.75" customHeight="1">
      <c r="I1842" s="43"/>
      <c r="Q1842" s="15"/>
      <c r="R1842" s="15"/>
      <c r="S1842" s="15"/>
      <c r="T1842" s="15"/>
      <c r="U1842" s="15"/>
      <c r="V1842" s="15"/>
      <c r="W1842" s="15"/>
      <c r="X1842" s="15"/>
    </row>
    <row r="1843" ht="15.75" customHeight="1">
      <c r="I1843" s="43"/>
      <c r="Q1843" s="15"/>
      <c r="R1843" s="15"/>
      <c r="S1843" s="15"/>
      <c r="T1843" s="15"/>
      <c r="U1843" s="15"/>
      <c r="V1843" s="15"/>
      <c r="W1843" s="15"/>
      <c r="X1843" s="15"/>
    </row>
    <row r="1844" ht="15.75" customHeight="1">
      <c r="I1844" s="43"/>
      <c r="Q1844" s="15"/>
      <c r="R1844" s="15"/>
      <c r="S1844" s="15"/>
      <c r="T1844" s="15"/>
      <c r="U1844" s="15"/>
      <c r="V1844" s="15"/>
      <c r="W1844" s="15"/>
      <c r="X1844" s="15"/>
    </row>
    <row r="1845" ht="15.75" customHeight="1">
      <c r="I1845" s="43"/>
      <c r="Q1845" s="15"/>
      <c r="R1845" s="15"/>
      <c r="S1845" s="15"/>
      <c r="T1845" s="15"/>
      <c r="U1845" s="15"/>
      <c r="V1845" s="15"/>
      <c r="W1845" s="15"/>
      <c r="X1845" s="15"/>
    </row>
    <row r="1846" ht="15.75" customHeight="1">
      <c r="I1846" s="43"/>
      <c r="Q1846" s="15"/>
      <c r="R1846" s="15"/>
      <c r="S1846" s="15"/>
      <c r="T1846" s="15"/>
      <c r="U1846" s="15"/>
      <c r="V1846" s="15"/>
      <c r="W1846" s="15"/>
      <c r="X1846" s="15"/>
    </row>
    <row r="1847" ht="15.75" customHeight="1">
      <c r="I1847" s="43"/>
      <c r="Q1847" s="15"/>
      <c r="R1847" s="15"/>
      <c r="S1847" s="15"/>
      <c r="T1847" s="15"/>
      <c r="U1847" s="15"/>
      <c r="V1847" s="15"/>
      <c r="W1847" s="15"/>
      <c r="X1847" s="15"/>
    </row>
    <row r="1848" ht="15.75" customHeight="1">
      <c r="I1848" s="43"/>
      <c r="Q1848" s="15"/>
      <c r="R1848" s="15"/>
      <c r="S1848" s="15"/>
      <c r="T1848" s="15"/>
      <c r="U1848" s="15"/>
      <c r="V1848" s="15"/>
      <c r="W1848" s="15"/>
      <c r="X1848" s="15"/>
    </row>
    <row r="1849" ht="15.75" customHeight="1">
      <c r="I1849" s="43"/>
      <c r="Q1849" s="15"/>
      <c r="R1849" s="15"/>
      <c r="S1849" s="15"/>
      <c r="T1849" s="15"/>
      <c r="U1849" s="15"/>
      <c r="V1849" s="15"/>
      <c r="W1849" s="15"/>
      <c r="X1849" s="15"/>
    </row>
    <row r="1850" ht="15.75" customHeight="1">
      <c r="I1850" s="43"/>
      <c r="Q1850" s="15"/>
      <c r="R1850" s="15"/>
      <c r="S1850" s="15"/>
      <c r="T1850" s="15"/>
      <c r="U1850" s="15"/>
      <c r="V1850" s="15"/>
      <c r="W1850" s="15"/>
      <c r="X1850" s="15"/>
    </row>
    <row r="1851" ht="15.75" customHeight="1">
      <c r="I1851" s="43"/>
      <c r="Q1851" s="15"/>
      <c r="R1851" s="15"/>
      <c r="S1851" s="15"/>
      <c r="T1851" s="15"/>
      <c r="U1851" s="15"/>
      <c r="V1851" s="15"/>
      <c r="W1851" s="15"/>
      <c r="X1851" s="15"/>
    </row>
    <row r="1852" ht="15.75" customHeight="1">
      <c r="I1852" s="43"/>
      <c r="Q1852" s="15"/>
      <c r="R1852" s="15"/>
      <c r="S1852" s="15"/>
      <c r="T1852" s="15"/>
      <c r="U1852" s="15"/>
      <c r="V1852" s="15"/>
      <c r="W1852" s="15"/>
      <c r="X1852" s="15"/>
    </row>
    <row r="1853" ht="15.75" customHeight="1">
      <c r="I1853" s="43"/>
      <c r="Q1853" s="15"/>
      <c r="R1853" s="15"/>
      <c r="S1853" s="15"/>
      <c r="T1853" s="15"/>
      <c r="U1853" s="15"/>
      <c r="V1853" s="15"/>
      <c r="W1853" s="15"/>
      <c r="X1853" s="15"/>
    </row>
    <row r="1854" ht="15.75" customHeight="1">
      <c r="I1854" s="43"/>
      <c r="Q1854" s="15"/>
      <c r="R1854" s="15"/>
      <c r="S1854" s="15"/>
      <c r="T1854" s="15"/>
      <c r="U1854" s="15"/>
      <c r="V1854" s="15"/>
      <c r="W1854" s="15"/>
      <c r="X1854" s="15"/>
    </row>
    <row r="1855" ht="15.75" customHeight="1">
      <c r="I1855" s="43"/>
      <c r="Q1855" s="15"/>
      <c r="R1855" s="15"/>
      <c r="S1855" s="15"/>
      <c r="T1855" s="15"/>
      <c r="U1855" s="15"/>
      <c r="V1855" s="15"/>
      <c r="W1855" s="15"/>
      <c r="X1855" s="15"/>
    </row>
    <row r="1856" ht="15.75" customHeight="1">
      <c r="I1856" s="43"/>
      <c r="Q1856" s="15"/>
      <c r="R1856" s="15"/>
      <c r="S1856" s="15"/>
      <c r="T1856" s="15"/>
      <c r="U1856" s="15"/>
      <c r="V1856" s="15"/>
      <c r="W1856" s="15"/>
      <c r="X1856" s="15"/>
    </row>
    <row r="1857" ht="15.75" customHeight="1">
      <c r="I1857" s="43"/>
      <c r="Q1857" s="15"/>
      <c r="R1857" s="15"/>
      <c r="S1857" s="15"/>
      <c r="T1857" s="15"/>
      <c r="U1857" s="15"/>
      <c r="V1857" s="15"/>
      <c r="W1857" s="15"/>
      <c r="X1857" s="15"/>
    </row>
    <row r="1858" ht="15.75" customHeight="1">
      <c r="I1858" s="43"/>
      <c r="Q1858" s="15"/>
      <c r="R1858" s="15"/>
      <c r="S1858" s="15"/>
      <c r="T1858" s="15"/>
      <c r="U1858" s="15"/>
      <c r="V1858" s="15"/>
      <c r="W1858" s="15"/>
      <c r="X1858" s="15"/>
    </row>
    <row r="1859" ht="15.75" customHeight="1">
      <c r="I1859" s="43"/>
      <c r="Q1859" s="15"/>
      <c r="R1859" s="15"/>
      <c r="S1859" s="15"/>
      <c r="T1859" s="15"/>
      <c r="U1859" s="15"/>
      <c r="V1859" s="15"/>
      <c r="W1859" s="15"/>
      <c r="X1859" s="15"/>
    </row>
    <row r="1860" ht="15.75" customHeight="1">
      <c r="I1860" s="43"/>
      <c r="Q1860" s="15"/>
      <c r="R1860" s="15"/>
      <c r="S1860" s="15"/>
      <c r="T1860" s="15"/>
      <c r="U1860" s="15"/>
      <c r="V1860" s="15"/>
      <c r="W1860" s="15"/>
      <c r="X1860" s="15"/>
    </row>
    <row r="1861" ht="15.75" customHeight="1">
      <c r="I1861" s="43"/>
      <c r="Q1861" s="15"/>
      <c r="R1861" s="15"/>
      <c r="S1861" s="15"/>
      <c r="T1861" s="15"/>
      <c r="U1861" s="15"/>
      <c r="V1861" s="15"/>
      <c r="W1861" s="15"/>
      <c r="X1861" s="15"/>
    </row>
    <row r="1862" ht="15.75" customHeight="1">
      <c r="I1862" s="43"/>
      <c r="Q1862" s="15"/>
      <c r="R1862" s="15"/>
      <c r="S1862" s="15"/>
      <c r="T1862" s="15"/>
      <c r="U1862" s="15"/>
      <c r="V1862" s="15"/>
      <c r="W1862" s="15"/>
      <c r="X1862" s="15"/>
    </row>
    <row r="1863" ht="15.75" customHeight="1">
      <c r="I1863" s="43"/>
      <c r="Q1863" s="15"/>
      <c r="R1863" s="15"/>
      <c r="S1863" s="15"/>
      <c r="T1863" s="15"/>
      <c r="U1863" s="15"/>
      <c r="V1863" s="15"/>
      <c r="W1863" s="15"/>
      <c r="X1863" s="15"/>
    </row>
    <row r="1864" ht="15.75" customHeight="1">
      <c r="I1864" s="43"/>
      <c r="Q1864" s="15"/>
      <c r="R1864" s="15"/>
      <c r="S1864" s="15"/>
      <c r="T1864" s="15"/>
      <c r="U1864" s="15"/>
      <c r="V1864" s="15"/>
      <c r="W1864" s="15"/>
      <c r="X1864" s="15"/>
    </row>
    <row r="1865" ht="15.75" customHeight="1">
      <c r="I1865" s="43"/>
      <c r="Q1865" s="15"/>
      <c r="R1865" s="15"/>
      <c r="S1865" s="15"/>
      <c r="T1865" s="15"/>
      <c r="U1865" s="15"/>
      <c r="V1865" s="15"/>
      <c r="W1865" s="15"/>
      <c r="X1865" s="15"/>
    </row>
    <row r="1866" ht="15.75" customHeight="1">
      <c r="I1866" s="43"/>
      <c r="Q1866" s="15"/>
      <c r="R1866" s="15"/>
      <c r="S1866" s="15"/>
      <c r="T1866" s="15"/>
      <c r="U1866" s="15"/>
      <c r="V1866" s="15"/>
      <c r="W1866" s="15"/>
      <c r="X1866" s="15"/>
    </row>
    <row r="1867" ht="15.75" customHeight="1">
      <c r="I1867" s="43"/>
      <c r="Q1867" s="15"/>
      <c r="R1867" s="15"/>
      <c r="S1867" s="15"/>
      <c r="T1867" s="15"/>
      <c r="U1867" s="15"/>
      <c r="V1867" s="15"/>
      <c r="W1867" s="15"/>
      <c r="X1867" s="15"/>
    </row>
    <row r="1868" ht="15.75" customHeight="1">
      <c r="I1868" s="43"/>
      <c r="Q1868" s="15"/>
      <c r="R1868" s="15"/>
      <c r="S1868" s="15"/>
      <c r="T1868" s="15"/>
      <c r="U1868" s="15"/>
      <c r="V1868" s="15"/>
      <c r="W1868" s="15"/>
      <c r="X1868" s="15"/>
    </row>
    <row r="1869" ht="15.75" customHeight="1">
      <c r="I1869" s="43"/>
      <c r="Q1869" s="15"/>
      <c r="R1869" s="15"/>
      <c r="S1869" s="15"/>
      <c r="T1869" s="15"/>
      <c r="U1869" s="15"/>
      <c r="V1869" s="15"/>
      <c r="W1869" s="15"/>
      <c r="X1869" s="15"/>
    </row>
    <row r="1870" ht="15.75" customHeight="1">
      <c r="I1870" s="43"/>
      <c r="Q1870" s="15"/>
      <c r="R1870" s="15"/>
      <c r="S1870" s="15"/>
      <c r="T1870" s="15"/>
      <c r="U1870" s="15"/>
      <c r="V1870" s="15"/>
      <c r="W1870" s="15"/>
      <c r="X1870" s="15"/>
    </row>
    <row r="1871" ht="15.75" customHeight="1">
      <c r="I1871" s="43"/>
      <c r="Q1871" s="15"/>
      <c r="R1871" s="15"/>
      <c r="S1871" s="15"/>
      <c r="T1871" s="15"/>
      <c r="U1871" s="15"/>
      <c r="V1871" s="15"/>
      <c r="W1871" s="15"/>
      <c r="X1871" s="15"/>
    </row>
    <row r="1872" ht="15.75" customHeight="1">
      <c r="I1872" s="43"/>
      <c r="Q1872" s="15"/>
      <c r="R1872" s="15"/>
      <c r="S1872" s="15"/>
      <c r="T1872" s="15"/>
      <c r="U1872" s="15"/>
      <c r="V1872" s="15"/>
      <c r="W1872" s="15"/>
      <c r="X1872" s="15"/>
    </row>
    <row r="1873" ht="15.75" customHeight="1">
      <c r="I1873" s="43"/>
      <c r="Q1873" s="15"/>
      <c r="R1873" s="15"/>
      <c r="S1873" s="15"/>
      <c r="T1873" s="15"/>
      <c r="U1873" s="15"/>
      <c r="V1873" s="15"/>
      <c r="W1873" s="15"/>
      <c r="X1873" s="15"/>
    </row>
    <row r="1874" ht="15.75" customHeight="1">
      <c r="I1874" s="43"/>
      <c r="Q1874" s="15"/>
      <c r="R1874" s="15"/>
      <c r="S1874" s="15"/>
      <c r="T1874" s="15"/>
      <c r="U1874" s="15"/>
      <c r="V1874" s="15"/>
      <c r="W1874" s="15"/>
      <c r="X1874" s="15"/>
    </row>
    <row r="1875" ht="15.75" customHeight="1">
      <c r="I1875" s="43"/>
      <c r="Q1875" s="15"/>
      <c r="R1875" s="15"/>
      <c r="S1875" s="15"/>
      <c r="T1875" s="15"/>
      <c r="U1875" s="15"/>
      <c r="V1875" s="15"/>
      <c r="W1875" s="15"/>
      <c r="X1875" s="15"/>
    </row>
    <row r="1876" ht="15.75" customHeight="1">
      <c r="I1876" s="43"/>
      <c r="Q1876" s="15"/>
      <c r="R1876" s="15"/>
      <c r="S1876" s="15"/>
      <c r="T1876" s="15"/>
      <c r="U1876" s="15"/>
      <c r="V1876" s="15"/>
      <c r="W1876" s="15"/>
      <c r="X1876" s="15"/>
    </row>
    <row r="1877" ht="15.75" customHeight="1">
      <c r="I1877" s="43"/>
      <c r="Q1877" s="15"/>
      <c r="R1877" s="15"/>
      <c r="S1877" s="15"/>
      <c r="T1877" s="15"/>
      <c r="U1877" s="15"/>
      <c r="V1877" s="15"/>
      <c r="W1877" s="15"/>
      <c r="X1877" s="15"/>
    </row>
    <row r="1878" ht="15.75" customHeight="1">
      <c r="I1878" s="43"/>
      <c r="Q1878" s="15"/>
      <c r="R1878" s="15"/>
      <c r="S1878" s="15"/>
      <c r="T1878" s="15"/>
      <c r="U1878" s="15"/>
      <c r="V1878" s="15"/>
      <c r="W1878" s="15"/>
      <c r="X1878" s="15"/>
    </row>
    <row r="1879" ht="15.75" customHeight="1">
      <c r="I1879" s="43"/>
      <c r="Q1879" s="15"/>
      <c r="R1879" s="15"/>
      <c r="S1879" s="15"/>
      <c r="T1879" s="15"/>
      <c r="U1879" s="15"/>
      <c r="V1879" s="15"/>
      <c r="W1879" s="15"/>
      <c r="X1879" s="15"/>
    </row>
    <row r="1880" ht="15.75" customHeight="1">
      <c r="I1880" s="43"/>
      <c r="Q1880" s="15"/>
      <c r="R1880" s="15"/>
      <c r="S1880" s="15"/>
      <c r="T1880" s="15"/>
      <c r="U1880" s="15"/>
      <c r="V1880" s="15"/>
      <c r="W1880" s="15"/>
      <c r="X1880" s="15"/>
    </row>
    <row r="1881" ht="15.75" customHeight="1">
      <c r="I1881" s="43"/>
      <c r="Q1881" s="15"/>
      <c r="R1881" s="15"/>
      <c r="S1881" s="15"/>
      <c r="T1881" s="15"/>
      <c r="U1881" s="15"/>
      <c r="V1881" s="15"/>
      <c r="W1881" s="15"/>
      <c r="X1881" s="15"/>
    </row>
    <row r="1882" ht="15.75" customHeight="1">
      <c r="I1882" s="43"/>
      <c r="Q1882" s="15"/>
      <c r="R1882" s="15"/>
      <c r="S1882" s="15"/>
      <c r="T1882" s="15"/>
      <c r="U1882" s="15"/>
      <c r="V1882" s="15"/>
      <c r="W1882" s="15"/>
      <c r="X1882" s="15"/>
    </row>
    <row r="1883" ht="15.75" customHeight="1">
      <c r="I1883" s="43"/>
      <c r="Q1883" s="15"/>
      <c r="R1883" s="15"/>
      <c r="S1883" s="15"/>
      <c r="T1883" s="15"/>
      <c r="U1883" s="15"/>
      <c r="V1883" s="15"/>
      <c r="W1883" s="15"/>
      <c r="X1883" s="15"/>
    </row>
    <row r="1884" ht="15.75" customHeight="1">
      <c r="I1884" s="43"/>
      <c r="Q1884" s="15"/>
      <c r="R1884" s="15"/>
      <c r="S1884" s="15"/>
      <c r="T1884" s="15"/>
      <c r="U1884" s="15"/>
      <c r="V1884" s="15"/>
      <c r="W1884" s="15"/>
      <c r="X1884" s="15"/>
    </row>
    <row r="1885" ht="15.75" customHeight="1">
      <c r="I1885" s="43"/>
      <c r="Q1885" s="15"/>
      <c r="R1885" s="15"/>
      <c r="S1885" s="15"/>
      <c r="T1885" s="15"/>
      <c r="U1885" s="15"/>
      <c r="V1885" s="15"/>
      <c r="W1885" s="15"/>
      <c r="X1885" s="15"/>
    </row>
    <row r="1886" ht="15.75" customHeight="1">
      <c r="I1886" s="43"/>
      <c r="Q1886" s="15"/>
      <c r="R1886" s="15"/>
      <c r="S1886" s="15"/>
      <c r="T1886" s="15"/>
      <c r="U1886" s="15"/>
      <c r="V1886" s="15"/>
      <c r="W1886" s="15"/>
      <c r="X1886" s="15"/>
    </row>
    <row r="1887" ht="15.75" customHeight="1">
      <c r="I1887" s="43"/>
      <c r="Q1887" s="15"/>
      <c r="R1887" s="15"/>
      <c r="S1887" s="15"/>
      <c r="T1887" s="15"/>
      <c r="U1887" s="15"/>
      <c r="V1887" s="15"/>
      <c r="W1887" s="15"/>
      <c r="X1887" s="15"/>
    </row>
    <row r="1888" ht="15.75" customHeight="1">
      <c r="I1888" s="43"/>
      <c r="Q1888" s="15"/>
      <c r="R1888" s="15"/>
      <c r="S1888" s="15"/>
      <c r="T1888" s="15"/>
      <c r="U1888" s="15"/>
      <c r="V1888" s="15"/>
      <c r="W1888" s="15"/>
      <c r="X1888" s="15"/>
    </row>
    <row r="1889" ht="15.75" customHeight="1">
      <c r="I1889" s="43"/>
      <c r="Q1889" s="15"/>
      <c r="R1889" s="15"/>
      <c r="S1889" s="15"/>
      <c r="T1889" s="15"/>
      <c r="U1889" s="15"/>
      <c r="V1889" s="15"/>
      <c r="W1889" s="15"/>
      <c r="X1889" s="15"/>
    </row>
    <row r="1890" ht="15.75" customHeight="1">
      <c r="I1890" s="43"/>
      <c r="Q1890" s="15"/>
      <c r="R1890" s="15"/>
      <c r="S1890" s="15"/>
      <c r="T1890" s="15"/>
      <c r="U1890" s="15"/>
      <c r="V1890" s="15"/>
      <c r="W1890" s="15"/>
      <c r="X1890" s="15"/>
    </row>
    <row r="1891" ht="15.75" customHeight="1">
      <c r="I1891" s="43"/>
      <c r="Q1891" s="15"/>
      <c r="R1891" s="15"/>
      <c r="S1891" s="15"/>
      <c r="T1891" s="15"/>
      <c r="U1891" s="15"/>
      <c r="V1891" s="15"/>
      <c r="W1891" s="15"/>
      <c r="X1891" s="15"/>
    </row>
    <row r="1892" ht="15.75" customHeight="1">
      <c r="I1892" s="43"/>
      <c r="Q1892" s="15"/>
      <c r="R1892" s="15"/>
      <c r="S1892" s="15"/>
      <c r="T1892" s="15"/>
      <c r="U1892" s="15"/>
      <c r="V1892" s="15"/>
      <c r="W1892" s="15"/>
      <c r="X1892" s="15"/>
    </row>
    <row r="1893" ht="15.75" customHeight="1">
      <c r="I1893" s="43"/>
      <c r="Q1893" s="15"/>
      <c r="R1893" s="15"/>
      <c r="S1893" s="15"/>
      <c r="T1893" s="15"/>
      <c r="U1893" s="15"/>
      <c r="V1893" s="15"/>
      <c r="W1893" s="15"/>
      <c r="X1893" s="15"/>
    </row>
    <row r="1894" ht="15.75" customHeight="1">
      <c r="I1894" s="43"/>
      <c r="Q1894" s="15"/>
      <c r="R1894" s="15"/>
      <c r="S1894" s="15"/>
      <c r="T1894" s="15"/>
      <c r="U1894" s="15"/>
      <c r="V1894" s="15"/>
      <c r="W1894" s="15"/>
      <c r="X1894" s="15"/>
    </row>
    <row r="1895" ht="15.75" customHeight="1">
      <c r="I1895" s="43"/>
      <c r="Q1895" s="15"/>
      <c r="R1895" s="15"/>
      <c r="S1895" s="15"/>
      <c r="T1895" s="15"/>
      <c r="U1895" s="15"/>
      <c r="V1895" s="15"/>
      <c r="W1895" s="15"/>
      <c r="X1895" s="15"/>
    </row>
    <row r="1896" ht="15.75" customHeight="1">
      <c r="I1896" s="43"/>
      <c r="Q1896" s="15"/>
      <c r="R1896" s="15"/>
      <c r="S1896" s="15"/>
      <c r="T1896" s="15"/>
      <c r="U1896" s="15"/>
      <c r="V1896" s="15"/>
      <c r="W1896" s="15"/>
      <c r="X1896" s="15"/>
    </row>
    <row r="1897" ht="15.75" customHeight="1">
      <c r="I1897" s="43"/>
      <c r="Q1897" s="15"/>
      <c r="R1897" s="15"/>
      <c r="S1897" s="15"/>
      <c r="T1897" s="15"/>
      <c r="U1897" s="15"/>
      <c r="V1897" s="15"/>
      <c r="W1897" s="15"/>
      <c r="X1897" s="15"/>
    </row>
    <row r="1898" ht="15.75" customHeight="1">
      <c r="I1898" s="43"/>
      <c r="Q1898" s="15"/>
      <c r="R1898" s="15"/>
      <c r="S1898" s="15"/>
      <c r="T1898" s="15"/>
      <c r="U1898" s="15"/>
      <c r="V1898" s="15"/>
      <c r="W1898" s="15"/>
      <c r="X1898" s="15"/>
    </row>
    <row r="1899" ht="15.75" customHeight="1">
      <c r="I1899" s="43"/>
      <c r="Q1899" s="15"/>
      <c r="R1899" s="15"/>
      <c r="S1899" s="15"/>
      <c r="T1899" s="15"/>
      <c r="U1899" s="15"/>
      <c r="V1899" s="15"/>
      <c r="W1899" s="15"/>
      <c r="X1899" s="15"/>
    </row>
    <row r="1900" ht="15.75" customHeight="1">
      <c r="I1900" s="43"/>
      <c r="Q1900" s="15"/>
      <c r="R1900" s="15"/>
      <c r="S1900" s="15"/>
      <c r="T1900" s="15"/>
      <c r="U1900" s="15"/>
      <c r="V1900" s="15"/>
      <c r="W1900" s="15"/>
      <c r="X1900" s="15"/>
    </row>
    <row r="1901" ht="15.75" customHeight="1">
      <c r="I1901" s="43"/>
      <c r="Q1901" s="15"/>
      <c r="R1901" s="15"/>
      <c r="S1901" s="15"/>
      <c r="T1901" s="15"/>
      <c r="U1901" s="15"/>
      <c r="V1901" s="15"/>
      <c r="W1901" s="15"/>
      <c r="X1901" s="15"/>
    </row>
    <row r="1902" ht="15.75" customHeight="1">
      <c r="I1902" s="43"/>
      <c r="Q1902" s="15"/>
      <c r="R1902" s="15"/>
      <c r="S1902" s="15"/>
      <c r="T1902" s="15"/>
      <c r="U1902" s="15"/>
      <c r="V1902" s="15"/>
      <c r="W1902" s="15"/>
      <c r="X1902" s="15"/>
    </row>
    <row r="1903" ht="15.75" customHeight="1">
      <c r="I1903" s="43"/>
      <c r="Q1903" s="15"/>
      <c r="R1903" s="15"/>
      <c r="S1903" s="15"/>
      <c r="T1903" s="15"/>
      <c r="U1903" s="15"/>
      <c r="V1903" s="15"/>
      <c r="W1903" s="15"/>
      <c r="X1903" s="15"/>
    </row>
    <row r="1904" ht="15.75" customHeight="1">
      <c r="I1904" s="43"/>
      <c r="Q1904" s="15"/>
      <c r="R1904" s="15"/>
      <c r="S1904" s="15"/>
      <c r="T1904" s="15"/>
      <c r="U1904" s="15"/>
      <c r="V1904" s="15"/>
      <c r="W1904" s="15"/>
      <c r="X1904" s="15"/>
    </row>
    <row r="1905" ht="15.75" customHeight="1">
      <c r="I1905" s="43"/>
      <c r="Q1905" s="15"/>
      <c r="R1905" s="15"/>
      <c r="S1905" s="15"/>
      <c r="T1905" s="15"/>
      <c r="U1905" s="15"/>
      <c r="V1905" s="15"/>
      <c r="W1905" s="15"/>
      <c r="X1905" s="15"/>
    </row>
    <row r="1906" ht="15.75" customHeight="1">
      <c r="I1906" s="43"/>
      <c r="Q1906" s="15"/>
      <c r="R1906" s="15"/>
      <c r="S1906" s="15"/>
      <c r="T1906" s="15"/>
      <c r="U1906" s="15"/>
      <c r="V1906" s="15"/>
      <c r="W1906" s="15"/>
      <c r="X1906" s="15"/>
    </row>
    <row r="1907" ht="15.75" customHeight="1">
      <c r="I1907" s="43"/>
      <c r="Q1907" s="15"/>
      <c r="R1907" s="15"/>
      <c r="S1907" s="15"/>
      <c r="T1907" s="15"/>
      <c r="U1907" s="15"/>
      <c r="V1907" s="15"/>
      <c r="W1907" s="15"/>
      <c r="X1907" s="15"/>
    </row>
    <row r="1908" ht="15.75" customHeight="1">
      <c r="I1908" s="43"/>
      <c r="Q1908" s="15"/>
      <c r="R1908" s="15"/>
      <c r="S1908" s="15"/>
      <c r="T1908" s="15"/>
      <c r="U1908" s="15"/>
      <c r="V1908" s="15"/>
      <c r="W1908" s="15"/>
      <c r="X1908" s="15"/>
    </row>
    <row r="1909" ht="15.75" customHeight="1">
      <c r="I1909" s="43"/>
      <c r="Q1909" s="15"/>
      <c r="R1909" s="15"/>
      <c r="S1909" s="15"/>
      <c r="T1909" s="15"/>
      <c r="U1909" s="15"/>
      <c r="V1909" s="15"/>
      <c r="W1909" s="15"/>
      <c r="X1909" s="15"/>
    </row>
    <row r="1910" ht="15.75" customHeight="1">
      <c r="I1910" s="43"/>
      <c r="Q1910" s="15"/>
      <c r="R1910" s="15"/>
      <c r="S1910" s="15"/>
      <c r="T1910" s="15"/>
      <c r="U1910" s="15"/>
      <c r="V1910" s="15"/>
      <c r="W1910" s="15"/>
      <c r="X1910" s="15"/>
    </row>
    <row r="1911" ht="15.75" customHeight="1">
      <c r="I1911" s="43"/>
      <c r="Q1911" s="15"/>
      <c r="R1911" s="15"/>
      <c r="S1911" s="15"/>
      <c r="T1911" s="15"/>
      <c r="U1911" s="15"/>
      <c r="V1911" s="15"/>
      <c r="W1911" s="15"/>
      <c r="X1911" s="15"/>
    </row>
    <row r="1912" ht="15.75" customHeight="1">
      <c r="I1912" s="43"/>
      <c r="Q1912" s="15"/>
      <c r="R1912" s="15"/>
      <c r="S1912" s="15"/>
      <c r="T1912" s="15"/>
      <c r="U1912" s="15"/>
      <c r="V1912" s="15"/>
      <c r="W1912" s="15"/>
      <c r="X1912" s="15"/>
    </row>
    <row r="1913" ht="15.75" customHeight="1">
      <c r="I1913" s="43"/>
      <c r="Q1913" s="15"/>
      <c r="R1913" s="15"/>
      <c r="S1913" s="15"/>
      <c r="T1913" s="15"/>
      <c r="U1913" s="15"/>
      <c r="V1913" s="15"/>
      <c r="W1913" s="15"/>
      <c r="X1913" s="15"/>
    </row>
    <row r="1914" ht="15.75" customHeight="1">
      <c r="I1914" s="43"/>
      <c r="Q1914" s="15"/>
      <c r="R1914" s="15"/>
      <c r="S1914" s="15"/>
      <c r="T1914" s="15"/>
      <c r="U1914" s="15"/>
      <c r="V1914" s="15"/>
      <c r="W1914" s="15"/>
      <c r="X1914" s="15"/>
    </row>
    <row r="1915" ht="15.75" customHeight="1">
      <c r="I1915" s="43"/>
      <c r="Q1915" s="15"/>
      <c r="R1915" s="15"/>
      <c r="S1915" s="15"/>
      <c r="T1915" s="15"/>
      <c r="U1915" s="15"/>
      <c r="V1915" s="15"/>
      <c r="W1915" s="15"/>
      <c r="X1915" s="15"/>
    </row>
    <row r="1916" ht="15.75" customHeight="1">
      <c r="I1916" s="43"/>
      <c r="Q1916" s="15"/>
      <c r="R1916" s="15"/>
      <c r="S1916" s="15"/>
      <c r="T1916" s="15"/>
      <c r="U1916" s="15"/>
      <c r="V1916" s="15"/>
      <c r="W1916" s="15"/>
      <c r="X1916" s="15"/>
    </row>
    <row r="1917" ht="15.75" customHeight="1">
      <c r="I1917" s="43"/>
      <c r="Q1917" s="15"/>
      <c r="R1917" s="15"/>
      <c r="S1917" s="15"/>
      <c r="T1917" s="15"/>
      <c r="U1917" s="15"/>
      <c r="V1917" s="15"/>
      <c r="W1917" s="15"/>
      <c r="X1917" s="15"/>
    </row>
    <row r="1918" ht="15.75" customHeight="1">
      <c r="I1918" s="43"/>
      <c r="Q1918" s="15"/>
      <c r="R1918" s="15"/>
      <c r="S1918" s="15"/>
      <c r="T1918" s="15"/>
      <c r="U1918" s="15"/>
      <c r="V1918" s="15"/>
      <c r="W1918" s="15"/>
      <c r="X1918" s="15"/>
    </row>
    <row r="1919" ht="15.75" customHeight="1">
      <c r="I1919" s="43"/>
      <c r="Q1919" s="15"/>
      <c r="R1919" s="15"/>
      <c r="S1919" s="15"/>
      <c r="T1919" s="15"/>
      <c r="U1919" s="15"/>
      <c r="V1919" s="15"/>
      <c r="W1919" s="15"/>
      <c r="X1919" s="15"/>
    </row>
    <row r="1920" ht="15.75" customHeight="1">
      <c r="I1920" s="43"/>
      <c r="Q1920" s="15"/>
      <c r="R1920" s="15"/>
      <c r="S1920" s="15"/>
      <c r="T1920" s="15"/>
      <c r="U1920" s="15"/>
      <c r="V1920" s="15"/>
      <c r="W1920" s="15"/>
      <c r="X1920" s="15"/>
    </row>
    <row r="1921" ht="15.75" customHeight="1">
      <c r="I1921" s="43"/>
      <c r="Q1921" s="15"/>
      <c r="R1921" s="15"/>
      <c r="S1921" s="15"/>
      <c r="T1921" s="15"/>
      <c r="U1921" s="15"/>
      <c r="V1921" s="15"/>
      <c r="W1921" s="15"/>
      <c r="X1921" s="15"/>
    </row>
    <row r="1922" ht="15.75" customHeight="1">
      <c r="I1922" s="43"/>
      <c r="Q1922" s="15"/>
      <c r="R1922" s="15"/>
      <c r="S1922" s="15"/>
      <c r="T1922" s="15"/>
      <c r="U1922" s="15"/>
      <c r="V1922" s="15"/>
      <c r="W1922" s="15"/>
      <c r="X1922" s="15"/>
    </row>
    <row r="1923" ht="15.75" customHeight="1">
      <c r="I1923" s="43"/>
      <c r="Q1923" s="15"/>
      <c r="R1923" s="15"/>
      <c r="S1923" s="15"/>
      <c r="T1923" s="15"/>
      <c r="U1923" s="15"/>
      <c r="V1923" s="15"/>
      <c r="W1923" s="15"/>
      <c r="X1923" s="15"/>
    </row>
    <row r="1924" ht="15.75" customHeight="1">
      <c r="I1924" s="43"/>
      <c r="Q1924" s="15"/>
      <c r="R1924" s="15"/>
      <c r="S1924" s="15"/>
      <c r="T1924" s="15"/>
      <c r="U1924" s="15"/>
      <c r="V1924" s="15"/>
      <c r="W1924" s="15"/>
      <c r="X1924" s="15"/>
    </row>
    <row r="1925" ht="15.75" customHeight="1">
      <c r="I1925" s="43"/>
      <c r="Q1925" s="15"/>
      <c r="R1925" s="15"/>
      <c r="S1925" s="15"/>
      <c r="T1925" s="15"/>
      <c r="U1925" s="15"/>
      <c r="V1925" s="15"/>
      <c r="W1925" s="15"/>
      <c r="X1925" s="15"/>
    </row>
    <row r="1926" ht="15.75" customHeight="1">
      <c r="I1926" s="43"/>
      <c r="Q1926" s="15"/>
      <c r="R1926" s="15"/>
      <c r="S1926" s="15"/>
      <c r="T1926" s="15"/>
      <c r="U1926" s="15"/>
      <c r="V1926" s="15"/>
      <c r="W1926" s="15"/>
      <c r="X1926" s="15"/>
    </row>
    <row r="1927" ht="15.75" customHeight="1">
      <c r="I1927" s="43"/>
      <c r="Q1927" s="15"/>
      <c r="R1927" s="15"/>
      <c r="S1927" s="15"/>
      <c r="T1927" s="15"/>
      <c r="U1927" s="15"/>
      <c r="V1927" s="15"/>
      <c r="W1927" s="15"/>
      <c r="X1927" s="15"/>
    </row>
    <row r="1928" ht="15.75" customHeight="1">
      <c r="I1928" s="43"/>
      <c r="Q1928" s="15"/>
      <c r="R1928" s="15"/>
      <c r="S1928" s="15"/>
      <c r="T1928" s="15"/>
      <c r="U1928" s="15"/>
      <c r="V1928" s="15"/>
      <c r="W1928" s="15"/>
      <c r="X1928" s="15"/>
    </row>
    <row r="1929" ht="15.75" customHeight="1">
      <c r="I1929" s="43"/>
      <c r="Q1929" s="15"/>
      <c r="R1929" s="15"/>
      <c r="S1929" s="15"/>
      <c r="T1929" s="15"/>
      <c r="U1929" s="15"/>
      <c r="V1929" s="15"/>
      <c r="W1929" s="15"/>
      <c r="X1929" s="15"/>
    </row>
    <row r="1930" ht="15.75" customHeight="1">
      <c r="I1930" s="43"/>
      <c r="Q1930" s="15"/>
      <c r="R1930" s="15"/>
      <c r="S1930" s="15"/>
      <c r="T1930" s="15"/>
      <c r="U1930" s="15"/>
      <c r="V1930" s="15"/>
      <c r="W1930" s="15"/>
      <c r="X1930" s="15"/>
    </row>
    <row r="1931" ht="15.75" customHeight="1">
      <c r="I1931" s="43"/>
      <c r="Q1931" s="15"/>
      <c r="R1931" s="15"/>
      <c r="S1931" s="15"/>
      <c r="T1931" s="15"/>
      <c r="U1931" s="15"/>
      <c r="V1931" s="15"/>
      <c r="W1931" s="15"/>
      <c r="X1931" s="15"/>
    </row>
    <row r="1932" ht="15.75" customHeight="1">
      <c r="I1932" s="43"/>
      <c r="Q1932" s="15"/>
      <c r="R1932" s="15"/>
      <c r="S1932" s="15"/>
      <c r="T1932" s="15"/>
      <c r="U1932" s="15"/>
      <c r="V1932" s="15"/>
      <c r="W1932" s="15"/>
      <c r="X1932" s="15"/>
    </row>
    <row r="1933" ht="15.75" customHeight="1">
      <c r="I1933" s="43"/>
      <c r="Q1933" s="15"/>
      <c r="R1933" s="15"/>
      <c r="S1933" s="15"/>
      <c r="T1933" s="15"/>
      <c r="U1933" s="15"/>
      <c r="V1933" s="15"/>
      <c r="W1933" s="15"/>
      <c r="X1933" s="15"/>
    </row>
    <row r="1934" ht="15.75" customHeight="1">
      <c r="I1934" s="43"/>
      <c r="Q1934" s="15"/>
      <c r="R1934" s="15"/>
      <c r="S1934" s="15"/>
      <c r="T1934" s="15"/>
      <c r="U1934" s="15"/>
      <c r="V1934" s="15"/>
      <c r="W1934" s="15"/>
      <c r="X1934" s="15"/>
    </row>
    <row r="1935" ht="15.75" customHeight="1">
      <c r="I1935" s="43"/>
      <c r="Q1935" s="15"/>
      <c r="R1935" s="15"/>
      <c r="S1935" s="15"/>
      <c r="T1935" s="15"/>
      <c r="U1935" s="15"/>
      <c r="V1935" s="15"/>
      <c r="W1935" s="15"/>
      <c r="X1935" s="15"/>
    </row>
    <row r="1936" ht="15.75" customHeight="1">
      <c r="I1936" s="43"/>
      <c r="Q1936" s="15"/>
      <c r="R1936" s="15"/>
      <c r="S1936" s="15"/>
      <c r="T1936" s="15"/>
      <c r="U1936" s="15"/>
      <c r="V1936" s="15"/>
      <c r="W1936" s="15"/>
      <c r="X1936" s="15"/>
    </row>
    <row r="1937" ht="15.75" customHeight="1">
      <c r="I1937" s="43"/>
      <c r="Q1937" s="15"/>
      <c r="R1937" s="15"/>
      <c r="S1937" s="15"/>
      <c r="T1937" s="15"/>
      <c r="U1937" s="15"/>
      <c r="V1937" s="15"/>
      <c r="W1937" s="15"/>
      <c r="X1937" s="15"/>
    </row>
    <row r="1938" ht="15.75" customHeight="1">
      <c r="I1938" s="43"/>
      <c r="Q1938" s="15"/>
      <c r="R1938" s="15"/>
      <c r="S1938" s="15"/>
      <c r="T1938" s="15"/>
      <c r="U1938" s="15"/>
      <c r="V1938" s="15"/>
      <c r="W1938" s="15"/>
      <c r="X1938" s="15"/>
    </row>
    <row r="1939" ht="15.75" customHeight="1">
      <c r="I1939" s="43"/>
      <c r="Q1939" s="15"/>
      <c r="R1939" s="15"/>
      <c r="S1939" s="15"/>
      <c r="T1939" s="15"/>
      <c r="U1939" s="15"/>
      <c r="V1939" s="15"/>
      <c r="W1939" s="15"/>
      <c r="X1939" s="15"/>
    </row>
    <row r="1940" ht="15.75" customHeight="1">
      <c r="I1940" s="43"/>
      <c r="Q1940" s="15"/>
      <c r="R1940" s="15"/>
      <c r="S1940" s="15"/>
      <c r="T1940" s="15"/>
      <c r="U1940" s="15"/>
      <c r="V1940" s="15"/>
      <c r="W1940" s="15"/>
      <c r="X1940" s="15"/>
    </row>
    <row r="1941" ht="15.75" customHeight="1">
      <c r="I1941" s="43"/>
      <c r="Q1941" s="15"/>
      <c r="R1941" s="15"/>
      <c r="S1941" s="15"/>
      <c r="T1941" s="15"/>
      <c r="U1941" s="15"/>
      <c r="V1941" s="15"/>
      <c r="W1941" s="15"/>
      <c r="X1941" s="15"/>
    </row>
    <row r="1942" ht="15.75" customHeight="1">
      <c r="I1942" s="43"/>
      <c r="Q1942" s="15"/>
      <c r="R1942" s="15"/>
      <c r="S1942" s="15"/>
      <c r="T1942" s="15"/>
      <c r="U1942" s="15"/>
      <c r="V1942" s="15"/>
      <c r="W1942" s="15"/>
      <c r="X1942" s="15"/>
    </row>
    <row r="1943" ht="15.75" customHeight="1">
      <c r="I1943" s="43"/>
      <c r="Q1943" s="15"/>
      <c r="R1943" s="15"/>
      <c r="S1943" s="15"/>
      <c r="T1943" s="15"/>
      <c r="U1943" s="15"/>
      <c r="V1943" s="15"/>
      <c r="W1943" s="15"/>
      <c r="X1943" s="15"/>
    </row>
    <row r="1944" ht="15.75" customHeight="1">
      <c r="I1944" s="43"/>
      <c r="Q1944" s="15"/>
      <c r="R1944" s="15"/>
      <c r="S1944" s="15"/>
      <c r="T1944" s="15"/>
      <c r="U1944" s="15"/>
      <c r="V1944" s="15"/>
      <c r="W1944" s="15"/>
      <c r="X1944" s="15"/>
    </row>
    <row r="1945" ht="15.75" customHeight="1">
      <c r="I1945" s="43"/>
      <c r="Q1945" s="15"/>
      <c r="R1945" s="15"/>
      <c r="S1945" s="15"/>
      <c r="T1945" s="15"/>
      <c r="U1945" s="15"/>
      <c r="V1945" s="15"/>
      <c r="W1945" s="15"/>
      <c r="X1945" s="15"/>
    </row>
    <row r="1946" ht="15.75" customHeight="1">
      <c r="I1946" s="43"/>
      <c r="Q1946" s="15"/>
      <c r="R1946" s="15"/>
      <c r="S1946" s="15"/>
      <c r="T1946" s="15"/>
      <c r="U1946" s="15"/>
      <c r="V1946" s="15"/>
      <c r="W1946" s="15"/>
      <c r="X1946" s="15"/>
    </row>
    <row r="1947" ht="15.75" customHeight="1">
      <c r="I1947" s="43"/>
      <c r="Q1947" s="15"/>
      <c r="R1947" s="15"/>
      <c r="S1947" s="15"/>
      <c r="T1947" s="15"/>
      <c r="U1947" s="15"/>
      <c r="V1947" s="15"/>
      <c r="W1947" s="15"/>
      <c r="X1947" s="15"/>
    </row>
    <row r="1948" ht="15.75" customHeight="1">
      <c r="I1948" s="43"/>
      <c r="Q1948" s="15"/>
      <c r="R1948" s="15"/>
      <c r="S1948" s="15"/>
      <c r="T1948" s="15"/>
      <c r="U1948" s="15"/>
      <c r="V1948" s="15"/>
      <c r="W1948" s="15"/>
      <c r="X1948" s="15"/>
    </row>
    <row r="1949" ht="15.75" customHeight="1">
      <c r="I1949" s="43"/>
      <c r="Q1949" s="15"/>
      <c r="R1949" s="15"/>
      <c r="S1949" s="15"/>
      <c r="T1949" s="15"/>
      <c r="U1949" s="15"/>
      <c r="V1949" s="15"/>
      <c r="W1949" s="15"/>
      <c r="X1949" s="15"/>
    </row>
    <row r="1950" ht="15.75" customHeight="1">
      <c r="I1950" s="43"/>
      <c r="Q1950" s="15"/>
      <c r="R1950" s="15"/>
      <c r="S1950" s="15"/>
      <c r="T1950" s="15"/>
      <c r="U1950" s="15"/>
      <c r="V1950" s="15"/>
      <c r="W1950" s="15"/>
      <c r="X1950" s="15"/>
    </row>
    <row r="1951" ht="15.75" customHeight="1">
      <c r="I1951" s="43"/>
      <c r="Q1951" s="15"/>
      <c r="R1951" s="15"/>
      <c r="S1951" s="15"/>
      <c r="T1951" s="15"/>
      <c r="U1951" s="15"/>
      <c r="V1951" s="15"/>
      <c r="W1951" s="15"/>
      <c r="X1951" s="15"/>
    </row>
    <row r="1952" ht="15.75" customHeight="1">
      <c r="I1952" s="43"/>
      <c r="Q1952" s="15"/>
      <c r="R1952" s="15"/>
      <c r="S1952" s="15"/>
      <c r="T1952" s="15"/>
      <c r="U1952" s="15"/>
      <c r="V1952" s="15"/>
      <c r="W1952" s="15"/>
      <c r="X1952" s="15"/>
    </row>
    <row r="1953" ht="15.75" customHeight="1">
      <c r="I1953" s="43"/>
      <c r="Q1953" s="15"/>
      <c r="R1953" s="15"/>
      <c r="S1953" s="15"/>
      <c r="T1953" s="15"/>
      <c r="U1953" s="15"/>
      <c r="V1953" s="15"/>
      <c r="W1953" s="15"/>
      <c r="X1953" s="15"/>
    </row>
    <row r="1954" ht="15.75" customHeight="1">
      <c r="I1954" s="43"/>
      <c r="Q1954" s="15"/>
      <c r="R1954" s="15"/>
      <c r="S1954" s="15"/>
      <c r="T1954" s="15"/>
      <c r="U1954" s="15"/>
      <c r="V1954" s="15"/>
      <c r="W1954" s="15"/>
      <c r="X1954" s="15"/>
    </row>
    <row r="1955" ht="15.75" customHeight="1">
      <c r="I1955" s="43"/>
      <c r="Q1955" s="15"/>
      <c r="R1955" s="15"/>
      <c r="S1955" s="15"/>
      <c r="T1955" s="15"/>
      <c r="U1955" s="15"/>
      <c r="V1955" s="15"/>
      <c r="W1955" s="15"/>
      <c r="X1955" s="15"/>
    </row>
    <row r="1956" ht="15.75" customHeight="1">
      <c r="I1956" s="43"/>
      <c r="Q1956" s="15"/>
      <c r="R1956" s="15"/>
      <c r="S1956" s="15"/>
      <c r="T1956" s="15"/>
      <c r="U1956" s="15"/>
      <c r="V1956" s="15"/>
      <c r="W1956" s="15"/>
      <c r="X1956" s="15"/>
    </row>
    <row r="1957" ht="15.75" customHeight="1">
      <c r="I1957" s="43"/>
      <c r="Q1957" s="15"/>
      <c r="R1957" s="15"/>
      <c r="S1957" s="15"/>
      <c r="T1957" s="15"/>
      <c r="U1957" s="15"/>
      <c r="V1957" s="15"/>
      <c r="W1957" s="15"/>
      <c r="X1957" s="15"/>
    </row>
    <row r="1958" ht="15.75" customHeight="1">
      <c r="I1958" s="43"/>
      <c r="Q1958" s="15"/>
      <c r="R1958" s="15"/>
      <c r="S1958" s="15"/>
      <c r="T1958" s="15"/>
      <c r="U1958" s="15"/>
      <c r="V1958" s="15"/>
      <c r="W1958" s="15"/>
      <c r="X1958" s="15"/>
    </row>
    <row r="1959" ht="15.75" customHeight="1">
      <c r="I1959" s="43"/>
      <c r="Q1959" s="15"/>
      <c r="R1959" s="15"/>
      <c r="S1959" s="15"/>
      <c r="T1959" s="15"/>
      <c r="U1959" s="15"/>
      <c r="V1959" s="15"/>
      <c r="W1959" s="15"/>
      <c r="X1959" s="15"/>
    </row>
    <row r="1960" ht="15.75" customHeight="1">
      <c r="I1960" s="43"/>
      <c r="Q1960" s="15"/>
      <c r="R1960" s="15"/>
      <c r="S1960" s="15"/>
      <c r="T1960" s="15"/>
      <c r="U1960" s="15"/>
      <c r="V1960" s="15"/>
      <c r="W1960" s="15"/>
      <c r="X1960" s="15"/>
    </row>
    <row r="1961" ht="15.75" customHeight="1">
      <c r="I1961" s="43"/>
      <c r="Q1961" s="15"/>
      <c r="R1961" s="15"/>
      <c r="S1961" s="15"/>
      <c r="T1961" s="15"/>
      <c r="U1961" s="15"/>
      <c r="V1961" s="15"/>
      <c r="W1961" s="15"/>
      <c r="X1961" s="15"/>
    </row>
    <row r="1962" ht="15.75" customHeight="1">
      <c r="I1962" s="43"/>
      <c r="Q1962" s="15"/>
      <c r="R1962" s="15"/>
      <c r="S1962" s="15"/>
      <c r="T1962" s="15"/>
      <c r="U1962" s="15"/>
      <c r="V1962" s="15"/>
      <c r="W1962" s="15"/>
      <c r="X1962" s="15"/>
    </row>
    <row r="1963" ht="15.75" customHeight="1">
      <c r="I1963" s="43"/>
      <c r="Q1963" s="15"/>
      <c r="R1963" s="15"/>
      <c r="S1963" s="15"/>
      <c r="T1963" s="15"/>
      <c r="U1963" s="15"/>
      <c r="V1963" s="15"/>
      <c r="W1963" s="15"/>
      <c r="X1963" s="15"/>
    </row>
    <row r="1964" ht="15.75" customHeight="1">
      <c r="I1964" s="43"/>
      <c r="Q1964" s="15"/>
      <c r="R1964" s="15"/>
      <c r="S1964" s="15"/>
      <c r="T1964" s="15"/>
      <c r="U1964" s="15"/>
      <c r="V1964" s="15"/>
      <c r="W1964" s="15"/>
      <c r="X1964" s="15"/>
    </row>
    <row r="1965" ht="15.75" customHeight="1">
      <c r="I1965" s="43"/>
      <c r="Q1965" s="15"/>
      <c r="R1965" s="15"/>
      <c r="S1965" s="15"/>
      <c r="T1965" s="15"/>
      <c r="U1965" s="15"/>
      <c r="V1965" s="15"/>
      <c r="W1965" s="15"/>
      <c r="X1965" s="15"/>
    </row>
    <row r="1966" ht="15.75" customHeight="1">
      <c r="I1966" s="43"/>
      <c r="Q1966" s="15"/>
      <c r="R1966" s="15"/>
      <c r="S1966" s="15"/>
      <c r="T1966" s="15"/>
      <c r="U1966" s="15"/>
      <c r="V1966" s="15"/>
      <c r="W1966" s="15"/>
      <c r="X1966" s="15"/>
    </row>
    <row r="1967" ht="15.75" customHeight="1">
      <c r="I1967" s="43"/>
      <c r="Q1967" s="15"/>
      <c r="R1967" s="15"/>
      <c r="S1967" s="15"/>
      <c r="T1967" s="15"/>
      <c r="U1967" s="15"/>
      <c r="V1967" s="15"/>
      <c r="W1967" s="15"/>
      <c r="X1967" s="15"/>
    </row>
    <row r="1968" ht="15.75" customHeight="1">
      <c r="I1968" s="43"/>
      <c r="Q1968" s="15"/>
      <c r="R1968" s="15"/>
      <c r="S1968" s="15"/>
      <c r="T1968" s="15"/>
      <c r="U1968" s="15"/>
      <c r="V1968" s="15"/>
      <c r="W1968" s="15"/>
      <c r="X1968" s="15"/>
    </row>
    <row r="1969" ht="15.75" customHeight="1">
      <c r="I1969" s="43"/>
      <c r="Q1969" s="15"/>
      <c r="R1969" s="15"/>
      <c r="S1969" s="15"/>
      <c r="T1969" s="15"/>
      <c r="U1969" s="15"/>
      <c r="V1969" s="15"/>
      <c r="W1969" s="15"/>
      <c r="X1969" s="15"/>
    </row>
    <row r="1970" ht="15.75" customHeight="1">
      <c r="I1970" s="43"/>
      <c r="Q1970" s="15"/>
      <c r="R1970" s="15"/>
      <c r="S1970" s="15"/>
      <c r="T1970" s="15"/>
      <c r="U1970" s="15"/>
      <c r="V1970" s="15"/>
      <c r="W1970" s="15"/>
      <c r="X1970" s="15"/>
    </row>
    <row r="1971" ht="15.75" customHeight="1">
      <c r="I1971" s="43"/>
      <c r="Q1971" s="15"/>
      <c r="R1971" s="15"/>
      <c r="S1971" s="15"/>
      <c r="T1971" s="15"/>
      <c r="U1971" s="15"/>
      <c r="V1971" s="15"/>
      <c r="W1971" s="15"/>
      <c r="X1971" s="15"/>
    </row>
    <row r="1972" ht="15.75" customHeight="1">
      <c r="I1972" s="43"/>
      <c r="Q1972" s="15"/>
      <c r="R1972" s="15"/>
      <c r="S1972" s="15"/>
      <c r="T1972" s="15"/>
      <c r="U1972" s="15"/>
      <c r="V1972" s="15"/>
      <c r="W1972" s="15"/>
      <c r="X1972" s="15"/>
    </row>
    <row r="1973" ht="15.75" customHeight="1">
      <c r="I1973" s="43"/>
      <c r="Q1973" s="15"/>
      <c r="R1973" s="15"/>
      <c r="S1973" s="15"/>
      <c r="T1973" s="15"/>
      <c r="U1973" s="15"/>
      <c r="V1973" s="15"/>
      <c r="W1973" s="15"/>
      <c r="X1973" s="15"/>
    </row>
    <row r="1974" ht="15.75" customHeight="1">
      <c r="I1974" s="43"/>
      <c r="Q1974" s="15"/>
      <c r="R1974" s="15"/>
      <c r="S1974" s="15"/>
      <c r="T1974" s="15"/>
      <c r="U1974" s="15"/>
      <c r="V1974" s="15"/>
      <c r="W1974" s="15"/>
      <c r="X1974" s="15"/>
    </row>
    <row r="1975" ht="15.75" customHeight="1">
      <c r="I1975" s="43"/>
      <c r="Q1975" s="15"/>
      <c r="R1975" s="15"/>
      <c r="S1975" s="15"/>
      <c r="T1975" s="15"/>
      <c r="U1975" s="15"/>
      <c r="V1975" s="15"/>
      <c r="W1975" s="15"/>
      <c r="X1975" s="15"/>
    </row>
    <row r="1976" ht="15.75" customHeight="1">
      <c r="I1976" s="43"/>
      <c r="Q1976" s="15"/>
      <c r="R1976" s="15"/>
      <c r="S1976" s="15"/>
      <c r="T1976" s="15"/>
      <c r="U1976" s="15"/>
      <c r="V1976" s="15"/>
      <c r="W1976" s="15"/>
      <c r="X1976" s="15"/>
    </row>
    <row r="1977" ht="15.75" customHeight="1">
      <c r="I1977" s="43"/>
      <c r="Q1977" s="15"/>
      <c r="R1977" s="15"/>
      <c r="S1977" s="15"/>
      <c r="T1977" s="15"/>
      <c r="U1977" s="15"/>
      <c r="V1977" s="15"/>
      <c r="W1977" s="15"/>
      <c r="X1977" s="15"/>
    </row>
    <row r="1978" ht="15.75" customHeight="1">
      <c r="I1978" s="43"/>
      <c r="Q1978" s="15"/>
      <c r="R1978" s="15"/>
      <c r="S1978" s="15"/>
      <c r="T1978" s="15"/>
      <c r="U1978" s="15"/>
      <c r="V1978" s="15"/>
      <c r="W1978" s="15"/>
      <c r="X1978" s="15"/>
    </row>
    <row r="1979" ht="15.75" customHeight="1">
      <c r="I1979" s="43"/>
      <c r="Q1979" s="15"/>
      <c r="R1979" s="15"/>
      <c r="S1979" s="15"/>
      <c r="T1979" s="15"/>
      <c r="U1979" s="15"/>
      <c r="V1979" s="15"/>
      <c r="W1979" s="15"/>
      <c r="X1979" s="15"/>
    </row>
    <row r="1980" ht="15.75" customHeight="1">
      <c r="I1980" s="43"/>
      <c r="Q1980" s="15"/>
      <c r="R1980" s="15"/>
      <c r="S1980" s="15"/>
      <c r="T1980" s="15"/>
      <c r="U1980" s="15"/>
      <c r="V1980" s="15"/>
      <c r="W1980" s="15"/>
      <c r="X1980" s="15"/>
    </row>
    <row r="1981" ht="15.75" customHeight="1">
      <c r="I1981" s="43"/>
      <c r="Q1981" s="15"/>
      <c r="R1981" s="15"/>
      <c r="S1981" s="15"/>
      <c r="T1981" s="15"/>
      <c r="U1981" s="15"/>
      <c r="V1981" s="15"/>
      <c r="W1981" s="15"/>
      <c r="X1981" s="15"/>
    </row>
    <row r="1982" ht="15.75" customHeight="1">
      <c r="I1982" s="43"/>
      <c r="Q1982" s="15"/>
      <c r="R1982" s="15"/>
      <c r="S1982" s="15"/>
      <c r="T1982" s="15"/>
      <c r="U1982" s="15"/>
      <c r="V1982" s="15"/>
      <c r="W1982" s="15"/>
      <c r="X1982" s="15"/>
    </row>
    <row r="1983" ht="15.75" customHeight="1">
      <c r="I1983" s="43"/>
      <c r="Q1983" s="15"/>
      <c r="R1983" s="15"/>
      <c r="S1983" s="15"/>
      <c r="T1983" s="15"/>
      <c r="U1983" s="15"/>
      <c r="V1983" s="15"/>
      <c r="W1983" s="15"/>
      <c r="X1983" s="15"/>
    </row>
    <row r="1984" ht="15.75" customHeight="1">
      <c r="I1984" s="43"/>
      <c r="Q1984" s="15"/>
      <c r="R1984" s="15"/>
      <c r="S1984" s="15"/>
      <c r="T1984" s="15"/>
      <c r="U1984" s="15"/>
      <c r="V1984" s="15"/>
      <c r="W1984" s="15"/>
      <c r="X1984" s="15"/>
    </row>
    <row r="1985" ht="15.75" customHeight="1">
      <c r="I1985" s="43"/>
      <c r="Q1985" s="15"/>
      <c r="R1985" s="15"/>
      <c r="S1985" s="15"/>
      <c r="T1985" s="15"/>
      <c r="U1985" s="15"/>
      <c r="V1985" s="15"/>
      <c r="W1985" s="15"/>
      <c r="X1985" s="15"/>
    </row>
    <row r="1986" ht="15.75" customHeight="1">
      <c r="I1986" s="43"/>
      <c r="Q1986" s="15"/>
      <c r="R1986" s="15"/>
      <c r="S1986" s="15"/>
      <c r="T1986" s="15"/>
      <c r="U1986" s="15"/>
      <c r="V1986" s="15"/>
      <c r="W1986" s="15"/>
      <c r="X1986" s="15"/>
    </row>
    <row r="1987" ht="15.75" customHeight="1">
      <c r="I1987" s="43"/>
      <c r="Q1987" s="15"/>
      <c r="R1987" s="15"/>
      <c r="S1987" s="15"/>
      <c r="T1987" s="15"/>
      <c r="U1987" s="15"/>
      <c r="V1987" s="15"/>
      <c r="W1987" s="15"/>
      <c r="X1987" s="15"/>
    </row>
    <row r="1988" ht="15.75" customHeight="1">
      <c r="I1988" s="43"/>
      <c r="Q1988" s="15"/>
      <c r="R1988" s="15"/>
      <c r="S1988" s="15"/>
      <c r="T1988" s="15"/>
      <c r="U1988" s="15"/>
      <c r="V1988" s="15"/>
      <c r="W1988" s="15"/>
      <c r="X1988" s="15"/>
    </row>
    <row r="1989" ht="15.75" customHeight="1">
      <c r="I1989" s="43"/>
      <c r="Q1989" s="15"/>
      <c r="R1989" s="15"/>
      <c r="S1989" s="15"/>
      <c r="T1989" s="15"/>
      <c r="U1989" s="15"/>
      <c r="V1989" s="15"/>
      <c r="W1989" s="15"/>
      <c r="X1989" s="15"/>
    </row>
    <row r="1990" ht="15.75" customHeight="1">
      <c r="I1990" s="43"/>
      <c r="Q1990" s="15"/>
      <c r="R1990" s="15"/>
      <c r="S1990" s="15"/>
      <c r="T1990" s="15"/>
      <c r="U1990" s="15"/>
      <c r="V1990" s="15"/>
      <c r="W1990" s="15"/>
      <c r="X1990" s="15"/>
    </row>
    <row r="1991" ht="15.75" customHeight="1">
      <c r="I1991" s="43"/>
      <c r="Q1991" s="15"/>
      <c r="R1991" s="15"/>
      <c r="S1991" s="15"/>
      <c r="T1991" s="15"/>
      <c r="U1991" s="15"/>
      <c r="V1991" s="15"/>
      <c r="W1991" s="15"/>
      <c r="X1991" s="15"/>
    </row>
    <row r="1992" ht="15.75" customHeight="1">
      <c r="I1992" s="43"/>
      <c r="Q1992" s="15"/>
      <c r="R1992" s="15"/>
      <c r="S1992" s="15"/>
      <c r="T1992" s="15"/>
      <c r="U1992" s="15"/>
      <c r="V1992" s="15"/>
      <c r="W1992" s="15"/>
      <c r="X1992" s="15"/>
    </row>
    <row r="1993" ht="15.75" customHeight="1">
      <c r="I1993" s="43"/>
      <c r="Q1993" s="15"/>
      <c r="R1993" s="15"/>
      <c r="S1993" s="15"/>
      <c r="T1993" s="15"/>
      <c r="U1993" s="15"/>
      <c r="V1993" s="15"/>
      <c r="W1993" s="15"/>
      <c r="X1993" s="15"/>
    </row>
    <row r="1994" ht="15.75" customHeight="1">
      <c r="I1994" s="43"/>
      <c r="Q1994" s="15"/>
      <c r="R1994" s="15"/>
      <c r="S1994" s="15"/>
      <c r="T1994" s="15"/>
      <c r="U1994" s="15"/>
      <c r="V1994" s="15"/>
      <c r="W1994" s="15"/>
      <c r="X1994" s="15"/>
    </row>
    <row r="1995" ht="15.75" customHeight="1">
      <c r="I1995" s="43"/>
      <c r="Q1995" s="15"/>
      <c r="R1995" s="15"/>
      <c r="S1995" s="15"/>
      <c r="T1995" s="15"/>
      <c r="U1995" s="15"/>
      <c r="V1995" s="15"/>
      <c r="W1995" s="15"/>
      <c r="X1995" s="15"/>
    </row>
    <row r="1996" ht="15.75" customHeight="1">
      <c r="I1996" s="43"/>
      <c r="Q1996" s="15"/>
      <c r="R1996" s="15"/>
      <c r="S1996" s="15"/>
      <c r="T1996" s="15"/>
      <c r="U1996" s="15"/>
      <c r="V1996" s="15"/>
      <c r="W1996" s="15"/>
      <c r="X1996" s="15"/>
    </row>
    <row r="1997" ht="15.75" customHeight="1">
      <c r="I1997" s="43"/>
      <c r="Q1997" s="15"/>
      <c r="R1997" s="15"/>
      <c r="S1997" s="15"/>
      <c r="T1997" s="15"/>
      <c r="U1997" s="15"/>
      <c r="V1997" s="15"/>
      <c r="W1997" s="15"/>
      <c r="X1997" s="15"/>
    </row>
    <row r="1998" ht="15.75" customHeight="1">
      <c r="I1998" s="43"/>
      <c r="Q1998" s="15"/>
      <c r="R1998" s="15"/>
      <c r="S1998" s="15"/>
      <c r="T1998" s="15"/>
      <c r="U1998" s="15"/>
      <c r="V1998" s="15"/>
      <c r="W1998" s="15"/>
      <c r="X1998" s="15"/>
    </row>
    <row r="1999" ht="15.75" customHeight="1">
      <c r="I1999" s="43"/>
      <c r="Q1999" s="15"/>
      <c r="R1999" s="15"/>
      <c r="S1999" s="15"/>
      <c r="T1999" s="15"/>
      <c r="U1999" s="15"/>
      <c r="V1999" s="15"/>
      <c r="W1999" s="15"/>
      <c r="X1999" s="15"/>
    </row>
    <row r="2000" ht="15.75" customHeight="1">
      <c r="I2000" s="43"/>
      <c r="Q2000" s="15"/>
      <c r="R2000" s="15"/>
      <c r="S2000" s="15"/>
      <c r="T2000" s="15"/>
      <c r="U2000" s="15"/>
      <c r="V2000" s="15"/>
      <c r="W2000" s="15"/>
      <c r="X2000" s="15"/>
    </row>
    <row r="2001" ht="15.75" customHeight="1">
      <c r="I2001" s="43"/>
      <c r="Q2001" s="15"/>
      <c r="R2001" s="15"/>
      <c r="S2001" s="15"/>
      <c r="T2001" s="15"/>
      <c r="U2001" s="15"/>
      <c r="V2001" s="15"/>
      <c r="W2001" s="15"/>
      <c r="X2001" s="15"/>
    </row>
    <row r="2002" ht="15.75" customHeight="1">
      <c r="I2002" s="43"/>
      <c r="Q2002" s="15"/>
      <c r="R2002" s="15"/>
      <c r="S2002" s="15"/>
      <c r="T2002" s="15"/>
      <c r="U2002" s="15"/>
      <c r="V2002" s="15"/>
      <c r="W2002" s="15"/>
      <c r="X2002" s="15"/>
    </row>
    <row r="2003" ht="15.75" customHeight="1">
      <c r="I2003" s="43"/>
      <c r="Q2003" s="15"/>
      <c r="R2003" s="15"/>
      <c r="S2003" s="15"/>
      <c r="T2003" s="15"/>
      <c r="U2003" s="15"/>
      <c r="V2003" s="15"/>
      <c r="W2003" s="15"/>
      <c r="X2003" s="15"/>
    </row>
    <row r="2004" ht="15.75" customHeight="1">
      <c r="I2004" s="43"/>
      <c r="Q2004" s="15"/>
      <c r="R2004" s="15"/>
      <c r="S2004" s="15"/>
      <c r="T2004" s="15"/>
      <c r="U2004" s="15"/>
      <c r="V2004" s="15"/>
      <c r="W2004" s="15"/>
      <c r="X2004" s="15"/>
    </row>
    <row r="2005" ht="15.75" customHeight="1">
      <c r="I2005" s="43"/>
      <c r="Q2005" s="15"/>
      <c r="R2005" s="15"/>
      <c r="S2005" s="15"/>
      <c r="T2005" s="15"/>
      <c r="U2005" s="15"/>
      <c r="V2005" s="15"/>
      <c r="W2005" s="15"/>
      <c r="X2005" s="15"/>
    </row>
    <row r="2006" ht="15.75" customHeight="1">
      <c r="I2006" s="43"/>
      <c r="Q2006" s="15"/>
      <c r="R2006" s="15"/>
      <c r="S2006" s="15"/>
      <c r="T2006" s="15"/>
      <c r="U2006" s="15"/>
      <c r="V2006" s="15"/>
      <c r="W2006" s="15"/>
      <c r="X2006" s="15"/>
    </row>
    <row r="2007" ht="15.75" customHeight="1">
      <c r="I2007" s="43"/>
      <c r="Q2007" s="15"/>
      <c r="R2007" s="15"/>
      <c r="S2007" s="15"/>
      <c r="T2007" s="15"/>
      <c r="U2007" s="15"/>
      <c r="V2007" s="15"/>
      <c r="W2007" s="15"/>
      <c r="X2007" s="15"/>
    </row>
    <row r="2008" ht="15.75" customHeight="1">
      <c r="I2008" s="43"/>
      <c r="Q2008" s="15"/>
      <c r="R2008" s="15"/>
      <c r="S2008" s="15"/>
      <c r="T2008" s="15"/>
      <c r="U2008" s="15"/>
      <c r="V2008" s="15"/>
      <c r="W2008" s="15"/>
      <c r="X2008" s="15"/>
    </row>
    <row r="2009" ht="15.75" customHeight="1">
      <c r="I2009" s="43"/>
      <c r="Q2009" s="15"/>
      <c r="R2009" s="15"/>
      <c r="S2009" s="15"/>
      <c r="T2009" s="15"/>
      <c r="U2009" s="15"/>
      <c r="V2009" s="15"/>
      <c r="W2009" s="15"/>
      <c r="X2009" s="15"/>
    </row>
    <row r="2010" ht="15.75" customHeight="1">
      <c r="I2010" s="43"/>
      <c r="Q2010" s="15"/>
      <c r="R2010" s="15"/>
      <c r="S2010" s="15"/>
      <c r="T2010" s="15"/>
      <c r="U2010" s="15"/>
      <c r="V2010" s="15"/>
      <c r="W2010" s="15"/>
      <c r="X2010" s="15"/>
    </row>
    <row r="2011" ht="15.75" customHeight="1">
      <c r="I2011" s="43"/>
      <c r="Q2011" s="15"/>
      <c r="R2011" s="15"/>
      <c r="S2011" s="15"/>
      <c r="T2011" s="15"/>
      <c r="U2011" s="15"/>
      <c r="V2011" s="15"/>
      <c r="W2011" s="15"/>
      <c r="X2011" s="15"/>
    </row>
    <row r="2012" ht="15.75" customHeight="1">
      <c r="I2012" s="43"/>
      <c r="Q2012" s="15"/>
      <c r="R2012" s="15"/>
      <c r="S2012" s="15"/>
      <c r="T2012" s="15"/>
      <c r="U2012" s="15"/>
      <c r="V2012" s="15"/>
      <c r="W2012" s="15"/>
      <c r="X2012" s="15"/>
    </row>
    <row r="2013" ht="15.75" customHeight="1">
      <c r="I2013" s="43"/>
      <c r="Q2013" s="15"/>
      <c r="R2013" s="15"/>
      <c r="S2013" s="15"/>
      <c r="T2013" s="15"/>
      <c r="U2013" s="15"/>
      <c r="V2013" s="15"/>
      <c r="W2013" s="15"/>
      <c r="X2013" s="15"/>
    </row>
    <row r="2014" ht="15.75" customHeight="1">
      <c r="I2014" s="43"/>
      <c r="Q2014" s="15"/>
      <c r="R2014" s="15"/>
      <c r="S2014" s="15"/>
      <c r="T2014" s="15"/>
      <c r="U2014" s="15"/>
      <c r="V2014" s="15"/>
      <c r="W2014" s="15"/>
      <c r="X2014" s="15"/>
    </row>
    <row r="2015" ht="15.75" customHeight="1">
      <c r="I2015" s="43"/>
      <c r="Q2015" s="15"/>
      <c r="R2015" s="15"/>
      <c r="S2015" s="15"/>
      <c r="T2015" s="15"/>
      <c r="U2015" s="15"/>
      <c r="V2015" s="15"/>
      <c r="W2015" s="15"/>
      <c r="X2015" s="15"/>
    </row>
    <row r="2016" ht="15.75" customHeight="1">
      <c r="I2016" s="43"/>
      <c r="Q2016" s="15"/>
      <c r="R2016" s="15"/>
      <c r="S2016" s="15"/>
      <c r="T2016" s="15"/>
      <c r="U2016" s="15"/>
      <c r="V2016" s="15"/>
      <c r="W2016" s="15"/>
      <c r="X2016" s="15"/>
    </row>
    <row r="2017" ht="15.75" customHeight="1">
      <c r="I2017" s="43"/>
      <c r="Q2017" s="15"/>
      <c r="R2017" s="15"/>
      <c r="S2017" s="15"/>
      <c r="T2017" s="15"/>
      <c r="U2017" s="15"/>
      <c r="V2017" s="15"/>
      <c r="W2017" s="15"/>
      <c r="X2017" s="15"/>
    </row>
    <row r="2018" ht="15.75" customHeight="1">
      <c r="I2018" s="43"/>
      <c r="Q2018" s="15"/>
      <c r="R2018" s="15"/>
      <c r="S2018" s="15"/>
      <c r="T2018" s="15"/>
      <c r="U2018" s="15"/>
      <c r="V2018" s="15"/>
      <c r="W2018" s="15"/>
      <c r="X2018" s="15"/>
    </row>
    <row r="2019" ht="15.75" customHeight="1">
      <c r="I2019" s="43"/>
      <c r="Q2019" s="15"/>
      <c r="R2019" s="15"/>
      <c r="S2019" s="15"/>
      <c r="T2019" s="15"/>
      <c r="U2019" s="15"/>
      <c r="V2019" s="15"/>
      <c r="W2019" s="15"/>
      <c r="X2019" s="15"/>
    </row>
    <row r="2020" ht="15.75" customHeight="1">
      <c r="I2020" s="43"/>
      <c r="Q2020" s="15"/>
      <c r="R2020" s="15"/>
      <c r="S2020" s="15"/>
      <c r="T2020" s="15"/>
      <c r="U2020" s="15"/>
      <c r="V2020" s="15"/>
      <c r="W2020" s="15"/>
      <c r="X2020" s="15"/>
    </row>
    <row r="2021" ht="15.75" customHeight="1">
      <c r="I2021" s="43"/>
      <c r="Q2021" s="15"/>
      <c r="R2021" s="15"/>
      <c r="S2021" s="15"/>
      <c r="T2021" s="15"/>
      <c r="U2021" s="15"/>
      <c r="V2021" s="15"/>
      <c r="W2021" s="15"/>
      <c r="X2021" s="15"/>
    </row>
    <row r="2022" ht="15.75" customHeight="1">
      <c r="I2022" s="43"/>
      <c r="Q2022" s="15"/>
      <c r="R2022" s="15"/>
      <c r="S2022" s="15"/>
      <c r="T2022" s="15"/>
      <c r="U2022" s="15"/>
      <c r="V2022" s="15"/>
      <c r="W2022" s="15"/>
      <c r="X2022" s="15"/>
    </row>
    <row r="2023" ht="15.75" customHeight="1">
      <c r="I2023" s="43"/>
      <c r="Q2023" s="15"/>
      <c r="R2023" s="15"/>
      <c r="S2023" s="15"/>
      <c r="T2023" s="15"/>
      <c r="U2023" s="15"/>
      <c r="V2023" s="15"/>
      <c r="W2023" s="15"/>
      <c r="X2023" s="15"/>
    </row>
    <row r="2024" ht="15.75" customHeight="1">
      <c r="I2024" s="43"/>
      <c r="Q2024" s="15"/>
      <c r="R2024" s="15"/>
      <c r="S2024" s="15"/>
      <c r="T2024" s="15"/>
      <c r="U2024" s="15"/>
      <c r="V2024" s="15"/>
      <c r="W2024" s="15"/>
      <c r="X2024" s="15"/>
    </row>
    <row r="2025" ht="15.75" customHeight="1">
      <c r="I2025" s="43"/>
      <c r="Q2025" s="15"/>
      <c r="R2025" s="15"/>
      <c r="S2025" s="15"/>
      <c r="T2025" s="15"/>
      <c r="U2025" s="15"/>
      <c r="V2025" s="15"/>
      <c r="W2025" s="15"/>
      <c r="X2025" s="15"/>
    </row>
    <row r="2026" ht="15.75" customHeight="1">
      <c r="I2026" s="43"/>
      <c r="Q2026" s="15"/>
      <c r="R2026" s="15"/>
      <c r="S2026" s="15"/>
      <c r="T2026" s="15"/>
      <c r="U2026" s="15"/>
      <c r="V2026" s="15"/>
      <c r="W2026" s="15"/>
      <c r="X2026" s="15"/>
    </row>
    <row r="2027" ht="15.75" customHeight="1">
      <c r="I2027" s="43"/>
      <c r="Q2027" s="15"/>
      <c r="R2027" s="15"/>
      <c r="S2027" s="15"/>
      <c r="T2027" s="15"/>
      <c r="U2027" s="15"/>
      <c r="V2027" s="15"/>
      <c r="W2027" s="15"/>
      <c r="X2027" s="15"/>
    </row>
    <row r="2028" ht="15.75" customHeight="1">
      <c r="I2028" s="43"/>
      <c r="Q2028" s="15"/>
      <c r="R2028" s="15"/>
      <c r="S2028" s="15"/>
      <c r="T2028" s="15"/>
      <c r="U2028" s="15"/>
      <c r="V2028" s="15"/>
      <c r="W2028" s="15"/>
      <c r="X2028" s="15"/>
    </row>
    <row r="2029" ht="15.75" customHeight="1">
      <c r="I2029" s="43"/>
      <c r="Q2029" s="15"/>
      <c r="R2029" s="15"/>
      <c r="S2029" s="15"/>
      <c r="T2029" s="15"/>
      <c r="U2029" s="15"/>
      <c r="V2029" s="15"/>
      <c r="W2029" s="15"/>
      <c r="X2029" s="15"/>
    </row>
    <row r="2030" ht="15.75" customHeight="1">
      <c r="I2030" s="43"/>
      <c r="Q2030" s="15"/>
      <c r="R2030" s="15"/>
      <c r="S2030" s="15"/>
      <c r="T2030" s="15"/>
      <c r="U2030" s="15"/>
      <c r="V2030" s="15"/>
      <c r="W2030" s="15"/>
      <c r="X2030" s="15"/>
    </row>
    <row r="2031" ht="15.75" customHeight="1">
      <c r="I2031" s="43"/>
      <c r="Q2031" s="15"/>
      <c r="R2031" s="15"/>
      <c r="S2031" s="15"/>
      <c r="T2031" s="15"/>
      <c r="U2031" s="15"/>
      <c r="V2031" s="15"/>
      <c r="W2031" s="15"/>
      <c r="X2031" s="15"/>
    </row>
    <row r="2032" ht="15.75" customHeight="1">
      <c r="I2032" s="43"/>
      <c r="Q2032" s="15"/>
      <c r="R2032" s="15"/>
      <c r="S2032" s="15"/>
      <c r="T2032" s="15"/>
      <c r="U2032" s="15"/>
      <c r="V2032" s="15"/>
      <c r="W2032" s="15"/>
      <c r="X2032" s="15"/>
    </row>
    <row r="2033" ht="15.75" customHeight="1">
      <c r="I2033" s="43"/>
      <c r="Q2033" s="15"/>
      <c r="R2033" s="15"/>
      <c r="S2033" s="15"/>
      <c r="T2033" s="15"/>
      <c r="U2033" s="15"/>
      <c r="V2033" s="15"/>
      <c r="W2033" s="15"/>
      <c r="X2033" s="15"/>
    </row>
    <row r="2034" ht="15.75" customHeight="1">
      <c r="I2034" s="43"/>
      <c r="Q2034" s="15"/>
      <c r="R2034" s="15"/>
      <c r="S2034" s="15"/>
      <c r="T2034" s="15"/>
      <c r="U2034" s="15"/>
      <c r="V2034" s="15"/>
      <c r="W2034" s="15"/>
      <c r="X2034" s="15"/>
    </row>
    <row r="2035" ht="15.75" customHeight="1">
      <c r="I2035" s="43"/>
      <c r="Q2035" s="15"/>
      <c r="R2035" s="15"/>
      <c r="S2035" s="15"/>
      <c r="T2035" s="15"/>
      <c r="U2035" s="15"/>
      <c r="V2035" s="15"/>
      <c r="W2035" s="15"/>
      <c r="X2035" s="15"/>
    </row>
    <row r="2036" ht="15.75" customHeight="1">
      <c r="I2036" s="43"/>
      <c r="Q2036" s="15"/>
      <c r="R2036" s="15"/>
      <c r="S2036" s="15"/>
      <c r="T2036" s="15"/>
      <c r="U2036" s="15"/>
      <c r="V2036" s="15"/>
      <c r="W2036" s="15"/>
      <c r="X2036" s="15"/>
    </row>
    <row r="2037" ht="15.75" customHeight="1">
      <c r="I2037" s="43"/>
      <c r="Q2037" s="15"/>
      <c r="R2037" s="15"/>
      <c r="S2037" s="15"/>
      <c r="T2037" s="15"/>
      <c r="U2037" s="15"/>
      <c r="V2037" s="15"/>
      <c r="W2037" s="15"/>
      <c r="X2037" s="15"/>
    </row>
    <row r="2038" ht="15.75" customHeight="1">
      <c r="I2038" s="43"/>
      <c r="Q2038" s="15"/>
      <c r="R2038" s="15"/>
      <c r="S2038" s="15"/>
      <c r="T2038" s="15"/>
      <c r="U2038" s="15"/>
      <c r="V2038" s="15"/>
      <c r="W2038" s="15"/>
      <c r="X2038" s="15"/>
    </row>
    <row r="2039" ht="15.75" customHeight="1">
      <c r="I2039" s="43"/>
      <c r="Q2039" s="15"/>
      <c r="R2039" s="15"/>
      <c r="S2039" s="15"/>
      <c r="T2039" s="15"/>
      <c r="U2039" s="15"/>
      <c r="V2039" s="15"/>
      <c r="W2039" s="15"/>
      <c r="X2039" s="15"/>
    </row>
    <row r="2040" ht="15.75" customHeight="1">
      <c r="I2040" s="43"/>
      <c r="Q2040" s="15"/>
      <c r="R2040" s="15"/>
      <c r="S2040" s="15"/>
      <c r="T2040" s="15"/>
      <c r="U2040" s="15"/>
      <c r="V2040" s="15"/>
      <c r="W2040" s="15"/>
      <c r="X2040" s="15"/>
    </row>
    <row r="2041" ht="15.75" customHeight="1">
      <c r="I2041" s="43"/>
      <c r="Q2041" s="15"/>
      <c r="R2041" s="15"/>
      <c r="S2041" s="15"/>
      <c r="T2041" s="15"/>
      <c r="U2041" s="15"/>
      <c r="V2041" s="15"/>
      <c r="W2041" s="15"/>
      <c r="X2041" s="15"/>
    </row>
    <row r="2042" ht="15.75" customHeight="1">
      <c r="I2042" s="43"/>
      <c r="Q2042" s="15"/>
      <c r="R2042" s="15"/>
      <c r="S2042" s="15"/>
      <c r="T2042" s="15"/>
      <c r="U2042" s="15"/>
      <c r="V2042" s="15"/>
      <c r="W2042" s="15"/>
      <c r="X2042" s="15"/>
    </row>
    <row r="2043" ht="15.75" customHeight="1">
      <c r="I2043" s="43"/>
      <c r="Q2043" s="15"/>
      <c r="R2043" s="15"/>
      <c r="S2043" s="15"/>
      <c r="T2043" s="15"/>
      <c r="U2043" s="15"/>
      <c r="V2043" s="15"/>
      <c r="W2043" s="15"/>
      <c r="X2043" s="15"/>
    </row>
    <row r="2044" ht="15.75" customHeight="1">
      <c r="I2044" s="43"/>
      <c r="Q2044" s="15"/>
      <c r="R2044" s="15"/>
      <c r="S2044" s="15"/>
      <c r="T2044" s="15"/>
      <c r="U2044" s="15"/>
      <c r="V2044" s="15"/>
      <c r="W2044" s="15"/>
      <c r="X2044" s="15"/>
    </row>
    <row r="2045" ht="15.75" customHeight="1">
      <c r="I2045" s="43"/>
      <c r="Q2045" s="15"/>
      <c r="R2045" s="15"/>
      <c r="S2045" s="15"/>
      <c r="T2045" s="15"/>
      <c r="U2045" s="15"/>
      <c r="V2045" s="15"/>
      <c r="W2045" s="15"/>
      <c r="X2045" s="15"/>
    </row>
    <row r="2046" ht="15.75" customHeight="1">
      <c r="I2046" s="43"/>
      <c r="Q2046" s="15"/>
      <c r="R2046" s="15"/>
      <c r="S2046" s="15"/>
      <c r="T2046" s="15"/>
      <c r="U2046" s="15"/>
      <c r="V2046" s="15"/>
      <c r="W2046" s="15"/>
      <c r="X2046" s="15"/>
    </row>
    <row r="2047" ht="15.75" customHeight="1">
      <c r="I2047" s="43"/>
      <c r="Q2047" s="15"/>
      <c r="R2047" s="15"/>
      <c r="S2047" s="15"/>
      <c r="T2047" s="15"/>
      <c r="U2047" s="15"/>
      <c r="V2047" s="15"/>
      <c r="W2047" s="15"/>
      <c r="X2047" s="15"/>
    </row>
    <row r="2048" ht="15.75" customHeight="1">
      <c r="I2048" s="43"/>
      <c r="Q2048" s="15"/>
      <c r="R2048" s="15"/>
      <c r="S2048" s="15"/>
      <c r="T2048" s="15"/>
      <c r="U2048" s="15"/>
      <c r="V2048" s="15"/>
      <c r="W2048" s="15"/>
      <c r="X2048" s="15"/>
    </row>
    <row r="2049" ht="15.75" customHeight="1">
      <c r="I2049" s="43"/>
      <c r="Q2049" s="15"/>
      <c r="R2049" s="15"/>
      <c r="S2049" s="15"/>
      <c r="T2049" s="15"/>
      <c r="U2049" s="15"/>
      <c r="V2049" s="15"/>
      <c r="W2049" s="15"/>
      <c r="X2049" s="15"/>
    </row>
    <row r="2050" ht="15.75" customHeight="1">
      <c r="I2050" s="43"/>
      <c r="Q2050" s="15"/>
      <c r="R2050" s="15"/>
      <c r="S2050" s="15"/>
      <c r="T2050" s="15"/>
      <c r="U2050" s="15"/>
      <c r="V2050" s="15"/>
      <c r="W2050" s="15"/>
      <c r="X2050" s="15"/>
    </row>
    <row r="2051" ht="15.75" customHeight="1">
      <c r="I2051" s="43"/>
      <c r="Q2051" s="15"/>
      <c r="R2051" s="15"/>
      <c r="S2051" s="15"/>
      <c r="T2051" s="15"/>
      <c r="U2051" s="15"/>
      <c r="V2051" s="15"/>
      <c r="W2051" s="15"/>
      <c r="X2051" s="15"/>
    </row>
    <row r="2052" ht="15.75" customHeight="1">
      <c r="I2052" s="43"/>
      <c r="Q2052" s="15"/>
      <c r="R2052" s="15"/>
      <c r="S2052" s="15"/>
      <c r="T2052" s="15"/>
      <c r="U2052" s="15"/>
      <c r="V2052" s="15"/>
      <c r="W2052" s="15"/>
      <c r="X2052" s="15"/>
    </row>
    <row r="2053" ht="15.75" customHeight="1">
      <c r="I2053" s="43"/>
      <c r="Q2053" s="15"/>
      <c r="R2053" s="15"/>
      <c r="S2053" s="15"/>
      <c r="T2053" s="15"/>
      <c r="U2053" s="15"/>
      <c r="V2053" s="15"/>
      <c r="W2053" s="15"/>
      <c r="X2053" s="15"/>
    </row>
    <row r="2054" ht="15.75" customHeight="1">
      <c r="I2054" s="43"/>
      <c r="Q2054" s="15"/>
      <c r="R2054" s="15"/>
      <c r="S2054" s="15"/>
      <c r="T2054" s="15"/>
      <c r="U2054" s="15"/>
      <c r="V2054" s="15"/>
      <c r="W2054" s="15"/>
      <c r="X2054" s="15"/>
    </row>
    <row r="2055" ht="15.75" customHeight="1">
      <c r="I2055" s="43"/>
      <c r="Q2055" s="15"/>
      <c r="R2055" s="15"/>
      <c r="S2055" s="15"/>
      <c r="T2055" s="15"/>
      <c r="U2055" s="15"/>
      <c r="V2055" s="15"/>
      <c r="W2055" s="15"/>
      <c r="X2055" s="15"/>
    </row>
    <row r="2056" ht="15.75" customHeight="1">
      <c r="I2056" s="43"/>
      <c r="Q2056" s="15"/>
      <c r="R2056" s="15"/>
      <c r="S2056" s="15"/>
      <c r="T2056" s="15"/>
      <c r="U2056" s="15"/>
      <c r="V2056" s="15"/>
      <c r="W2056" s="15"/>
      <c r="X2056" s="15"/>
    </row>
    <row r="2057" ht="15.75" customHeight="1">
      <c r="I2057" s="43"/>
      <c r="Q2057" s="15"/>
      <c r="R2057" s="15"/>
      <c r="S2057" s="15"/>
      <c r="T2057" s="15"/>
      <c r="U2057" s="15"/>
      <c r="V2057" s="15"/>
      <c r="W2057" s="15"/>
      <c r="X2057" s="15"/>
    </row>
    <row r="2058" ht="15.75" customHeight="1">
      <c r="I2058" s="43"/>
      <c r="Q2058" s="15"/>
      <c r="R2058" s="15"/>
      <c r="S2058" s="15"/>
      <c r="T2058" s="15"/>
      <c r="U2058" s="15"/>
      <c r="V2058" s="15"/>
      <c r="W2058" s="15"/>
      <c r="X2058" s="15"/>
    </row>
    <row r="2059" ht="15.75" customHeight="1">
      <c r="I2059" s="43"/>
      <c r="Q2059" s="15"/>
      <c r="R2059" s="15"/>
      <c r="S2059" s="15"/>
      <c r="T2059" s="15"/>
      <c r="U2059" s="15"/>
      <c r="V2059" s="15"/>
      <c r="W2059" s="15"/>
      <c r="X2059" s="15"/>
    </row>
    <row r="2060" ht="15.75" customHeight="1">
      <c r="I2060" s="43"/>
      <c r="Q2060" s="15"/>
      <c r="R2060" s="15"/>
      <c r="S2060" s="15"/>
      <c r="T2060" s="15"/>
      <c r="U2060" s="15"/>
      <c r="V2060" s="15"/>
      <c r="W2060" s="15"/>
      <c r="X2060" s="15"/>
    </row>
    <row r="2061" ht="15.75" customHeight="1">
      <c r="I2061" s="43"/>
      <c r="Q2061" s="15"/>
      <c r="R2061" s="15"/>
      <c r="S2061" s="15"/>
      <c r="T2061" s="15"/>
      <c r="U2061" s="15"/>
      <c r="V2061" s="15"/>
      <c r="W2061" s="15"/>
      <c r="X2061" s="15"/>
    </row>
    <row r="2062" ht="15.75" customHeight="1">
      <c r="I2062" s="43"/>
      <c r="Q2062" s="15"/>
      <c r="R2062" s="15"/>
      <c r="S2062" s="15"/>
      <c r="T2062" s="15"/>
      <c r="U2062" s="15"/>
      <c r="V2062" s="15"/>
      <c r="W2062" s="15"/>
      <c r="X2062" s="15"/>
    </row>
    <row r="2063" ht="15.75" customHeight="1">
      <c r="I2063" s="43"/>
      <c r="Q2063" s="15"/>
      <c r="R2063" s="15"/>
      <c r="S2063" s="15"/>
      <c r="T2063" s="15"/>
      <c r="U2063" s="15"/>
      <c r="V2063" s="15"/>
      <c r="W2063" s="15"/>
      <c r="X2063" s="15"/>
    </row>
    <row r="2064" ht="15.75" customHeight="1">
      <c r="I2064" s="43"/>
      <c r="Q2064" s="15"/>
      <c r="R2064" s="15"/>
      <c r="S2064" s="15"/>
      <c r="T2064" s="15"/>
      <c r="U2064" s="15"/>
      <c r="V2064" s="15"/>
      <c r="W2064" s="15"/>
      <c r="X2064" s="15"/>
    </row>
    <row r="2065" ht="15.75" customHeight="1">
      <c r="I2065" s="43"/>
      <c r="Q2065" s="15"/>
      <c r="R2065" s="15"/>
      <c r="S2065" s="15"/>
      <c r="T2065" s="15"/>
      <c r="U2065" s="15"/>
      <c r="V2065" s="15"/>
      <c r="W2065" s="15"/>
      <c r="X2065" s="15"/>
    </row>
    <row r="2066" ht="15.75" customHeight="1">
      <c r="I2066" s="43"/>
      <c r="Q2066" s="15"/>
      <c r="R2066" s="15"/>
      <c r="S2066" s="15"/>
      <c r="T2066" s="15"/>
      <c r="U2066" s="15"/>
      <c r="V2066" s="15"/>
      <c r="W2066" s="15"/>
      <c r="X2066" s="15"/>
    </row>
    <row r="2067" ht="15.75" customHeight="1">
      <c r="I2067" s="43"/>
      <c r="Q2067" s="15"/>
      <c r="R2067" s="15"/>
      <c r="S2067" s="15"/>
      <c r="T2067" s="15"/>
      <c r="U2067" s="15"/>
      <c r="V2067" s="15"/>
      <c r="W2067" s="15"/>
      <c r="X2067" s="15"/>
    </row>
    <row r="2068" ht="15.75" customHeight="1">
      <c r="I2068" s="43"/>
      <c r="Q2068" s="15"/>
      <c r="R2068" s="15"/>
      <c r="S2068" s="15"/>
      <c r="T2068" s="15"/>
      <c r="U2068" s="15"/>
      <c r="V2068" s="15"/>
      <c r="W2068" s="15"/>
      <c r="X2068" s="15"/>
    </row>
    <row r="2069" ht="15.75" customHeight="1">
      <c r="I2069" s="43"/>
      <c r="Q2069" s="15"/>
      <c r="R2069" s="15"/>
      <c r="S2069" s="15"/>
      <c r="T2069" s="15"/>
      <c r="U2069" s="15"/>
      <c r="V2069" s="15"/>
      <c r="W2069" s="15"/>
      <c r="X2069" s="15"/>
    </row>
    <row r="2070" ht="15.75" customHeight="1">
      <c r="I2070" s="43"/>
      <c r="Q2070" s="15"/>
      <c r="R2070" s="15"/>
      <c r="S2070" s="15"/>
      <c r="T2070" s="15"/>
      <c r="U2070" s="15"/>
      <c r="V2070" s="15"/>
      <c r="W2070" s="15"/>
      <c r="X2070" s="15"/>
    </row>
    <row r="2071" ht="15.75" customHeight="1">
      <c r="I2071" s="43"/>
      <c r="Q2071" s="15"/>
      <c r="R2071" s="15"/>
      <c r="S2071" s="15"/>
      <c r="T2071" s="15"/>
      <c r="U2071" s="15"/>
      <c r="V2071" s="15"/>
      <c r="W2071" s="15"/>
      <c r="X2071" s="15"/>
    </row>
    <row r="2072" ht="15.75" customHeight="1">
      <c r="I2072" s="43"/>
      <c r="Q2072" s="15"/>
      <c r="R2072" s="15"/>
      <c r="S2072" s="15"/>
      <c r="T2072" s="15"/>
      <c r="U2072" s="15"/>
      <c r="V2072" s="15"/>
      <c r="W2072" s="15"/>
      <c r="X2072" s="15"/>
    </row>
    <row r="2073" ht="15.75" customHeight="1">
      <c r="I2073" s="43"/>
      <c r="Q2073" s="15"/>
      <c r="R2073" s="15"/>
      <c r="S2073" s="15"/>
      <c r="T2073" s="15"/>
      <c r="U2073" s="15"/>
      <c r="V2073" s="15"/>
      <c r="W2073" s="15"/>
      <c r="X2073" s="15"/>
    </row>
    <row r="2074" ht="15.75" customHeight="1">
      <c r="I2074" s="43"/>
      <c r="Q2074" s="15"/>
      <c r="R2074" s="15"/>
      <c r="S2074" s="15"/>
      <c r="T2074" s="15"/>
      <c r="U2074" s="15"/>
      <c r="V2074" s="15"/>
      <c r="W2074" s="15"/>
      <c r="X2074" s="15"/>
    </row>
    <row r="2075" ht="15.75" customHeight="1">
      <c r="I2075" s="43"/>
      <c r="Q2075" s="15"/>
      <c r="R2075" s="15"/>
      <c r="S2075" s="15"/>
      <c r="T2075" s="15"/>
      <c r="U2075" s="15"/>
      <c r="V2075" s="15"/>
      <c r="W2075" s="15"/>
      <c r="X2075" s="15"/>
    </row>
    <row r="2076" ht="15.75" customHeight="1">
      <c r="I2076" s="43"/>
      <c r="Q2076" s="15"/>
      <c r="R2076" s="15"/>
      <c r="S2076" s="15"/>
      <c r="T2076" s="15"/>
      <c r="U2076" s="15"/>
      <c r="V2076" s="15"/>
      <c r="W2076" s="15"/>
      <c r="X2076" s="15"/>
    </row>
    <row r="2077" ht="15.75" customHeight="1">
      <c r="I2077" s="43"/>
      <c r="Q2077" s="15"/>
      <c r="R2077" s="15"/>
      <c r="S2077" s="15"/>
      <c r="T2077" s="15"/>
      <c r="U2077" s="15"/>
      <c r="V2077" s="15"/>
      <c r="W2077" s="15"/>
      <c r="X2077" s="15"/>
    </row>
    <row r="2078" ht="15.75" customHeight="1">
      <c r="I2078" s="43"/>
      <c r="Q2078" s="15"/>
      <c r="R2078" s="15"/>
      <c r="S2078" s="15"/>
      <c r="T2078" s="15"/>
      <c r="U2078" s="15"/>
      <c r="V2078" s="15"/>
      <c r="W2078" s="15"/>
      <c r="X2078" s="15"/>
    </row>
    <row r="2079" ht="15.75" customHeight="1">
      <c r="I2079" s="43"/>
      <c r="Q2079" s="15"/>
      <c r="R2079" s="15"/>
      <c r="S2079" s="15"/>
      <c r="T2079" s="15"/>
      <c r="U2079" s="15"/>
      <c r="V2079" s="15"/>
      <c r="W2079" s="15"/>
      <c r="X2079" s="15"/>
    </row>
    <row r="2080" ht="15.75" customHeight="1">
      <c r="I2080" s="43"/>
      <c r="Q2080" s="15"/>
      <c r="R2080" s="15"/>
      <c r="S2080" s="15"/>
      <c r="T2080" s="15"/>
      <c r="U2080" s="15"/>
      <c r="V2080" s="15"/>
      <c r="W2080" s="15"/>
      <c r="X2080" s="15"/>
    </row>
    <row r="2081" ht="15.75" customHeight="1">
      <c r="I2081" s="43"/>
      <c r="Q2081" s="15"/>
      <c r="R2081" s="15"/>
      <c r="S2081" s="15"/>
      <c r="T2081" s="15"/>
      <c r="U2081" s="15"/>
      <c r="V2081" s="15"/>
      <c r="W2081" s="15"/>
      <c r="X2081" s="15"/>
    </row>
    <row r="2082" ht="15.75" customHeight="1">
      <c r="I2082" s="43"/>
      <c r="Q2082" s="15"/>
      <c r="R2082" s="15"/>
      <c r="S2082" s="15"/>
      <c r="T2082" s="15"/>
      <c r="U2082" s="15"/>
      <c r="V2082" s="15"/>
      <c r="W2082" s="15"/>
      <c r="X2082" s="15"/>
    </row>
    <row r="2083" ht="15.75" customHeight="1">
      <c r="I2083" s="43"/>
      <c r="Q2083" s="15"/>
      <c r="R2083" s="15"/>
      <c r="S2083" s="15"/>
      <c r="T2083" s="15"/>
      <c r="U2083" s="15"/>
      <c r="V2083" s="15"/>
      <c r="W2083" s="15"/>
      <c r="X2083" s="15"/>
    </row>
    <row r="2084" ht="15.75" customHeight="1">
      <c r="I2084" s="43"/>
      <c r="Q2084" s="15"/>
      <c r="R2084" s="15"/>
      <c r="S2084" s="15"/>
      <c r="T2084" s="15"/>
      <c r="U2084" s="15"/>
      <c r="V2084" s="15"/>
      <c r="W2084" s="15"/>
      <c r="X2084" s="15"/>
    </row>
    <row r="2085" ht="15.75" customHeight="1">
      <c r="I2085" s="43"/>
      <c r="Q2085" s="15"/>
      <c r="R2085" s="15"/>
      <c r="S2085" s="15"/>
      <c r="T2085" s="15"/>
      <c r="U2085" s="15"/>
      <c r="V2085" s="15"/>
      <c r="W2085" s="15"/>
      <c r="X2085" s="15"/>
    </row>
    <row r="2086" ht="15.75" customHeight="1">
      <c r="I2086" s="43"/>
      <c r="Q2086" s="15"/>
      <c r="R2086" s="15"/>
      <c r="S2086" s="15"/>
      <c r="T2086" s="15"/>
      <c r="U2086" s="15"/>
      <c r="V2086" s="15"/>
      <c r="W2086" s="15"/>
      <c r="X2086" s="15"/>
    </row>
    <row r="2087" ht="15.75" customHeight="1">
      <c r="I2087" s="43"/>
      <c r="Q2087" s="15"/>
      <c r="R2087" s="15"/>
      <c r="S2087" s="15"/>
      <c r="T2087" s="15"/>
      <c r="U2087" s="15"/>
      <c r="V2087" s="15"/>
      <c r="W2087" s="15"/>
      <c r="X2087" s="15"/>
    </row>
    <row r="2088" ht="15.75" customHeight="1">
      <c r="I2088" s="43"/>
      <c r="Q2088" s="15"/>
      <c r="R2088" s="15"/>
      <c r="S2088" s="15"/>
      <c r="T2088" s="15"/>
      <c r="U2088" s="15"/>
      <c r="V2088" s="15"/>
      <c r="W2088" s="15"/>
      <c r="X2088" s="15"/>
    </row>
    <row r="2089" ht="15.75" customHeight="1">
      <c r="I2089" s="43"/>
      <c r="Q2089" s="15"/>
      <c r="R2089" s="15"/>
      <c r="S2089" s="15"/>
      <c r="T2089" s="15"/>
      <c r="U2089" s="15"/>
      <c r="V2089" s="15"/>
      <c r="W2089" s="15"/>
      <c r="X2089" s="15"/>
    </row>
    <row r="2090" ht="15.75" customHeight="1">
      <c r="I2090" s="43"/>
      <c r="Q2090" s="15"/>
      <c r="R2090" s="15"/>
      <c r="S2090" s="15"/>
      <c r="T2090" s="15"/>
      <c r="U2090" s="15"/>
      <c r="V2090" s="15"/>
      <c r="W2090" s="15"/>
      <c r="X2090" s="15"/>
    </row>
    <row r="2091" ht="15.75" customHeight="1">
      <c r="I2091" s="43"/>
      <c r="Q2091" s="15"/>
      <c r="R2091" s="15"/>
      <c r="S2091" s="15"/>
      <c r="T2091" s="15"/>
      <c r="U2091" s="15"/>
      <c r="V2091" s="15"/>
      <c r="W2091" s="15"/>
      <c r="X2091" s="15"/>
    </row>
    <row r="2092" ht="15.75" customHeight="1">
      <c r="I2092" s="43"/>
      <c r="Q2092" s="15"/>
      <c r="R2092" s="15"/>
      <c r="S2092" s="15"/>
      <c r="T2092" s="15"/>
      <c r="U2092" s="15"/>
      <c r="V2092" s="15"/>
      <c r="W2092" s="15"/>
      <c r="X2092" s="15"/>
    </row>
    <row r="2093" ht="15.75" customHeight="1">
      <c r="I2093" s="43"/>
      <c r="Q2093" s="15"/>
      <c r="R2093" s="15"/>
      <c r="S2093" s="15"/>
      <c r="T2093" s="15"/>
      <c r="U2093" s="15"/>
      <c r="V2093" s="15"/>
      <c r="W2093" s="15"/>
      <c r="X2093" s="15"/>
    </row>
    <row r="2094" ht="15.75" customHeight="1">
      <c r="I2094" s="43"/>
      <c r="Q2094" s="15"/>
      <c r="R2094" s="15"/>
      <c r="S2094" s="15"/>
      <c r="T2094" s="15"/>
      <c r="U2094" s="15"/>
      <c r="V2094" s="15"/>
      <c r="W2094" s="15"/>
      <c r="X2094" s="15"/>
    </row>
    <row r="2095" ht="15.75" customHeight="1">
      <c r="I2095" s="43"/>
      <c r="Q2095" s="15"/>
      <c r="R2095" s="15"/>
      <c r="S2095" s="15"/>
      <c r="T2095" s="15"/>
      <c r="U2095" s="15"/>
      <c r="V2095" s="15"/>
      <c r="W2095" s="15"/>
      <c r="X2095" s="15"/>
    </row>
    <row r="2096" ht="15.75" customHeight="1">
      <c r="I2096" s="43"/>
      <c r="Q2096" s="15"/>
      <c r="R2096" s="15"/>
      <c r="S2096" s="15"/>
      <c r="T2096" s="15"/>
      <c r="U2096" s="15"/>
      <c r="V2096" s="15"/>
      <c r="W2096" s="15"/>
      <c r="X2096" s="15"/>
    </row>
    <row r="2097" ht="15.75" customHeight="1">
      <c r="I2097" s="43"/>
      <c r="Q2097" s="15"/>
      <c r="R2097" s="15"/>
      <c r="S2097" s="15"/>
      <c r="T2097" s="15"/>
      <c r="U2097" s="15"/>
      <c r="V2097" s="15"/>
      <c r="W2097" s="15"/>
      <c r="X2097" s="15"/>
    </row>
    <row r="2098" ht="15.75" customHeight="1">
      <c r="I2098" s="43"/>
      <c r="Q2098" s="15"/>
      <c r="R2098" s="15"/>
      <c r="S2098" s="15"/>
      <c r="T2098" s="15"/>
      <c r="U2098" s="15"/>
      <c r="V2098" s="15"/>
      <c r="W2098" s="15"/>
      <c r="X2098" s="15"/>
    </row>
    <row r="2099" ht="15.75" customHeight="1">
      <c r="I2099" s="43"/>
      <c r="Q2099" s="15"/>
      <c r="R2099" s="15"/>
      <c r="S2099" s="15"/>
      <c r="T2099" s="15"/>
      <c r="U2099" s="15"/>
      <c r="V2099" s="15"/>
      <c r="W2099" s="15"/>
      <c r="X2099" s="15"/>
    </row>
    <row r="2100" ht="15.75" customHeight="1">
      <c r="I2100" s="43"/>
      <c r="Q2100" s="15"/>
      <c r="R2100" s="15"/>
      <c r="S2100" s="15"/>
      <c r="T2100" s="15"/>
      <c r="U2100" s="15"/>
      <c r="V2100" s="15"/>
      <c r="W2100" s="15"/>
      <c r="X2100" s="15"/>
    </row>
    <row r="2101" ht="15.75" customHeight="1">
      <c r="I2101" s="43"/>
      <c r="Q2101" s="15"/>
      <c r="R2101" s="15"/>
      <c r="S2101" s="15"/>
      <c r="T2101" s="15"/>
      <c r="U2101" s="15"/>
      <c r="V2101" s="15"/>
      <c r="W2101" s="15"/>
      <c r="X2101" s="15"/>
    </row>
    <row r="2102" ht="15.75" customHeight="1">
      <c r="I2102" s="43"/>
      <c r="Q2102" s="15"/>
      <c r="R2102" s="15"/>
      <c r="S2102" s="15"/>
      <c r="T2102" s="15"/>
      <c r="U2102" s="15"/>
      <c r="V2102" s="15"/>
      <c r="W2102" s="15"/>
      <c r="X2102" s="15"/>
    </row>
    <row r="2103" ht="15.75" customHeight="1">
      <c r="I2103" s="43"/>
      <c r="Q2103" s="15"/>
      <c r="R2103" s="15"/>
      <c r="S2103" s="15"/>
      <c r="T2103" s="15"/>
      <c r="U2103" s="15"/>
      <c r="V2103" s="15"/>
      <c r="W2103" s="15"/>
      <c r="X2103" s="15"/>
    </row>
    <row r="2104" ht="15.75" customHeight="1">
      <c r="I2104" s="43"/>
      <c r="Q2104" s="15"/>
      <c r="R2104" s="15"/>
      <c r="S2104" s="15"/>
      <c r="T2104" s="15"/>
      <c r="U2104" s="15"/>
      <c r="V2104" s="15"/>
      <c r="W2104" s="15"/>
      <c r="X2104" s="15"/>
    </row>
    <row r="2105" ht="15.75" customHeight="1">
      <c r="I2105" s="43"/>
      <c r="Q2105" s="15"/>
      <c r="R2105" s="15"/>
      <c r="S2105" s="15"/>
      <c r="T2105" s="15"/>
      <c r="U2105" s="15"/>
      <c r="V2105" s="15"/>
      <c r="W2105" s="15"/>
      <c r="X2105" s="15"/>
    </row>
    <row r="2106" ht="15.75" customHeight="1">
      <c r="I2106" s="43"/>
      <c r="Q2106" s="15"/>
      <c r="R2106" s="15"/>
      <c r="S2106" s="15"/>
      <c r="T2106" s="15"/>
      <c r="U2106" s="15"/>
      <c r="V2106" s="15"/>
      <c r="W2106" s="15"/>
      <c r="X2106" s="15"/>
    </row>
    <row r="2107" ht="15.75" customHeight="1">
      <c r="I2107" s="43"/>
      <c r="Q2107" s="15"/>
      <c r="R2107" s="15"/>
      <c r="S2107" s="15"/>
      <c r="T2107" s="15"/>
      <c r="U2107" s="15"/>
      <c r="V2107" s="15"/>
      <c r="W2107" s="15"/>
      <c r="X2107" s="15"/>
    </row>
    <row r="2108" ht="15.75" customHeight="1">
      <c r="I2108" s="43"/>
      <c r="Q2108" s="15"/>
      <c r="R2108" s="15"/>
      <c r="S2108" s="15"/>
      <c r="T2108" s="15"/>
      <c r="U2108" s="15"/>
      <c r="V2108" s="15"/>
      <c r="W2108" s="15"/>
      <c r="X2108" s="15"/>
    </row>
    <row r="2109" ht="15.75" customHeight="1">
      <c r="I2109" s="43"/>
      <c r="Q2109" s="15"/>
      <c r="R2109" s="15"/>
      <c r="S2109" s="15"/>
      <c r="T2109" s="15"/>
      <c r="U2109" s="15"/>
      <c r="V2109" s="15"/>
      <c r="W2109" s="15"/>
      <c r="X2109" s="15"/>
    </row>
    <row r="2110" ht="15.75" customHeight="1">
      <c r="I2110" s="43"/>
      <c r="Q2110" s="15"/>
      <c r="R2110" s="15"/>
      <c r="S2110" s="15"/>
      <c r="T2110" s="15"/>
      <c r="U2110" s="15"/>
      <c r="V2110" s="15"/>
      <c r="W2110" s="15"/>
      <c r="X2110" s="15"/>
    </row>
    <row r="2111" ht="15.75" customHeight="1">
      <c r="I2111" s="43"/>
      <c r="Q2111" s="15"/>
      <c r="R2111" s="15"/>
      <c r="S2111" s="15"/>
      <c r="T2111" s="15"/>
      <c r="U2111" s="15"/>
      <c r="V2111" s="15"/>
      <c r="W2111" s="15"/>
      <c r="X2111" s="15"/>
    </row>
    <row r="2112" ht="15.75" customHeight="1">
      <c r="I2112" s="43"/>
      <c r="Q2112" s="15"/>
      <c r="R2112" s="15"/>
      <c r="S2112" s="15"/>
      <c r="T2112" s="15"/>
      <c r="U2112" s="15"/>
      <c r="V2112" s="15"/>
      <c r="W2112" s="15"/>
      <c r="X2112" s="15"/>
    </row>
    <row r="2113" ht="15.75" customHeight="1">
      <c r="I2113" s="43"/>
      <c r="Q2113" s="15"/>
      <c r="R2113" s="15"/>
      <c r="S2113" s="15"/>
      <c r="T2113" s="15"/>
      <c r="U2113" s="15"/>
      <c r="V2113" s="15"/>
      <c r="W2113" s="15"/>
      <c r="X2113" s="15"/>
    </row>
    <row r="2114" ht="15.75" customHeight="1">
      <c r="I2114" s="43"/>
      <c r="Q2114" s="15"/>
      <c r="R2114" s="15"/>
      <c r="S2114" s="15"/>
      <c r="T2114" s="15"/>
      <c r="U2114" s="15"/>
      <c r="V2114" s="15"/>
      <c r="W2114" s="15"/>
      <c r="X2114" s="15"/>
    </row>
    <row r="2115" ht="15.75" customHeight="1">
      <c r="I2115" s="43"/>
      <c r="Q2115" s="15"/>
      <c r="R2115" s="15"/>
      <c r="S2115" s="15"/>
      <c r="T2115" s="15"/>
      <c r="U2115" s="15"/>
      <c r="V2115" s="15"/>
      <c r="W2115" s="15"/>
      <c r="X2115" s="15"/>
    </row>
    <row r="2116" ht="15.75" customHeight="1">
      <c r="I2116" s="43"/>
      <c r="Q2116" s="15"/>
      <c r="R2116" s="15"/>
      <c r="S2116" s="15"/>
      <c r="T2116" s="15"/>
      <c r="U2116" s="15"/>
      <c r="V2116" s="15"/>
      <c r="W2116" s="15"/>
      <c r="X2116" s="15"/>
    </row>
    <row r="2117" ht="15.75" customHeight="1">
      <c r="I2117" s="43"/>
      <c r="Q2117" s="15"/>
      <c r="R2117" s="15"/>
      <c r="S2117" s="15"/>
      <c r="T2117" s="15"/>
      <c r="U2117" s="15"/>
      <c r="V2117" s="15"/>
      <c r="W2117" s="15"/>
      <c r="X2117" s="15"/>
    </row>
    <row r="2118" ht="15.75" customHeight="1">
      <c r="I2118" s="43"/>
      <c r="Q2118" s="15"/>
      <c r="R2118" s="15"/>
      <c r="S2118" s="15"/>
      <c r="T2118" s="15"/>
      <c r="U2118" s="15"/>
      <c r="V2118" s="15"/>
      <c r="W2118" s="15"/>
      <c r="X2118" s="15"/>
    </row>
    <row r="2119" ht="15.75" customHeight="1">
      <c r="I2119" s="43"/>
      <c r="Q2119" s="15"/>
      <c r="R2119" s="15"/>
      <c r="S2119" s="15"/>
      <c r="T2119" s="15"/>
      <c r="U2119" s="15"/>
      <c r="V2119" s="15"/>
      <c r="W2119" s="15"/>
      <c r="X2119" s="15"/>
    </row>
    <row r="2120" ht="15.75" customHeight="1">
      <c r="I2120" s="43"/>
      <c r="Q2120" s="15"/>
      <c r="R2120" s="15"/>
      <c r="S2120" s="15"/>
      <c r="T2120" s="15"/>
      <c r="U2120" s="15"/>
      <c r="V2120" s="15"/>
      <c r="W2120" s="15"/>
      <c r="X2120" s="15"/>
    </row>
    <row r="2121" ht="15.75" customHeight="1">
      <c r="I2121" s="43"/>
      <c r="Q2121" s="15"/>
      <c r="R2121" s="15"/>
      <c r="S2121" s="15"/>
      <c r="T2121" s="15"/>
      <c r="U2121" s="15"/>
      <c r="V2121" s="15"/>
      <c r="W2121" s="15"/>
      <c r="X2121" s="15"/>
    </row>
    <row r="2122" ht="15.75" customHeight="1">
      <c r="I2122" s="43"/>
      <c r="Q2122" s="15"/>
      <c r="R2122" s="15"/>
      <c r="S2122" s="15"/>
      <c r="T2122" s="15"/>
      <c r="U2122" s="15"/>
      <c r="V2122" s="15"/>
      <c r="W2122" s="15"/>
      <c r="X2122" s="15"/>
    </row>
    <row r="2123" ht="15.75" customHeight="1">
      <c r="I2123" s="43"/>
      <c r="Q2123" s="15"/>
      <c r="R2123" s="15"/>
      <c r="S2123" s="15"/>
      <c r="T2123" s="15"/>
      <c r="U2123" s="15"/>
      <c r="V2123" s="15"/>
      <c r="W2123" s="15"/>
      <c r="X2123" s="15"/>
    </row>
    <row r="2124" ht="15.75" customHeight="1">
      <c r="I2124" s="43"/>
      <c r="Q2124" s="15"/>
      <c r="R2124" s="15"/>
      <c r="S2124" s="15"/>
      <c r="T2124" s="15"/>
      <c r="U2124" s="15"/>
      <c r="V2124" s="15"/>
      <c r="W2124" s="15"/>
      <c r="X2124" s="15"/>
    </row>
    <row r="2125" ht="15.75" customHeight="1">
      <c r="I2125" s="43"/>
      <c r="Q2125" s="15"/>
      <c r="R2125" s="15"/>
      <c r="S2125" s="15"/>
      <c r="T2125" s="15"/>
      <c r="U2125" s="15"/>
      <c r="V2125" s="15"/>
      <c r="W2125" s="15"/>
      <c r="X2125" s="15"/>
    </row>
    <row r="2126" ht="15.75" customHeight="1">
      <c r="I2126" s="43"/>
      <c r="Q2126" s="15"/>
      <c r="R2126" s="15"/>
      <c r="S2126" s="15"/>
      <c r="T2126" s="15"/>
      <c r="U2126" s="15"/>
      <c r="V2126" s="15"/>
      <c r="W2126" s="15"/>
      <c r="X2126" s="15"/>
    </row>
    <row r="2127" ht="15.75" customHeight="1">
      <c r="I2127" s="43"/>
      <c r="Q2127" s="15"/>
      <c r="R2127" s="15"/>
      <c r="S2127" s="15"/>
      <c r="T2127" s="15"/>
      <c r="U2127" s="15"/>
      <c r="V2127" s="15"/>
      <c r="W2127" s="15"/>
      <c r="X2127" s="15"/>
    </row>
    <row r="2128" ht="15.75" customHeight="1">
      <c r="I2128" s="43"/>
      <c r="Q2128" s="15"/>
      <c r="R2128" s="15"/>
      <c r="S2128" s="15"/>
      <c r="T2128" s="15"/>
      <c r="U2128" s="15"/>
      <c r="V2128" s="15"/>
      <c r="W2128" s="15"/>
      <c r="X2128" s="15"/>
    </row>
    <row r="2129" ht="15.75" customHeight="1">
      <c r="I2129" s="43"/>
      <c r="Q2129" s="15"/>
      <c r="R2129" s="15"/>
      <c r="S2129" s="15"/>
      <c r="T2129" s="15"/>
      <c r="U2129" s="15"/>
      <c r="V2129" s="15"/>
      <c r="W2129" s="15"/>
      <c r="X2129" s="15"/>
    </row>
    <row r="2130" ht="15.75" customHeight="1">
      <c r="I2130" s="43"/>
      <c r="Q2130" s="15"/>
      <c r="R2130" s="15"/>
      <c r="S2130" s="15"/>
      <c r="T2130" s="15"/>
      <c r="U2130" s="15"/>
      <c r="V2130" s="15"/>
      <c r="W2130" s="15"/>
      <c r="X2130" s="15"/>
    </row>
    <row r="2131" ht="15.75" customHeight="1">
      <c r="I2131" s="43"/>
      <c r="Q2131" s="15"/>
      <c r="R2131" s="15"/>
      <c r="S2131" s="15"/>
      <c r="T2131" s="15"/>
      <c r="U2131" s="15"/>
      <c r="V2131" s="15"/>
      <c r="W2131" s="15"/>
      <c r="X2131" s="15"/>
    </row>
    <row r="2132" ht="15.75" customHeight="1">
      <c r="I2132" s="43"/>
      <c r="Q2132" s="15"/>
      <c r="R2132" s="15"/>
      <c r="S2132" s="15"/>
      <c r="T2132" s="15"/>
      <c r="U2132" s="15"/>
      <c r="V2132" s="15"/>
      <c r="W2132" s="15"/>
      <c r="X2132" s="15"/>
    </row>
    <row r="2133" ht="15.75" customHeight="1">
      <c r="I2133" s="43"/>
      <c r="Q2133" s="15"/>
      <c r="R2133" s="15"/>
      <c r="S2133" s="15"/>
      <c r="T2133" s="15"/>
      <c r="U2133" s="15"/>
      <c r="V2133" s="15"/>
      <c r="W2133" s="15"/>
      <c r="X2133" s="15"/>
    </row>
    <row r="2134" ht="15.75" customHeight="1">
      <c r="I2134" s="43"/>
      <c r="Q2134" s="15"/>
      <c r="R2134" s="15"/>
      <c r="S2134" s="15"/>
      <c r="T2134" s="15"/>
      <c r="U2134" s="15"/>
      <c r="V2134" s="15"/>
      <c r="W2134" s="15"/>
      <c r="X2134" s="15"/>
    </row>
    <row r="2135" ht="15.75" customHeight="1">
      <c r="I2135" s="43"/>
      <c r="Q2135" s="15"/>
      <c r="R2135" s="15"/>
      <c r="S2135" s="15"/>
      <c r="T2135" s="15"/>
      <c r="U2135" s="15"/>
      <c r="V2135" s="15"/>
      <c r="W2135" s="15"/>
      <c r="X2135" s="15"/>
    </row>
    <row r="2136" ht="15.75" customHeight="1">
      <c r="I2136" s="43"/>
      <c r="Q2136" s="15"/>
      <c r="R2136" s="15"/>
      <c r="S2136" s="15"/>
      <c r="T2136" s="15"/>
      <c r="U2136" s="15"/>
      <c r="V2136" s="15"/>
      <c r="W2136" s="15"/>
      <c r="X2136" s="15"/>
    </row>
    <row r="2137" ht="15.75" customHeight="1">
      <c r="I2137" s="43"/>
      <c r="Q2137" s="15"/>
      <c r="R2137" s="15"/>
      <c r="S2137" s="15"/>
      <c r="T2137" s="15"/>
      <c r="U2137" s="15"/>
      <c r="V2137" s="15"/>
      <c r="W2137" s="15"/>
      <c r="X2137" s="15"/>
    </row>
    <row r="2138" ht="15.75" customHeight="1">
      <c r="I2138" s="43"/>
      <c r="Q2138" s="15"/>
      <c r="R2138" s="15"/>
      <c r="S2138" s="15"/>
      <c r="T2138" s="15"/>
      <c r="U2138" s="15"/>
      <c r="V2138" s="15"/>
      <c r="W2138" s="15"/>
      <c r="X2138" s="15"/>
    </row>
    <row r="2139" ht="15.75" customHeight="1">
      <c r="I2139" s="43"/>
      <c r="Q2139" s="15"/>
      <c r="R2139" s="15"/>
      <c r="S2139" s="15"/>
      <c r="T2139" s="15"/>
      <c r="U2139" s="15"/>
      <c r="V2139" s="15"/>
      <c r="W2139" s="15"/>
      <c r="X2139" s="15"/>
    </row>
    <row r="2140" ht="15.75" customHeight="1">
      <c r="I2140" s="43"/>
      <c r="Q2140" s="15"/>
      <c r="R2140" s="15"/>
      <c r="S2140" s="15"/>
      <c r="T2140" s="15"/>
      <c r="U2140" s="15"/>
      <c r="V2140" s="15"/>
      <c r="W2140" s="15"/>
      <c r="X2140" s="15"/>
    </row>
    <row r="2141" ht="15.75" customHeight="1">
      <c r="I2141" s="43"/>
      <c r="Q2141" s="15"/>
      <c r="R2141" s="15"/>
      <c r="S2141" s="15"/>
      <c r="T2141" s="15"/>
      <c r="U2141" s="15"/>
      <c r="V2141" s="15"/>
      <c r="W2141" s="15"/>
      <c r="X2141" s="15"/>
    </row>
    <row r="2142" ht="15.75" customHeight="1">
      <c r="I2142" s="43"/>
      <c r="Q2142" s="15"/>
      <c r="R2142" s="15"/>
      <c r="S2142" s="15"/>
      <c r="T2142" s="15"/>
      <c r="U2142" s="15"/>
      <c r="V2142" s="15"/>
      <c r="W2142" s="15"/>
      <c r="X2142" s="15"/>
    </row>
    <row r="2143" ht="15.75" customHeight="1">
      <c r="I2143" s="43"/>
      <c r="Q2143" s="15"/>
      <c r="R2143" s="15"/>
      <c r="S2143" s="15"/>
      <c r="T2143" s="15"/>
      <c r="U2143" s="15"/>
      <c r="V2143" s="15"/>
      <c r="W2143" s="15"/>
      <c r="X2143" s="15"/>
    </row>
    <row r="2144" ht="15.75" customHeight="1">
      <c r="I2144" s="43"/>
      <c r="Q2144" s="15"/>
      <c r="R2144" s="15"/>
      <c r="S2144" s="15"/>
      <c r="T2144" s="15"/>
      <c r="U2144" s="15"/>
      <c r="V2144" s="15"/>
      <c r="W2144" s="15"/>
      <c r="X2144" s="15"/>
    </row>
    <row r="2145" ht="15.75" customHeight="1">
      <c r="I2145" s="43"/>
      <c r="Q2145" s="15"/>
      <c r="R2145" s="15"/>
      <c r="S2145" s="15"/>
      <c r="T2145" s="15"/>
      <c r="U2145" s="15"/>
      <c r="V2145" s="15"/>
      <c r="W2145" s="15"/>
      <c r="X2145" s="15"/>
    </row>
    <row r="2146" ht="15.75" customHeight="1">
      <c r="I2146" s="43"/>
      <c r="Q2146" s="15"/>
      <c r="R2146" s="15"/>
      <c r="S2146" s="15"/>
      <c r="T2146" s="15"/>
      <c r="U2146" s="15"/>
      <c r="V2146" s="15"/>
      <c r="W2146" s="15"/>
      <c r="X2146" s="15"/>
    </row>
    <row r="2147" ht="15.75" customHeight="1">
      <c r="I2147" s="43"/>
      <c r="Q2147" s="15"/>
      <c r="R2147" s="15"/>
      <c r="S2147" s="15"/>
      <c r="T2147" s="15"/>
      <c r="U2147" s="15"/>
      <c r="V2147" s="15"/>
      <c r="W2147" s="15"/>
      <c r="X2147" s="15"/>
    </row>
    <row r="2148" ht="15.75" customHeight="1">
      <c r="I2148" s="43"/>
      <c r="Q2148" s="15"/>
      <c r="R2148" s="15"/>
      <c r="S2148" s="15"/>
      <c r="T2148" s="15"/>
      <c r="U2148" s="15"/>
      <c r="V2148" s="15"/>
      <c r="W2148" s="15"/>
      <c r="X2148" s="15"/>
    </row>
    <row r="2149" ht="15.75" customHeight="1">
      <c r="I2149" s="43"/>
      <c r="Q2149" s="15"/>
      <c r="R2149" s="15"/>
      <c r="S2149" s="15"/>
      <c r="T2149" s="15"/>
      <c r="U2149" s="15"/>
      <c r="V2149" s="15"/>
      <c r="W2149" s="15"/>
      <c r="X2149" s="15"/>
    </row>
    <row r="2150" ht="15.75" customHeight="1">
      <c r="I2150" s="43"/>
      <c r="Q2150" s="15"/>
      <c r="R2150" s="15"/>
      <c r="S2150" s="15"/>
      <c r="T2150" s="15"/>
      <c r="U2150" s="15"/>
      <c r="V2150" s="15"/>
      <c r="W2150" s="15"/>
      <c r="X2150" s="15"/>
    </row>
    <row r="2151" ht="15.75" customHeight="1">
      <c r="I2151" s="43"/>
      <c r="Q2151" s="15"/>
      <c r="R2151" s="15"/>
      <c r="S2151" s="15"/>
      <c r="T2151" s="15"/>
      <c r="U2151" s="15"/>
      <c r="V2151" s="15"/>
      <c r="W2151" s="15"/>
      <c r="X2151" s="15"/>
    </row>
    <row r="2152" ht="15.75" customHeight="1">
      <c r="I2152" s="43"/>
      <c r="Q2152" s="15"/>
      <c r="R2152" s="15"/>
      <c r="S2152" s="15"/>
      <c r="T2152" s="15"/>
      <c r="U2152" s="15"/>
      <c r="V2152" s="15"/>
      <c r="W2152" s="15"/>
      <c r="X2152" s="15"/>
    </row>
    <row r="2153" ht="15.75" customHeight="1">
      <c r="I2153" s="43"/>
      <c r="Q2153" s="15"/>
      <c r="R2153" s="15"/>
      <c r="S2153" s="15"/>
      <c r="T2153" s="15"/>
      <c r="U2153" s="15"/>
      <c r="V2153" s="15"/>
      <c r="W2153" s="15"/>
      <c r="X2153" s="15"/>
    </row>
    <row r="2154" ht="15.75" customHeight="1">
      <c r="I2154" s="43"/>
      <c r="Q2154" s="15"/>
      <c r="R2154" s="15"/>
      <c r="S2154" s="15"/>
      <c r="T2154" s="15"/>
      <c r="U2154" s="15"/>
      <c r="V2154" s="15"/>
      <c r="W2154" s="15"/>
      <c r="X2154" s="15"/>
    </row>
    <row r="2155" ht="15.75" customHeight="1">
      <c r="I2155" s="43"/>
      <c r="Q2155" s="15"/>
      <c r="R2155" s="15"/>
      <c r="S2155" s="15"/>
      <c r="T2155" s="15"/>
      <c r="U2155" s="15"/>
      <c r="V2155" s="15"/>
      <c r="W2155" s="15"/>
      <c r="X2155" s="15"/>
    </row>
    <row r="2156" ht="15.75" customHeight="1">
      <c r="I2156" s="43"/>
      <c r="Q2156" s="15"/>
      <c r="R2156" s="15"/>
      <c r="S2156" s="15"/>
      <c r="T2156" s="15"/>
      <c r="U2156" s="15"/>
      <c r="V2156" s="15"/>
      <c r="W2156" s="15"/>
      <c r="X2156" s="15"/>
    </row>
    <row r="2157" ht="15.75" customHeight="1">
      <c r="I2157" s="43"/>
      <c r="Q2157" s="15"/>
      <c r="R2157" s="15"/>
      <c r="S2157" s="15"/>
      <c r="T2157" s="15"/>
      <c r="U2157" s="15"/>
      <c r="V2157" s="15"/>
      <c r="W2157" s="15"/>
      <c r="X2157" s="15"/>
    </row>
    <row r="2158" ht="15.75" customHeight="1">
      <c r="I2158" s="43"/>
      <c r="Q2158" s="15"/>
      <c r="R2158" s="15"/>
      <c r="S2158" s="15"/>
      <c r="T2158" s="15"/>
      <c r="U2158" s="15"/>
      <c r="V2158" s="15"/>
      <c r="W2158" s="15"/>
      <c r="X2158" s="15"/>
    </row>
    <row r="2159" ht="15.75" customHeight="1">
      <c r="I2159" s="43"/>
      <c r="Q2159" s="15"/>
      <c r="R2159" s="15"/>
      <c r="S2159" s="15"/>
      <c r="T2159" s="15"/>
      <c r="U2159" s="15"/>
      <c r="V2159" s="15"/>
      <c r="W2159" s="15"/>
      <c r="X2159" s="15"/>
    </row>
    <row r="2160" ht="15.75" customHeight="1">
      <c r="I2160" s="43"/>
      <c r="Q2160" s="15"/>
      <c r="R2160" s="15"/>
      <c r="S2160" s="15"/>
      <c r="T2160" s="15"/>
      <c r="U2160" s="15"/>
      <c r="V2160" s="15"/>
      <c r="W2160" s="15"/>
      <c r="X2160" s="15"/>
    </row>
    <row r="2161" ht="15.75" customHeight="1">
      <c r="I2161" s="43"/>
      <c r="Q2161" s="15"/>
      <c r="R2161" s="15"/>
      <c r="S2161" s="15"/>
      <c r="T2161" s="15"/>
      <c r="U2161" s="15"/>
      <c r="V2161" s="15"/>
      <c r="W2161" s="15"/>
      <c r="X2161" s="15"/>
    </row>
    <row r="2162" ht="15.75" customHeight="1">
      <c r="I2162" s="43"/>
      <c r="Q2162" s="15"/>
      <c r="R2162" s="15"/>
      <c r="S2162" s="15"/>
      <c r="T2162" s="15"/>
      <c r="U2162" s="15"/>
      <c r="V2162" s="15"/>
      <c r="W2162" s="15"/>
      <c r="X2162" s="15"/>
    </row>
    <row r="2163" ht="15.75" customHeight="1">
      <c r="I2163" s="43"/>
      <c r="Q2163" s="15"/>
      <c r="R2163" s="15"/>
      <c r="S2163" s="15"/>
      <c r="T2163" s="15"/>
      <c r="U2163" s="15"/>
      <c r="V2163" s="15"/>
      <c r="W2163" s="15"/>
      <c r="X2163" s="15"/>
    </row>
    <row r="2164" ht="15.75" customHeight="1">
      <c r="I2164" s="43"/>
      <c r="Q2164" s="15"/>
      <c r="R2164" s="15"/>
      <c r="S2164" s="15"/>
      <c r="T2164" s="15"/>
      <c r="U2164" s="15"/>
      <c r="V2164" s="15"/>
      <c r="W2164" s="15"/>
      <c r="X2164" s="15"/>
    </row>
    <row r="2165" ht="15.75" customHeight="1">
      <c r="I2165" s="43"/>
      <c r="Q2165" s="15"/>
      <c r="R2165" s="15"/>
      <c r="S2165" s="15"/>
      <c r="T2165" s="15"/>
      <c r="U2165" s="15"/>
      <c r="V2165" s="15"/>
      <c r="W2165" s="15"/>
      <c r="X2165" s="15"/>
    </row>
    <row r="2166" ht="15.75" customHeight="1">
      <c r="I2166" s="43"/>
      <c r="Q2166" s="15"/>
      <c r="R2166" s="15"/>
      <c r="S2166" s="15"/>
      <c r="T2166" s="15"/>
      <c r="U2166" s="15"/>
      <c r="V2166" s="15"/>
      <c r="W2166" s="15"/>
      <c r="X2166" s="15"/>
    </row>
    <row r="2167" ht="15.75" customHeight="1">
      <c r="I2167" s="43"/>
      <c r="Q2167" s="15"/>
      <c r="R2167" s="15"/>
      <c r="S2167" s="15"/>
      <c r="T2167" s="15"/>
      <c r="U2167" s="15"/>
      <c r="V2167" s="15"/>
      <c r="W2167" s="15"/>
      <c r="X2167" s="15"/>
    </row>
    <row r="2168" ht="15.75" customHeight="1">
      <c r="I2168" s="43"/>
      <c r="Q2168" s="15"/>
      <c r="R2168" s="15"/>
      <c r="S2168" s="15"/>
      <c r="T2168" s="15"/>
      <c r="U2168" s="15"/>
      <c r="V2168" s="15"/>
      <c r="W2168" s="15"/>
      <c r="X2168" s="15"/>
    </row>
    <row r="2169" ht="15.75" customHeight="1">
      <c r="I2169" s="43"/>
      <c r="Q2169" s="15"/>
      <c r="R2169" s="15"/>
      <c r="S2169" s="15"/>
      <c r="T2169" s="15"/>
      <c r="U2169" s="15"/>
      <c r="V2169" s="15"/>
      <c r="W2169" s="15"/>
      <c r="X2169" s="15"/>
    </row>
    <row r="2170" ht="15.75" customHeight="1">
      <c r="I2170" s="43"/>
      <c r="Q2170" s="15"/>
      <c r="R2170" s="15"/>
      <c r="S2170" s="15"/>
      <c r="T2170" s="15"/>
      <c r="U2170" s="15"/>
      <c r="V2170" s="15"/>
      <c r="W2170" s="15"/>
      <c r="X2170" s="15"/>
    </row>
    <row r="2171" ht="15.75" customHeight="1">
      <c r="I2171" s="43"/>
      <c r="Q2171" s="15"/>
      <c r="R2171" s="15"/>
      <c r="S2171" s="15"/>
      <c r="T2171" s="15"/>
      <c r="U2171" s="15"/>
      <c r="V2171" s="15"/>
      <c r="W2171" s="15"/>
      <c r="X2171" s="15"/>
    </row>
    <row r="2172" ht="15.75" customHeight="1">
      <c r="I2172" s="43"/>
      <c r="Q2172" s="15"/>
      <c r="R2172" s="15"/>
      <c r="S2172" s="15"/>
      <c r="T2172" s="15"/>
      <c r="U2172" s="15"/>
      <c r="V2172" s="15"/>
      <c r="W2172" s="15"/>
      <c r="X2172" s="15"/>
    </row>
    <row r="2173" ht="15.75" customHeight="1">
      <c r="I2173" s="43"/>
      <c r="Q2173" s="15"/>
      <c r="R2173" s="15"/>
      <c r="S2173" s="15"/>
      <c r="T2173" s="15"/>
      <c r="U2173" s="15"/>
      <c r="V2173" s="15"/>
      <c r="W2173" s="15"/>
      <c r="X2173" s="15"/>
    </row>
    <row r="2174" ht="15.75" customHeight="1">
      <c r="I2174" s="43"/>
      <c r="Q2174" s="15"/>
      <c r="R2174" s="15"/>
      <c r="S2174" s="15"/>
      <c r="T2174" s="15"/>
      <c r="U2174" s="15"/>
      <c r="V2174" s="15"/>
      <c r="W2174" s="15"/>
      <c r="X2174" s="15"/>
    </row>
    <row r="2175" ht="15.75" customHeight="1">
      <c r="I2175" s="43"/>
      <c r="Q2175" s="15"/>
      <c r="R2175" s="15"/>
      <c r="S2175" s="15"/>
      <c r="T2175" s="15"/>
      <c r="U2175" s="15"/>
      <c r="V2175" s="15"/>
      <c r="W2175" s="15"/>
      <c r="X2175" s="15"/>
    </row>
    <row r="2176" ht="15.75" customHeight="1">
      <c r="I2176" s="43"/>
      <c r="Q2176" s="15"/>
      <c r="R2176" s="15"/>
      <c r="S2176" s="15"/>
      <c r="T2176" s="15"/>
      <c r="U2176" s="15"/>
      <c r="V2176" s="15"/>
      <c r="W2176" s="15"/>
      <c r="X2176" s="15"/>
    </row>
    <row r="2177" ht="15.75" customHeight="1">
      <c r="I2177" s="43"/>
      <c r="Q2177" s="15"/>
      <c r="R2177" s="15"/>
      <c r="S2177" s="15"/>
      <c r="T2177" s="15"/>
      <c r="U2177" s="15"/>
      <c r="V2177" s="15"/>
      <c r="W2177" s="15"/>
      <c r="X2177" s="15"/>
    </row>
    <row r="2178" ht="15.75" customHeight="1">
      <c r="I2178" s="43"/>
      <c r="Q2178" s="15"/>
      <c r="R2178" s="15"/>
      <c r="S2178" s="15"/>
      <c r="T2178" s="15"/>
      <c r="U2178" s="15"/>
      <c r="V2178" s="15"/>
      <c r="W2178" s="15"/>
      <c r="X2178" s="15"/>
    </row>
    <row r="2179" ht="15.75" customHeight="1">
      <c r="I2179" s="43"/>
      <c r="Q2179" s="15"/>
      <c r="R2179" s="15"/>
      <c r="S2179" s="15"/>
      <c r="T2179" s="15"/>
      <c r="U2179" s="15"/>
      <c r="V2179" s="15"/>
      <c r="W2179" s="15"/>
      <c r="X2179" s="15"/>
    </row>
    <row r="2180" ht="15.75" customHeight="1">
      <c r="I2180" s="43"/>
      <c r="Q2180" s="15"/>
      <c r="R2180" s="15"/>
      <c r="S2180" s="15"/>
      <c r="T2180" s="15"/>
      <c r="U2180" s="15"/>
      <c r="V2180" s="15"/>
      <c r="W2180" s="15"/>
      <c r="X2180" s="15"/>
    </row>
    <row r="2181" ht="15.75" customHeight="1">
      <c r="I2181" s="43"/>
      <c r="Q2181" s="15"/>
      <c r="R2181" s="15"/>
      <c r="S2181" s="15"/>
      <c r="T2181" s="15"/>
      <c r="U2181" s="15"/>
      <c r="V2181" s="15"/>
      <c r="W2181" s="15"/>
      <c r="X2181" s="15"/>
    </row>
    <row r="2182" ht="15.75" customHeight="1">
      <c r="I2182" s="43"/>
      <c r="Q2182" s="15"/>
      <c r="R2182" s="15"/>
      <c r="S2182" s="15"/>
      <c r="T2182" s="15"/>
      <c r="U2182" s="15"/>
      <c r="V2182" s="15"/>
      <c r="W2182" s="15"/>
      <c r="X2182" s="15"/>
    </row>
    <row r="2183" ht="15.75" customHeight="1">
      <c r="I2183" s="43"/>
      <c r="Q2183" s="15"/>
      <c r="R2183" s="15"/>
      <c r="S2183" s="15"/>
      <c r="T2183" s="15"/>
      <c r="U2183" s="15"/>
      <c r="V2183" s="15"/>
      <c r="W2183" s="15"/>
      <c r="X2183" s="15"/>
    </row>
    <row r="2184" ht="15.75" customHeight="1">
      <c r="I2184" s="43"/>
      <c r="Q2184" s="15"/>
      <c r="R2184" s="15"/>
      <c r="S2184" s="15"/>
      <c r="T2184" s="15"/>
      <c r="U2184" s="15"/>
      <c r="V2184" s="15"/>
      <c r="W2184" s="15"/>
      <c r="X2184" s="15"/>
    </row>
    <row r="2185" ht="15.75" customHeight="1">
      <c r="I2185" s="43"/>
      <c r="Q2185" s="15"/>
      <c r="R2185" s="15"/>
      <c r="S2185" s="15"/>
      <c r="T2185" s="15"/>
      <c r="U2185" s="15"/>
      <c r="V2185" s="15"/>
      <c r="W2185" s="15"/>
      <c r="X2185" s="15"/>
    </row>
    <row r="2186" ht="15.75" customHeight="1">
      <c r="I2186" s="43"/>
      <c r="Q2186" s="15"/>
      <c r="R2186" s="15"/>
      <c r="S2186" s="15"/>
      <c r="T2186" s="15"/>
      <c r="U2186" s="15"/>
      <c r="V2186" s="15"/>
      <c r="W2186" s="15"/>
      <c r="X2186" s="15"/>
    </row>
    <row r="2187" ht="15.75" customHeight="1">
      <c r="I2187" s="43"/>
      <c r="Q2187" s="15"/>
      <c r="R2187" s="15"/>
      <c r="S2187" s="15"/>
      <c r="T2187" s="15"/>
      <c r="U2187" s="15"/>
      <c r="V2187" s="15"/>
      <c r="W2187" s="15"/>
      <c r="X2187" s="15"/>
    </row>
    <row r="2188" ht="15.75" customHeight="1">
      <c r="I2188" s="43"/>
      <c r="Q2188" s="15"/>
      <c r="R2188" s="15"/>
      <c r="S2188" s="15"/>
      <c r="T2188" s="15"/>
      <c r="U2188" s="15"/>
      <c r="V2188" s="15"/>
      <c r="W2188" s="15"/>
      <c r="X2188" s="15"/>
    </row>
    <row r="2189" ht="15.75" customHeight="1">
      <c r="I2189" s="43"/>
      <c r="Q2189" s="15"/>
      <c r="R2189" s="15"/>
      <c r="S2189" s="15"/>
      <c r="T2189" s="15"/>
      <c r="U2189" s="15"/>
      <c r="V2189" s="15"/>
      <c r="W2189" s="15"/>
      <c r="X2189" s="15"/>
    </row>
    <row r="2190" ht="15.75" customHeight="1">
      <c r="I2190" s="43"/>
      <c r="Q2190" s="15"/>
      <c r="R2190" s="15"/>
      <c r="S2190" s="15"/>
      <c r="T2190" s="15"/>
      <c r="U2190" s="15"/>
      <c r="V2190" s="15"/>
      <c r="W2190" s="15"/>
      <c r="X2190" s="15"/>
    </row>
    <row r="2191" ht="15.75" customHeight="1">
      <c r="I2191" s="43"/>
      <c r="Q2191" s="15"/>
      <c r="R2191" s="15"/>
      <c r="S2191" s="15"/>
      <c r="T2191" s="15"/>
      <c r="U2191" s="15"/>
      <c r="V2191" s="15"/>
      <c r="W2191" s="15"/>
      <c r="X2191" s="15"/>
    </row>
    <row r="2192" ht="15.75" customHeight="1">
      <c r="I2192" s="43"/>
      <c r="Q2192" s="15"/>
      <c r="R2192" s="15"/>
      <c r="S2192" s="15"/>
      <c r="T2192" s="15"/>
      <c r="U2192" s="15"/>
      <c r="V2192" s="15"/>
      <c r="W2192" s="15"/>
      <c r="X2192" s="15"/>
    </row>
    <row r="2193" ht="15.75" customHeight="1">
      <c r="I2193" s="43"/>
      <c r="Q2193" s="15"/>
      <c r="R2193" s="15"/>
      <c r="S2193" s="15"/>
      <c r="T2193" s="15"/>
      <c r="U2193" s="15"/>
      <c r="V2193" s="15"/>
      <c r="W2193" s="15"/>
      <c r="X2193" s="15"/>
    </row>
    <row r="2194" ht="15.75" customHeight="1">
      <c r="I2194" s="43"/>
      <c r="Q2194" s="15"/>
      <c r="R2194" s="15"/>
      <c r="S2194" s="15"/>
      <c r="T2194" s="15"/>
      <c r="U2194" s="15"/>
      <c r="V2194" s="15"/>
      <c r="W2194" s="15"/>
      <c r="X2194" s="15"/>
    </row>
    <row r="2195" ht="15.75" customHeight="1">
      <c r="I2195" s="43"/>
      <c r="Q2195" s="15"/>
      <c r="R2195" s="15"/>
      <c r="S2195" s="15"/>
      <c r="T2195" s="15"/>
      <c r="U2195" s="15"/>
      <c r="V2195" s="15"/>
      <c r="W2195" s="15"/>
      <c r="X2195" s="15"/>
    </row>
    <row r="2196" ht="15.75" customHeight="1">
      <c r="I2196" s="43"/>
      <c r="Q2196" s="15"/>
      <c r="R2196" s="15"/>
      <c r="S2196" s="15"/>
      <c r="T2196" s="15"/>
      <c r="U2196" s="15"/>
      <c r="V2196" s="15"/>
      <c r="W2196" s="15"/>
      <c r="X2196" s="15"/>
    </row>
    <row r="2197" ht="15.75" customHeight="1">
      <c r="I2197" s="43"/>
      <c r="Q2197" s="15"/>
      <c r="R2197" s="15"/>
      <c r="S2197" s="15"/>
      <c r="T2197" s="15"/>
      <c r="U2197" s="15"/>
      <c r="V2197" s="15"/>
      <c r="W2197" s="15"/>
      <c r="X2197" s="15"/>
    </row>
    <row r="2198" ht="15.75" customHeight="1">
      <c r="I2198" s="43"/>
      <c r="Q2198" s="15"/>
      <c r="R2198" s="15"/>
      <c r="S2198" s="15"/>
      <c r="T2198" s="15"/>
      <c r="U2198" s="15"/>
      <c r="V2198" s="15"/>
      <c r="W2198" s="15"/>
      <c r="X2198" s="15"/>
    </row>
    <row r="2199" ht="15.75" customHeight="1">
      <c r="I2199" s="43"/>
      <c r="Q2199" s="15"/>
      <c r="R2199" s="15"/>
      <c r="S2199" s="15"/>
      <c r="T2199" s="15"/>
      <c r="U2199" s="15"/>
      <c r="V2199" s="15"/>
      <c r="W2199" s="15"/>
      <c r="X2199" s="15"/>
    </row>
    <row r="2200" ht="15.75" customHeight="1">
      <c r="I2200" s="43"/>
      <c r="Q2200" s="15"/>
      <c r="R2200" s="15"/>
      <c r="S2200" s="15"/>
      <c r="T2200" s="15"/>
      <c r="U2200" s="15"/>
      <c r="V2200" s="15"/>
      <c r="W2200" s="15"/>
      <c r="X2200" s="15"/>
    </row>
    <row r="2201" ht="15.75" customHeight="1">
      <c r="I2201" s="43"/>
      <c r="Q2201" s="15"/>
      <c r="R2201" s="15"/>
      <c r="S2201" s="15"/>
      <c r="T2201" s="15"/>
      <c r="U2201" s="15"/>
      <c r="V2201" s="15"/>
      <c r="W2201" s="15"/>
      <c r="X2201" s="15"/>
    </row>
    <row r="2202" ht="15.75" customHeight="1">
      <c r="I2202" s="43"/>
      <c r="Q2202" s="15"/>
      <c r="R2202" s="15"/>
      <c r="S2202" s="15"/>
      <c r="T2202" s="15"/>
      <c r="U2202" s="15"/>
      <c r="V2202" s="15"/>
      <c r="W2202" s="15"/>
      <c r="X2202" s="15"/>
    </row>
    <row r="2203" ht="15.75" customHeight="1">
      <c r="I2203" s="43"/>
      <c r="Q2203" s="15"/>
      <c r="R2203" s="15"/>
      <c r="S2203" s="15"/>
      <c r="T2203" s="15"/>
      <c r="U2203" s="15"/>
      <c r="V2203" s="15"/>
      <c r="W2203" s="15"/>
      <c r="X2203" s="15"/>
    </row>
    <row r="2204" ht="15.75" customHeight="1">
      <c r="I2204" s="43"/>
      <c r="Q2204" s="15"/>
      <c r="R2204" s="15"/>
      <c r="S2204" s="15"/>
      <c r="T2204" s="15"/>
      <c r="U2204" s="15"/>
      <c r="V2204" s="15"/>
      <c r="W2204" s="15"/>
      <c r="X2204" s="15"/>
    </row>
    <row r="2205" ht="15.75" customHeight="1">
      <c r="I2205" s="43"/>
      <c r="Q2205" s="15"/>
      <c r="R2205" s="15"/>
      <c r="S2205" s="15"/>
      <c r="T2205" s="15"/>
      <c r="U2205" s="15"/>
      <c r="V2205" s="15"/>
      <c r="W2205" s="15"/>
      <c r="X2205" s="15"/>
    </row>
    <row r="2206" ht="15.75" customHeight="1">
      <c r="I2206" s="43"/>
      <c r="Q2206" s="15"/>
      <c r="R2206" s="15"/>
      <c r="S2206" s="15"/>
      <c r="T2206" s="15"/>
      <c r="U2206" s="15"/>
      <c r="V2206" s="15"/>
      <c r="W2206" s="15"/>
      <c r="X2206" s="15"/>
    </row>
    <row r="2207" ht="15.75" customHeight="1">
      <c r="I2207" s="43"/>
      <c r="Q2207" s="15"/>
      <c r="R2207" s="15"/>
      <c r="S2207" s="15"/>
      <c r="T2207" s="15"/>
      <c r="U2207" s="15"/>
      <c r="V2207" s="15"/>
      <c r="W2207" s="15"/>
      <c r="X2207" s="15"/>
    </row>
    <row r="2208" ht="15.75" customHeight="1">
      <c r="I2208" s="43"/>
      <c r="Q2208" s="15"/>
      <c r="R2208" s="15"/>
      <c r="S2208" s="15"/>
      <c r="T2208" s="15"/>
      <c r="U2208" s="15"/>
      <c r="V2208" s="15"/>
      <c r="W2208" s="15"/>
      <c r="X2208" s="15"/>
    </row>
    <row r="2209" ht="15.75" customHeight="1">
      <c r="I2209" s="43"/>
      <c r="Q2209" s="15"/>
      <c r="R2209" s="15"/>
      <c r="S2209" s="15"/>
      <c r="T2209" s="15"/>
      <c r="U2209" s="15"/>
      <c r="V2209" s="15"/>
      <c r="W2209" s="15"/>
      <c r="X2209" s="15"/>
    </row>
    <row r="2210" ht="15.75" customHeight="1">
      <c r="I2210" s="43"/>
      <c r="Q2210" s="15"/>
      <c r="R2210" s="15"/>
      <c r="S2210" s="15"/>
      <c r="T2210" s="15"/>
      <c r="U2210" s="15"/>
      <c r="V2210" s="15"/>
      <c r="W2210" s="15"/>
      <c r="X2210" s="15"/>
    </row>
    <row r="2211" ht="15.75" customHeight="1">
      <c r="I2211" s="43"/>
      <c r="Q2211" s="15"/>
      <c r="R2211" s="15"/>
      <c r="S2211" s="15"/>
      <c r="T2211" s="15"/>
      <c r="U2211" s="15"/>
      <c r="V2211" s="15"/>
      <c r="W2211" s="15"/>
      <c r="X2211" s="15"/>
    </row>
    <row r="2212" ht="15.75" customHeight="1">
      <c r="I2212" s="43"/>
      <c r="Q2212" s="15"/>
      <c r="R2212" s="15"/>
      <c r="S2212" s="15"/>
      <c r="T2212" s="15"/>
      <c r="U2212" s="15"/>
      <c r="V2212" s="15"/>
      <c r="W2212" s="15"/>
      <c r="X2212" s="15"/>
    </row>
    <row r="2213" ht="15.75" customHeight="1">
      <c r="I2213" s="43"/>
      <c r="Q2213" s="15"/>
      <c r="R2213" s="15"/>
      <c r="S2213" s="15"/>
      <c r="T2213" s="15"/>
      <c r="U2213" s="15"/>
      <c r="V2213" s="15"/>
      <c r="W2213" s="15"/>
      <c r="X2213" s="15"/>
    </row>
    <row r="2214" ht="15.75" customHeight="1">
      <c r="I2214" s="43"/>
      <c r="Q2214" s="15"/>
      <c r="R2214" s="15"/>
      <c r="S2214" s="15"/>
      <c r="T2214" s="15"/>
      <c r="U2214" s="15"/>
      <c r="V2214" s="15"/>
      <c r="W2214" s="15"/>
      <c r="X2214" s="15"/>
    </row>
    <row r="2215" ht="15.75" customHeight="1">
      <c r="I2215" s="43"/>
      <c r="Q2215" s="15"/>
      <c r="R2215" s="15"/>
      <c r="S2215" s="15"/>
      <c r="T2215" s="15"/>
      <c r="U2215" s="15"/>
      <c r="V2215" s="15"/>
      <c r="W2215" s="15"/>
      <c r="X2215" s="15"/>
    </row>
    <row r="2216" ht="15.75" customHeight="1">
      <c r="I2216" s="43"/>
      <c r="Q2216" s="15"/>
      <c r="R2216" s="15"/>
      <c r="S2216" s="15"/>
      <c r="T2216" s="15"/>
      <c r="U2216" s="15"/>
      <c r="V2216" s="15"/>
      <c r="W2216" s="15"/>
      <c r="X2216" s="15"/>
    </row>
    <row r="2217" ht="15.75" customHeight="1">
      <c r="I2217" s="43"/>
      <c r="Q2217" s="15"/>
      <c r="R2217" s="15"/>
      <c r="S2217" s="15"/>
      <c r="T2217" s="15"/>
      <c r="U2217" s="15"/>
      <c r="V2217" s="15"/>
      <c r="W2217" s="15"/>
      <c r="X2217" s="15"/>
    </row>
    <row r="2218" ht="15.75" customHeight="1">
      <c r="I2218" s="43"/>
      <c r="Q2218" s="15"/>
      <c r="R2218" s="15"/>
      <c r="S2218" s="15"/>
      <c r="T2218" s="15"/>
      <c r="U2218" s="15"/>
      <c r="V2218" s="15"/>
      <c r="W2218" s="15"/>
      <c r="X2218" s="15"/>
    </row>
    <row r="2219" ht="15.75" customHeight="1">
      <c r="I2219" s="43"/>
      <c r="Q2219" s="15"/>
      <c r="R2219" s="15"/>
      <c r="S2219" s="15"/>
      <c r="T2219" s="15"/>
      <c r="U2219" s="15"/>
      <c r="V2219" s="15"/>
      <c r="W2219" s="15"/>
      <c r="X2219" s="15"/>
    </row>
    <row r="2220" ht="15.75" customHeight="1">
      <c r="I2220" s="43"/>
      <c r="Q2220" s="15"/>
      <c r="R2220" s="15"/>
      <c r="S2220" s="15"/>
      <c r="T2220" s="15"/>
      <c r="U2220" s="15"/>
      <c r="V2220" s="15"/>
      <c r="W2220" s="15"/>
      <c r="X2220" s="15"/>
    </row>
    <row r="2221" ht="15.75" customHeight="1">
      <c r="I2221" s="43"/>
      <c r="Q2221" s="15"/>
      <c r="R2221" s="15"/>
      <c r="S2221" s="15"/>
      <c r="T2221" s="15"/>
      <c r="U2221" s="15"/>
      <c r="V2221" s="15"/>
      <c r="W2221" s="15"/>
      <c r="X2221" s="15"/>
    </row>
    <row r="2222" ht="15.75" customHeight="1">
      <c r="I2222" s="43"/>
      <c r="Q2222" s="15"/>
      <c r="R2222" s="15"/>
      <c r="S2222" s="15"/>
      <c r="T2222" s="15"/>
      <c r="U2222" s="15"/>
      <c r="V2222" s="15"/>
      <c r="W2222" s="15"/>
      <c r="X2222" s="15"/>
    </row>
    <row r="2223" ht="15.75" customHeight="1">
      <c r="I2223" s="43"/>
      <c r="Q2223" s="15"/>
      <c r="R2223" s="15"/>
      <c r="S2223" s="15"/>
      <c r="T2223" s="15"/>
      <c r="U2223" s="15"/>
      <c r="V2223" s="15"/>
      <c r="W2223" s="15"/>
      <c r="X2223" s="15"/>
    </row>
    <row r="2224" ht="15.75" customHeight="1">
      <c r="I2224" s="43"/>
      <c r="Q2224" s="15"/>
      <c r="R2224" s="15"/>
      <c r="S2224" s="15"/>
      <c r="T2224" s="15"/>
      <c r="U2224" s="15"/>
      <c r="V2224" s="15"/>
      <c r="W2224" s="15"/>
      <c r="X2224" s="15"/>
    </row>
    <row r="2225" ht="15.75" customHeight="1">
      <c r="I2225" s="43"/>
      <c r="Q2225" s="15"/>
      <c r="R2225" s="15"/>
      <c r="S2225" s="15"/>
      <c r="T2225" s="15"/>
      <c r="U2225" s="15"/>
      <c r="V2225" s="15"/>
      <c r="W2225" s="15"/>
      <c r="X2225" s="15"/>
    </row>
    <row r="2226" ht="15.75" customHeight="1">
      <c r="I2226" s="43"/>
      <c r="Q2226" s="15"/>
      <c r="R2226" s="15"/>
      <c r="S2226" s="15"/>
      <c r="T2226" s="15"/>
      <c r="U2226" s="15"/>
      <c r="V2226" s="15"/>
      <c r="W2226" s="15"/>
      <c r="X2226" s="15"/>
    </row>
    <row r="2227" ht="15.75" customHeight="1">
      <c r="I2227" s="43"/>
      <c r="Q2227" s="15"/>
      <c r="R2227" s="15"/>
      <c r="S2227" s="15"/>
      <c r="T2227" s="15"/>
      <c r="U2227" s="15"/>
      <c r="V2227" s="15"/>
      <c r="W2227" s="15"/>
      <c r="X2227" s="15"/>
    </row>
    <row r="2228" ht="15.75" customHeight="1">
      <c r="I2228" s="43"/>
      <c r="Q2228" s="15"/>
      <c r="R2228" s="15"/>
      <c r="S2228" s="15"/>
      <c r="T2228" s="15"/>
      <c r="U2228" s="15"/>
      <c r="V2228" s="15"/>
      <c r="W2228" s="15"/>
      <c r="X2228" s="15"/>
    </row>
    <row r="2229" ht="15.75" customHeight="1">
      <c r="I2229" s="43"/>
      <c r="Q2229" s="15"/>
      <c r="R2229" s="15"/>
      <c r="S2229" s="15"/>
      <c r="T2229" s="15"/>
      <c r="U2229" s="15"/>
      <c r="V2229" s="15"/>
      <c r="W2229" s="15"/>
      <c r="X2229" s="15"/>
    </row>
    <row r="2230" ht="15.75" customHeight="1">
      <c r="I2230" s="43"/>
      <c r="Q2230" s="15"/>
      <c r="R2230" s="15"/>
      <c r="S2230" s="15"/>
      <c r="T2230" s="15"/>
      <c r="U2230" s="15"/>
      <c r="V2230" s="15"/>
      <c r="W2230" s="15"/>
      <c r="X2230" s="15"/>
    </row>
    <row r="2231" ht="15.75" customHeight="1">
      <c r="I2231" s="43"/>
      <c r="Q2231" s="15"/>
      <c r="R2231" s="15"/>
      <c r="S2231" s="15"/>
      <c r="T2231" s="15"/>
      <c r="U2231" s="15"/>
      <c r="V2231" s="15"/>
      <c r="W2231" s="15"/>
      <c r="X2231" s="15"/>
    </row>
    <row r="2232" ht="15.75" customHeight="1">
      <c r="I2232" s="43"/>
      <c r="Q2232" s="15"/>
      <c r="R2232" s="15"/>
      <c r="S2232" s="15"/>
      <c r="T2232" s="15"/>
      <c r="U2232" s="15"/>
      <c r="V2232" s="15"/>
      <c r="W2232" s="15"/>
      <c r="X2232" s="15"/>
    </row>
    <row r="2233" ht="15.75" customHeight="1">
      <c r="I2233" s="43"/>
      <c r="Q2233" s="15"/>
      <c r="R2233" s="15"/>
      <c r="S2233" s="15"/>
      <c r="T2233" s="15"/>
      <c r="U2233" s="15"/>
      <c r="V2233" s="15"/>
      <c r="W2233" s="15"/>
      <c r="X2233" s="15"/>
    </row>
    <row r="2234" ht="15.75" customHeight="1">
      <c r="I2234" s="43"/>
      <c r="Q2234" s="15"/>
      <c r="R2234" s="15"/>
      <c r="S2234" s="15"/>
      <c r="T2234" s="15"/>
      <c r="U2234" s="15"/>
      <c r="V2234" s="15"/>
      <c r="W2234" s="15"/>
      <c r="X2234" s="15"/>
    </row>
    <row r="2235" ht="15.75" customHeight="1">
      <c r="I2235" s="43"/>
      <c r="Q2235" s="15"/>
      <c r="R2235" s="15"/>
      <c r="S2235" s="15"/>
      <c r="T2235" s="15"/>
      <c r="U2235" s="15"/>
      <c r="V2235" s="15"/>
      <c r="W2235" s="15"/>
      <c r="X2235" s="15"/>
    </row>
    <row r="2236" ht="15.75" customHeight="1">
      <c r="I2236" s="43"/>
      <c r="Q2236" s="15"/>
      <c r="R2236" s="15"/>
      <c r="S2236" s="15"/>
      <c r="T2236" s="15"/>
      <c r="U2236" s="15"/>
      <c r="V2236" s="15"/>
      <c r="W2236" s="15"/>
      <c r="X2236" s="15"/>
    </row>
    <row r="2237" ht="15.75" customHeight="1">
      <c r="I2237" s="43"/>
      <c r="Q2237" s="15"/>
      <c r="R2237" s="15"/>
      <c r="S2237" s="15"/>
      <c r="T2237" s="15"/>
      <c r="U2237" s="15"/>
      <c r="V2237" s="15"/>
      <c r="W2237" s="15"/>
      <c r="X2237" s="15"/>
    </row>
    <row r="2238" ht="15.75" customHeight="1">
      <c r="I2238" s="43"/>
      <c r="Q2238" s="15"/>
      <c r="R2238" s="15"/>
      <c r="S2238" s="15"/>
      <c r="T2238" s="15"/>
      <c r="U2238" s="15"/>
      <c r="V2238" s="15"/>
      <c r="W2238" s="15"/>
      <c r="X2238" s="15"/>
    </row>
    <row r="2239" ht="15.75" customHeight="1">
      <c r="I2239" s="43"/>
      <c r="Q2239" s="15"/>
      <c r="R2239" s="15"/>
      <c r="S2239" s="15"/>
      <c r="T2239" s="15"/>
      <c r="U2239" s="15"/>
      <c r="V2239" s="15"/>
      <c r="W2239" s="15"/>
      <c r="X2239" s="15"/>
    </row>
    <row r="2240" ht="15.75" customHeight="1">
      <c r="I2240" s="43"/>
      <c r="Q2240" s="15"/>
      <c r="R2240" s="15"/>
      <c r="S2240" s="15"/>
      <c r="T2240" s="15"/>
      <c r="U2240" s="15"/>
      <c r="V2240" s="15"/>
      <c r="W2240" s="15"/>
      <c r="X2240" s="15"/>
    </row>
    <row r="2241" ht="15.75" customHeight="1">
      <c r="I2241" s="43"/>
      <c r="Q2241" s="15"/>
      <c r="R2241" s="15"/>
      <c r="S2241" s="15"/>
      <c r="T2241" s="15"/>
      <c r="U2241" s="15"/>
      <c r="V2241" s="15"/>
      <c r="W2241" s="15"/>
      <c r="X2241" s="15"/>
    </row>
    <row r="2242" ht="15.75" customHeight="1">
      <c r="I2242" s="43"/>
      <c r="Q2242" s="15"/>
      <c r="R2242" s="15"/>
      <c r="S2242" s="15"/>
      <c r="T2242" s="15"/>
      <c r="U2242" s="15"/>
      <c r="V2242" s="15"/>
      <c r="W2242" s="15"/>
      <c r="X2242" s="15"/>
    </row>
    <row r="2243" ht="15.75" customHeight="1">
      <c r="I2243" s="43"/>
      <c r="Q2243" s="15"/>
      <c r="R2243" s="15"/>
      <c r="S2243" s="15"/>
      <c r="T2243" s="15"/>
      <c r="U2243" s="15"/>
      <c r="V2243" s="15"/>
      <c r="W2243" s="15"/>
      <c r="X2243" s="15"/>
    </row>
    <row r="2244" ht="15.75" customHeight="1">
      <c r="I2244" s="43"/>
      <c r="Q2244" s="15"/>
      <c r="R2244" s="15"/>
      <c r="S2244" s="15"/>
      <c r="T2244" s="15"/>
      <c r="U2244" s="15"/>
      <c r="V2244" s="15"/>
      <c r="W2244" s="15"/>
      <c r="X2244" s="15"/>
    </row>
    <row r="2245" ht="15.75" customHeight="1">
      <c r="I2245" s="43"/>
      <c r="Q2245" s="15"/>
      <c r="R2245" s="15"/>
      <c r="S2245" s="15"/>
      <c r="T2245" s="15"/>
      <c r="U2245" s="15"/>
      <c r="V2245" s="15"/>
      <c r="W2245" s="15"/>
      <c r="X2245" s="15"/>
    </row>
    <row r="2246" ht="15.75" customHeight="1">
      <c r="I2246" s="43"/>
      <c r="Q2246" s="15"/>
      <c r="R2246" s="15"/>
      <c r="S2246" s="15"/>
      <c r="T2246" s="15"/>
      <c r="U2246" s="15"/>
      <c r="V2246" s="15"/>
      <c r="W2246" s="15"/>
      <c r="X2246" s="15"/>
    </row>
    <row r="2247" ht="15.75" customHeight="1">
      <c r="I2247" s="43"/>
      <c r="Q2247" s="15"/>
      <c r="R2247" s="15"/>
      <c r="S2247" s="15"/>
      <c r="T2247" s="15"/>
      <c r="U2247" s="15"/>
      <c r="V2247" s="15"/>
      <c r="W2247" s="15"/>
      <c r="X2247" s="15"/>
    </row>
    <row r="2248" ht="15.75" customHeight="1">
      <c r="I2248" s="43"/>
      <c r="Q2248" s="15"/>
      <c r="R2248" s="15"/>
      <c r="S2248" s="15"/>
      <c r="T2248" s="15"/>
      <c r="U2248" s="15"/>
      <c r="V2248" s="15"/>
      <c r="W2248" s="15"/>
      <c r="X2248" s="15"/>
    </row>
    <row r="2249" ht="15.75" customHeight="1">
      <c r="I2249" s="43"/>
      <c r="Q2249" s="15"/>
      <c r="R2249" s="15"/>
      <c r="S2249" s="15"/>
      <c r="T2249" s="15"/>
      <c r="U2249" s="15"/>
      <c r="V2249" s="15"/>
      <c r="W2249" s="15"/>
      <c r="X2249" s="15"/>
    </row>
    <row r="2250" ht="15.75" customHeight="1">
      <c r="I2250" s="43"/>
      <c r="Q2250" s="15"/>
      <c r="R2250" s="15"/>
      <c r="S2250" s="15"/>
      <c r="T2250" s="15"/>
      <c r="U2250" s="15"/>
      <c r="V2250" s="15"/>
      <c r="W2250" s="15"/>
      <c r="X2250" s="15"/>
    </row>
    <row r="2251" ht="15.75" customHeight="1">
      <c r="I2251" s="43"/>
      <c r="Q2251" s="15"/>
      <c r="R2251" s="15"/>
      <c r="S2251" s="15"/>
      <c r="T2251" s="15"/>
      <c r="U2251" s="15"/>
      <c r="V2251" s="15"/>
      <c r="W2251" s="15"/>
      <c r="X2251" s="15"/>
    </row>
    <row r="2252" ht="15.75" customHeight="1">
      <c r="I2252" s="43"/>
      <c r="Q2252" s="15"/>
      <c r="R2252" s="15"/>
      <c r="S2252" s="15"/>
      <c r="T2252" s="15"/>
      <c r="U2252" s="15"/>
      <c r="V2252" s="15"/>
      <c r="W2252" s="15"/>
      <c r="X2252" s="15"/>
    </row>
    <row r="2253" ht="15.75" customHeight="1">
      <c r="I2253" s="43"/>
      <c r="Q2253" s="15"/>
      <c r="R2253" s="15"/>
      <c r="S2253" s="15"/>
      <c r="T2253" s="15"/>
      <c r="U2253" s="15"/>
      <c r="V2253" s="15"/>
      <c r="W2253" s="15"/>
      <c r="X2253" s="15"/>
    </row>
    <row r="2254" ht="15.75" customHeight="1">
      <c r="I2254" s="43"/>
      <c r="Q2254" s="15"/>
      <c r="R2254" s="15"/>
      <c r="S2254" s="15"/>
      <c r="T2254" s="15"/>
      <c r="U2254" s="15"/>
      <c r="V2254" s="15"/>
      <c r="W2254" s="15"/>
      <c r="X2254" s="15"/>
    </row>
    <row r="2255" ht="15.75" customHeight="1">
      <c r="I2255" s="43"/>
      <c r="Q2255" s="15"/>
      <c r="R2255" s="15"/>
      <c r="S2255" s="15"/>
      <c r="T2255" s="15"/>
      <c r="U2255" s="15"/>
      <c r="V2255" s="15"/>
      <c r="W2255" s="15"/>
      <c r="X2255" s="15"/>
    </row>
    <row r="2256" ht="15.75" customHeight="1">
      <c r="I2256" s="43"/>
      <c r="Q2256" s="15"/>
      <c r="R2256" s="15"/>
      <c r="S2256" s="15"/>
      <c r="T2256" s="15"/>
      <c r="U2256" s="15"/>
      <c r="V2256" s="15"/>
      <c r="W2256" s="15"/>
      <c r="X2256" s="15"/>
    </row>
    <row r="2257" ht="15.75" customHeight="1">
      <c r="I2257" s="43"/>
      <c r="Q2257" s="15"/>
      <c r="R2257" s="15"/>
      <c r="S2257" s="15"/>
      <c r="T2257" s="15"/>
      <c r="U2257" s="15"/>
      <c r="V2257" s="15"/>
      <c r="W2257" s="15"/>
      <c r="X2257" s="15"/>
    </row>
    <row r="2258" ht="15.75" customHeight="1">
      <c r="I2258" s="43"/>
      <c r="Q2258" s="15"/>
      <c r="R2258" s="15"/>
      <c r="S2258" s="15"/>
      <c r="T2258" s="15"/>
      <c r="U2258" s="15"/>
      <c r="V2258" s="15"/>
      <c r="W2258" s="15"/>
      <c r="X2258" s="15"/>
    </row>
    <row r="2259" ht="15.75" customHeight="1">
      <c r="I2259" s="43"/>
      <c r="Q2259" s="15"/>
      <c r="R2259" s="15"/>
      <c r="S2259" s="15"/>
      <c r="T2259" s="15"/>
      <c r="U2259" s="15"/>
      <c r="V2259" s="15"/>
      <c r="W2259" s="15"/>
      <c r="X2259" s="15"/>
    </row>
    <row r="2260" ht="15.75" customHeight="1">
      <c r="I2260" s="43"/>
      <c r="Q2260" s="15"/>
      <c r="R2260" s="15"/>
      <c r="S2260" s="15"/>
      <c r="T2260" s="15"/>
      <c r="U2260" s="15"/>
      <c r="V2260" s="15"/>
      <c r="W2260" s="15"/>
      <c r="X2260" s="15"/>
    </row>
    <row r="2261" ht="15.75" customHeight="1">
      <c r="I2261" s="43"/>
      <c r="Q2261" s="15"/>
      <c r="R2261" s="15"/>
      <c r="S2261" s="15"/>
      <c r="T2261" s="15"/>
      <c r="U2261" s="15"/>
      <c r="V2261" s="15"/>
      <c r="W2261" s="15"/>
      <c r="X2261" s="15"/>
    </row>
    <row r="2262" ht="15.75" customHeight="1">
      <c r="I2262" s="43"/>
      <c r="Q2262" s="15"/>
      <c r="R2262" s="15"/>
      <c r="S2262" s="15"/>
      <c r="T2262" s="15"/>
      <c r="U2262" s="15"/>
      <c r="V2262" s="15"/>
      <c r="W2262" s="15"/>
      <c r="X2262" s="15"/>
    </row>
    <row r="2263" ht="15.75" customHeight="1">
      <c r="I2263" s="43"/>
      <c r="Q2263" s="15"/>
      <c r="R2263" s="15"/>
      <c r="S2263" s="15"/>
      <c r="T2263" s="15"/>
      <c r="U2263" s="15"/>
      <c r="V2263" s="15"/>
      <c r="W2263" s="15"/>
      <c r="X2263" s="15"/>
    </row>
    <row r="2264" ht="15.75" customHeight="1">
      <c r="I2264" s="43"/>
      <c r="Q2264" s="15"/>
      <c r="R2264" s="15"/>
      <c r="S2264" s="15"/>
      <c r="T2264" s="15"/>
      <c r="U2264" s="15"/>
      <c r="V2264" s="15"/>
      <c r="W2264" s="15"/>
      <c r="X2264" s="15"/>
    </row>
    <row r="2265" ht="15.75" customHeight="1">
      <c r="I2265" s="43"/>
      <c r="Q2265" s="15"/>
      <c r="R2265" s="15"/>
      <c r="S2265" s="15"/>
      <c r="T2265" s="15"/>
      <c r="U2265" s="15"/>
      <c r="V2265" s="15"/>
      <c r="W2265" s="15"/>
      <c r="X2265" s="15"/>
    </row>
    <row r="2266" ht="15.75" customHeight="1">
      <c r="I2266" s="43"/>
      <c r="Q2266" s="15"/>
      <c r="R2266" s="15"/>
      <c r="S2266" s="15"/>
      <c r="T2266" s="15"/>
      <c r="U2266" s="15"/>
      <c r="V2266" s="15"/>
      <c r="W2266" s="15"/>
      <c r="X2266" s="15"/>
    </row>
    <row r="2267" ht="15.75" customHeight="1">
      <c r="I2267" s="43"/>
      <c r="Q2267" s="15"/>
      <c r="R2267" s="15"/>
      <c r="S2267" s="15"/>
      <c r="T2267" s="15"/>
      <c r="U2267" s="15"/>
      <c r="V2267" s="15"/>
      <c r="W2267" s="15"/>
      <c r="X2267" s="15"/>
    </row>
    <row r="2268" ht="15.75" customHeight="1">
      <c r="I2268" s="43"/>
      <c r="Q2268" s="15"/>
      <c r="R2268" s="15"/>
      <c r="S2268" s="15"/>
      <c r="T2268" s="15"/>
      <c r="U2268" s="15"/>
      <c r="V2268" s="15"/>
      <c r="W2268" s="15"/>
      <c r="X2268" s="15"/>
    </row>
    <row r="2269" ht="15.75" customHeight="1">
      <c r="I2269" s="43"/>
      <c r="Q2269" s="15"/>
      <c r="R2269" s="15"/>
      <c r="S2269" s="15"/>
      <c r="T2269" s="15"/>
      <c r="U2269" s="15"/>
      <c r="V2269" s="15"/>
      <c r="W2269" s="15"/>
      <c r="X2269" s="15"/>
    </row>
    <row r="2270" ht="15.75" customHeight="1">
      <c r="I2270" s="43"/>
      <c r="Q2270" s="15"/>
      <c r="R2270" s="15"/>
      <c r="S2270" s="15"/>
      <c r="T2270" s="15"/>
      <c r="U2270" s="15"/>
      <c r="V2270" s="15"/>
      <c r="W2270" s="15"/>
      <c r="X2270" s="15"/>
    </row>
    <row r="2271" ht="15.75" customHeight="1">
      <c r="I2271" s="43"/>
      <c r="Q2271" s="15"/>
      <c r="R2271" s="15"/>
      <c r="S2271" s="15"/>
      <c r="T2271" s="15"/>
      <c r="U2271" s="15"/>
      <c r="V2271" s="15"/>
      <c r="W2271" s="15"/>
      <c r="X2271" s="15"/>
    </row>
    <row r="2272" ht="15.75" customHeight="1">
      <c r="I2272" s="43"/>
      <c r="Q2272" s="15"/>
      <c r="R2272" s="15"/>
      <c r="S2272" s="15"/>
      <c r="T2272" s="15"/>
      <c r="U2272" s="15"/>
      <c r="V2272" s="15"/>
      <c r="W2272" s="15"/>
      <c r="X2272" s="15"/>
    </row>
    <row r="2273" ht="15.75" customHeight="1">
      <c r="I2273" s="43"/>
      <c r="Q2273" s="15"/>
      <c r="R2273" s="15"/>
      <c r="S2273" s="15"/>
      <c r="T2273" s="15"/>
      <c r="U2273" s="15"/>
      <c r="V2273" s="15"/>
      <c r="W2273" s="15"/>
      <c r="X2273" s="15"/>
    </row>
    <row r="2274" ht="15.75" customHeight="1">
      <c r="I2274" s="43"/>
      <c r="Q2274" s="15"/>
      <c r="R2274" s="15"/>
      <c r="S2274" s="15"/>
      <c r="T2274" s="15"/>
      <c r="U2274" s="15"/>
      <c r="V2274" s="15"/>
      <c r="W2274" s="15"/>
      <c r="X2274" s="15"/>
    </row>
    <row r="2275" ht="15.75" customHeight="1">
      <c r="I2275" s="43"/>
      <c r="Q2275" s="15"/>
      <c r="R2275" s="15"/>
      <c r="S2275" s="15"/>
      <c r="T2275" s="15"/>
      <c r="U2275" s="15"/>
      <c r="V2275" s="15"/>
      <c r="W2275" s="15"/>
      <c r="X2275" s="15"/>
    </row>
    <row r="2276" ht="15.75" customHeight="1">
      <c r="I2276" s="43"/>
      <c r="Q2276" s="15"/>
      <c r="R2276" s="15"/>
      <c r="S2276" s="15"/>
      <c r="T2276" s="15"/>
      <c r="U2276" s="15"/>
      <c r="V2276" s="15"/>
      <c r="W2276" s="15"/>
      <c r="X2276" s="15"/>
    </row>
    <row r="2277" ht="15.75" customHeight="1">
      <c r="I2277" s="43"/>
      <c r="Q2277" s="15"/>
      <c r="R2277" s="15"/>
      <c r="S2277" s="15"/>
      <c r="T2277" s="15"/>
      <c r="U2277" s="15"/>
      <c r="V2277" s="15"/>
      <c r="W2277" s="15"/>
      <c r="X2277" s="15"/>
    </row>
    <row r="2278" ht="15.75" customHeight="1">
      <c r="I2278" s="43"/>
      <c r="Q2278" s="15"/>
      <c r="R2278" s="15"/>
      <c r="S2278" s="15"/>
      <c r="T2278" s="15"/>
      <c r="U2278" s="15"/>
      <c r="V2278" s="15"/>
      <c r="W2278" s="15"/>
      <c r="X2278" s="15"/>
    </row>
    <row r="2279" ht="15.75" customHeight="1">
      <c r="I2279" s="43"/>
      <c r="Q2279" s="15"/>
      <c r="R2279" s="15"/>
      <c r="S2279" s="15"/>
      <c r="T2279" s="15"/>
      <c r="U2279" s="15"/>
      <c r="V2279" s="15"/>
      <c r="W2279" s="15"/>
      <c r="X2279" s="15"/>
    </row>
    <row r="2280" ht="15.75" customHeight="1">
      <c r="I2280" s="43"/>
      <c r="Q2280" s="15"/>
      <c r="R2280" s="15"/>
      <c r="S2280" s="15"/>
      <c r="T2280" s="15"/>
      <c r="U2280" s="15"/>
      <c r="V2280" s="15"/>
      <c r="W2280" s="15"/>
      <c r="X2280" s="15"/>
    </row>
    <row r="2281" ht="15.75" customHeight="1">
      <c r="I2281" s="43"/>
      <c r="Q2281" s="15"/>
      <c r="R2281" s="15"/>
      <c r="S2281" s="15"/>
      <c r="T2281" s="15"/>
      <c r="U2281" s="15"/>
      <c r="V2281" s="15"/>
      <c r="W2281" s="15"/>
      <c r="X2281" s="15"/>
    </row>
    <row r="2282" ht="15.75" customHeight="1">
      <c r="I2282" s="43"/>
      <c r="Q2282" s="15"/>
      <c r="R2282" s="15"/>
      <c r="S2282" s="15"/>
      <c r="T2282" s="15"/>
      <c r="U2282" s="15"/>
      <c r="V2282" s="15"/>
      <c r="W2282" s="15"/>
      <c r="X2282" s="15"/>
    </row>
    <row r="2283" ht="15.75" customHeight="1">
      <c r="I2283" s="43"/>
      <c r="Q2283" s="15"/>
      <c r="R2283" s="15"/>
      <c r="S2283" s="15"/>
      <c r="T2283" s="15"/>
      <c r="U2283" s="15"/>
      <c r="V2283" s="15"/>
      <c r="W2283" s="15"/>
      <c r="X2283" s="15"/>
    </row>
    <row r="2284" ht="15.75" customHeight="1">
      <c r="I2284" s="43"/>
      <c r="Q2284" s="15"/>
      <c r="R2284" s="15"/>
      <c r="S2284" s="15"/>
      <c r="T2284" s="15"/>
      <c r="U2284" s="15"/>
      <c r="V2284" s="15"/>
      <c r="W2284" s="15"/>
      <c r="X2284" s="15"/>
    </row>
    <row r="2285" ht="15.75" customHeight="1">
      <c r="I2285" s="43"/>
      <c r="Q2285" s="15"/>
      <c r="R2285" s="15"/>
      <c r="S2285" s="15"/>
      <c r="T2285" s="15"/>
      <c r="U2285" s="15"/>
      <c r="V2285" s="15"/>
      <c r="W2285" s="15"/>
      <c r="X2285" s="15"/>
    </row>
    <row r="2286" ht="15.75" customHeight="1">
      <c r="I2286" s="43"/>
      <c r="Q2286" s="15"/>
      <c r="R2286" s="15"/>
      <c r="S2286" s="15"/>
      <c r="T2286" s="15"/>
      <c r="U2286" s="15"/>
      <c r="V2286" s="15"/>
      <c r="W2286" s="15"/>
      <c r="X2286" s="15"/>
    </row>
    <row r="2287" ht="15.75" customHeight="1">
      <c r="I2287" s="43"/>
      <c r="Q2287" s="15"/>
      <c r="R2287" s="15"/>
      <c r="S2287" s="15"/>
      <c r="T2287" s="15"/>
      <c r="U2287" s="15"/>
      <c r="V2287" s="15"/>
      <c r="W2287" s="15"/>
      <c r="X2287" s="15"/>
    </row>
    <row r="2288" ht="15.75" customHeight="1">
      <c r="I2288" s="43"/>
      <c r="Q2288" s="15"/>
      <c r="R2288" s="15"/>
      <c r="S2288" s="15"/>
      <c r="T2288" s="15"/>
      <c r="U2288" s="15"/>
      <c r="V2288" s="15"/>
      <c r="W2288" s="15"/>
      <c r="X2288" s="15"/>
    </row>
    <row r="2289" ht="15.75" customHeight="1">
      <c r="I2289" s="43"/>
      <c r="Q2289" s="15"/>
      <c r="R2289" s="15"/>
      <c r="S2289" s="15"/>
      <c r="T2289" s="15"/>
      <c r="U2289" s="15"/>
      <c r="V2289" s="15"/>
      <c r="W2289" s="15"/>
      <c r="X2289" s="15"/>
    </row>
    <row r="2290" ht="15.75" customHeight="1">
      <c r="I2290" s="43"/>
      <c r="Q2290" s="15"/>
      <c r="R2290" s="15"/>
      <c r="S2290" s="15"/>
      <c r="T2290" s="15"/>
      <c r="U2290" s="15"/>
      <c r="V2290" s="15"/>
      <c r="W2290" s="15"/>
      <c r="X2290" s="15"/>
    </row>
    <row r="2291" ht="15.75" customHeight="1">
      <c r="I2291" s="43"/>
      <c r="Q2291" s="15"/>
      <c r="R2291" s="15"/>
      <c r="S2291" s="15"/>
      <c r="T2291" s="15"/>
      <c r="U2291" s="15"/>
      <c r="V2291" s="15"/>
      <c r="W2291" s="15"/>
      <c r="X2291" s="15"/>
    </row>
    <row r="2292" ht="15.75" customHeight="1">
      <c r="I2292" s="43"/>
      <c r="Q2292" s="15"/>
      <c r="R2292" s="15"/>
      <c r="S2292" s="15"/>
      <c r="T2292" s="15"/>
      <c r="U2292" s="15"/>
      <c r="V2292" s="15"/>
      <c r="W2292" s="15"/>
      <c r="X2292" s="15"/>
    </row>
    <row r="2293" ht="15.75" customHeight="1">
      <c r="I2293" s="43"/>
      <c r="Q2293" s="15"/>
      <c r="R2293" s="15"/>
      <c r="S2293" s="15"/>
      <c r="T2293" s="15"/>
      <c r="U2293" s="15"/>
      <c r="V2293" s="15"/>
      <c r="W2293" s="15"/>
      <c r="X2293" s="15"/>
    </row>
    <row r="2294" ht="15.75" customHeight="1">
      <c r="I2294" s="43"/>
      <c r="Q2294" s="15"/>
      <c r="R2294" s="15"/>
      <c r="S2294" s="15"/>
      <c r="T2294" s="15"/>
      <c r="U2294" s="15"/>
      <c r="V2294" s="15"/>
      <c r="W2294" s="15"/>
      <c r="X2294" s="15"/>
    </row>
    <row r="2295" ht="15.75" customHeight="1">
      <c r="I2295" s="43"/>
      <c r="Q2295" s="15"/>
      <c r="R2295" s="15"/>
      <c r="S2295" s="15"/>
      <c r="T2295" s="15"/>
      <c r="U2295" s="15"/>
      <c r="V2295" s="15"/>
      <c r="W2295" s="15"/>
      <c r="X2295" s="15"/>
    </row>
    <row r="2296" ht="15.75" customHeight="1">
      <c r="I2296" s="43"/>
      <c r="Q2296" s="15"/>
      <c r="R2296" s="15"/>
      <c r="S2296" s="15"/>
      <c r="T2296" s="15"/>
      <c r="U2296" s="15"/>
      <c r="V2296" s="15"/>
      <c r="W2296" s="15"/>
      <c r="X2296" s="15"/>
    </row>
    <row r="2297" ht="15.75" customHeight="1">
      <c r="I2297" s="43"/>
      <c r="Q2297" s="15"/>
      <c r="R2297" s="15"/>
      <c r="S2297" s="15"/>
      <c r="T2297" s="15"/>
      <c r="U2297" s="15"/>
      <c r="V2297" s="15"/>
      <c r="W2297" s="15"/>
      <c r="X2297" s="15"/>
    </row>
    <row r="2298" ht="15.75" customHeight="1">
      <c r="I2298" s="43"/>
      <c r="Q2298" s="15"/>
      <c r="R2298" s="15"/>
      <c r="S2298" s="15"/>
      <c r="T2298" s="15"/>
      <c r="U2298" s="15"/>
      <c r="V2298" s="15"/>
      <c r="W2298" s="15"/>
      <c r="X2298" s="15"/>
    </row>
    <row r="2299" ht="15.75" customHeight="1">
      <c r="I2299" s="43"/>
      <c r="Q2299" s="15"/>
      <c r="R2299" s="15"/>
      <c r="S2299" s="15"/>
      <c r="T2299" s="15"/>
      <c r="U2299" s="15"/>
      <c r="V2299" s="15"/>
      <c r="W2299" s="15"/>
      <c r="X2299" s="15"/>
    </row>
    <row r="2300" ht="15.75" customHeight="1">
      <c r="I2300" s="43"/>
      <c r="Q2300" s="15"/>
      <c r="R2300" s="15"/>
      <c r="S2300" s="15"/>
      <c r="T2300" s="15"/>
      <c r="U2300" s="15"/>
      <c r="V2300" s="15"/>
      <c r="W2300" s="15"/>
      <c r="X2300" s="15"/>
    </row>
    <row r="2301" ht="15.75" customHeight="1">
      <c r="I2301" s="43"/>
      <c r="Q2301" s="15"/>
      <c r="R2301" s="15"/>
      <c r="S2301" s="15"/>
      <c r="T2301" s="15"/>
      <c r="U2301" s="15"/>
      <c r="V2301" s="15"/>
      <c r="W2301" s="15"/>
      <c r="X2301" s="15"/>
    </row>
    <row r="2302" ht="15.75" customHeight="1">
      <c r="I2302" s="43"/>
      <c r="Q2302" s="15"/>
      <c r="R2302" s="15"/>
      <c r="S2302" s="15"/>
      <c r="T2302" s="15"/>
      <c r="U2302" s="15"/>
      <c r="V2302" s="15"/>
      <c r="W2302" s="15"/>
      <c r="X2302" s="15"/>
    </row>
    <row r="2303" ht="15.75" customHeight="1">
      <c r="I2303" s="43"/>
      <c r="Q2303" s="15"/>
      <c r="R2303" s="15"/>
      <c r="S2303" s="15"/>
      <c r="T2303" s="15"/>
      <c r="U2303" s="15"/>
      <c r="V2303" s="15"/>
      <c r="W2303" s="15"/>
      <c r="X2303" s="15"/>
    </row>
    <row r="2304" ht="15.75" customHeight="1">
      <c r="I2304" s="43"/>
      <c r="Q2304" s="15"/>
      <c r="R2304" s="15"/>
      <c r="S2304" s="15"/>
      <c r="T2304" s="15"/>
      <c r="U2304" s="15"/>
      <c r="V2304" s="15"/>
      <c r="W2304" s="15"/>
      <c r="X2304" s="15"/>
    </row>
    <row r="2305" ht="15.75" customHeight="1">
      <c r="I2305" s="43"/>
      <c r="Q2305" s="15"/>
      <c r="R2305" s="15"/>
      <c r="S2305" s="15"/>
      <c r="T2305" s="15"/>
      <c r="U2305" s="15"/>
      <c r="V2305" s="15"/>
      <c r="W2305" s="15"/>
      <c r="X2305" s="15"/>
    </row>
    <row r="2306" ht="15.75" customHeight="1">
      <c r="I2306" s="43"/>
      <c r="Q2306" s="15"/>
      <c r="R2306" s="15"/>
      <c r="S2306" s="15"/>
      <c r="T2306" s="15"/>
      <c r="U2306" s="15"/>
      <c r="V2306" s="15"/>
      <c r="W2306" s="15"/>
      <c r="X2306" s="15"/>
    </row>
    <row r="2307" ht="15.75" customHeight="1">
      <c r="I2307" s="43"/>
      <c r="Q2307" s="15"/>
      <c r="R2307" s="15"/>
      <c r="S2307" s="15"/>
      <c r="T2307" s="15"/>
      <c r="U2307" s="15"/>
      <c r="V2307" s="15"/>
      <c r="W2307" s="15"/>
      <c r="X2307" s="15"/>
    </row>
    <row r="2308" ht="15.75" customHeight="1">
      <c r="I2308" s="43"/>
      <c r="Q2308" s="15"/>
      <c r="R2308" s="15"/>
      <c r="S2308" s="15"/>
      <c r="T2308" s="15"/>
      <c r="U2308" s="15"/>
      <c r="V2308" s="15"/>
      <c r="W2308" s="15"/>
      <c r="X2308" s="15"/>
    </row>
    <row r="2309" ht="15.75" customHeight="1">
      <c r="I2309" s="43"/>
      <c r="Q2309" s="15"/>
      <c r="R2309" s="15"/>
      <c r="S2309" s="15"/>
      <c r="T2309" s="15"/>
      <c r="U2309" s="15"/>
      <c r="V2309" s="15"/>
      <c r="W2309" s="15"/>
      <c r="X2309" s="15"/>
    </row>
    <row r="2310" ht="15.75" customHeight="1">
      <c r="I2310" s="43"/>
      <c r="Q2310" s="15"/>
      <c r="R2310" s="15"/>
      <c r="S2310" s="15"/>
      <c r="T2310" s="15"/>
      <c r="U2310" s="15"/>
      <c r="V2310" s="15"/>
      <c r="W2310" s="15"/>
      <c r="X2310" s="15"/>
    </row>
    <row r="2311" ht="15.75" customHeight="1">
      <c r="I2311" s="43"/>
      <c r="Q2311" s="15"/>
      <c r="R2311" s="15"/>
      <c r="S2311" s="15"/>
      <c r="T2311" s="15"/>
      <c r="U2311" s="15"/>
      <c r="V2311" s="15"/>
      <c r="W2311" s="15"/>
      <c r="X2311" s="15"/>
    </row>
    <row r="2312" ht="15.75" customHeight="1">
      <c r="I2312" s="43"/>
      <c r="Q2312" s="15"/>
      <c r="R2312" s="15"/>
      <c r="S2312" s="15"/>
      <c r="T2312" s="15"/>
      <c r="U2312" s="15"/>
      <c r="V2312" s="15"/>
      <c r="W2312" s="15"/>
      <c r="X2312" s="15"/>
    </row>
    <row r="2313" ht="15.75" customHeight="1">
      <c r="I2313" s="43"/>
      <c r="Q2313" s="15"/>
      <c r="R2313" s="15"/>
      <c r="S2313" s="15"/>
      <c r="T2313" s="15"/>
      <c r="U2313" s="15"/>
      <c r="V2313" s="15"/>
      <c r="W2313" s="15"/>
      <c r="X2313" s="15"/>
    </row>
    <row r="2314" ht="15.75" customHeight="1">
      <c r="I2314" s="43"/>
      <c r="Q2314" s="15"/>
      <c r="R2314" s="15"/>
      <c r="S2314" s="15"/>
      <c r="T2314" s="15"/>
      <c r="U2314" s="15"/>
      <c r="V2314" s="15"/>
      <c r="W2314" s="15"/>
      <c r="X2314" s="15"/>
    </row>
    <row r="2315" ht="15.75" customHeight="1">
      <c r="I2315" s="43"/>
      <c r="Q2315" s="15"/>
      <c r="R2315" s="15"/>
      <c r="S2315" s="15"/>
      <c r="T2315" s="15"/>
      <c r="U2315" s="15"/>
      <c r="V2315" s="15"/>
      <c r="W2315" s="15"/>
      <c r="X2315" s="15"/>
    </row>
    <row r="2316" ht="15.75" customHeight="1">
      <c r="I2316" s="43"/>
      <c r="Q2316" s="15"/>
      <c r="R2316" s="15"/>
      <c r="S2316" s="15"/>
      <c r="T2316" s="15"/>
      <c r="U2316" s="15"/>
      <c r="V2316" s="15"/>
      <c r="W2316" s="15"/>
      <c r="X2316" s="15"/>
    </row>
    <row r="2317" ht="15.75" customHeight="1">
      <c r="I2317" s="43"/>
      <c r="Q2317" s="15"/>
      <c r="R2317" s="15"/>
      <c r="S2317" s="15"/>
      <c r="T2317" s="15"/>
      <c r="U2317" s="15"/>
      <c r="V2317" s="15"/>
      <c r="W2317" s="15"/>
      <c r="X2317" s="15"/>
    </row>
    <row r="2318" ht="15.75" customHeight="1">
      <c r="I2318" s="43"/>
      <c r="Q2318" s="15"/>
      <c r="R2318" s="15"/>
      <c r="S2318" s="15"/>
      <c r="T2318" s="15"/>
      <c r="U2318" s="15"/>
      <c r="V2318" s="15"/>
      <c r="W2318" s="15"/>
      <c r="X2318" s="15"/>
    </row>
    <row r="2319" ht="15.75" customHeight="1">
      <c r="I2319" s="43"/>
      <c r="Q2319" s="15"/>
      <c r="R2319" s="15"/>
      <c r="S2319" s="15"/>
      <c r="T2319" s="15"/>
      <c r="U2319" s="15"/>
      <c r="V2319" s="15"/>
      <c r="W2319" s="15"/>
      <c r="X2319" s="15"/>
    </row>
    <row r="2320" ht="15.75" customHeight="1">
      <c r="I2320" s="43"/>
      <c r="Q2320" s="15"/>
      <c r="R2320" s="15"/>
      <c r="S2320" s="15"/>
      <c r="T2320" s="15"/>
      <c r="U2320" s="15"/>
      <c r="V2320" s="15"/>
      <c r="W2320" s="15"/>
      <c r="X2320" s="15"/>
    </row>
    <row r="2321" ht="15.75" customHeight="1">
      <c r="I2321" s="43"/>
      <c r="Q2321" s="15"/>
      <c r="R2321" s="15"/>
      <c r="S2321" s="15"/>
      <c r="T2321" s="15"/>
      <c r="U2321" s="15"/>
      <c r="V2321" s="15"/>
      <c r="W2321" s="15"/>
      <c r="X2321" s="15"/>
    </row>
    <row r="2322" ht="15.75" customHeight="1">
      <c r="I2322" s="43"/>
      <c r="Q2322" s="15"/>
      <c r="R2322" s="15"/>
      <c r="S2322" s="15"/>
      <c r="T2322" s="15"/>
      <c r="U2322" s="15"/>
      <c r="V2322" s="15"/>
      <c r="W2322" s="15"/>
      <c r="X2322" s="15"/>
    </row>
    <row r="2323" ht="15.75" customHeight="1">
      <c r="I2323" s="43"/>
      <c r="Q2323" s="15"/>
      <c r="R2323" s="15"/>
      <c r="S2323" s="15"/>
      <c r="T2323" s="15"/>
      <c r="U2323" s="15"/>
      <c r="V2323" s="15"/>
      <c r="W2323" s="15"/>
      <c r="X2323" s="15"/>
    </row>
    <row r="2324" ht="15.75" customHeight="1">
      <c r="I2324" s="43"/>
      <c r="Q2324" s="15"/>
      <c r="R2324" s="15"/>
      <c r="S2324" s="15"/>
      <c r="T2324" s="15"/>
      <c r="U2324" s="15"/>
      <c r="V2324" s="15"/>
      <c r="W2324" s="15"/>
      <c r="X2324" s="15"/>
    </row>
    <row r="2325" ht="15.75" customHeight="1">
      <c r="I2325" s="43"/>
      <c r="Q2325" s="15"/>
      <c r="R2325" s="15"/>
      <c r="S2325" s="15"/>
      <c r="T2325" s="15"/>
      <c r="U2325" s="15"/>
      <c r="V2325" s="15"/>
      <c r="W2325" s="15"/>
      <c r="X2325" s="15"/>
    </row>
    <row r="2326" ht="15.75" customHeight="1">
      <c r="I2326" s="43"/>
      <c r="Q2326" s="15"/>
      <c r="R2326" s="15"/>
      <c r="S2326" s="15"/>
      <c r="T2326" s="15"/>
      <c r="U2326" s="15"/>
      <c r="V2326" s="15"/>
      <c r="W2326" s="15"/>
      <c r="X2326" s="15"/>
    </row>
    <row r="2327" ht="15.75" customHeight="1">
      <c r="I2327" s="43"/>
      <c r="Q2327" s="15"/>
      <c r="R2327" s="15"/>
      <c r="S2327" s="15"/>
      <c r="T2327" s="15"/>
      <c r="U2327" s="15"/>
      <c r="V2327" s="15"/>
      <c r="W2327" s="15"/>
      <c r="X2327" s="15"/>
    </row>
    <row r="2328" ht="15.75" customHeight="1">
      <c r="I2328" s="43"/>
      <c r="Q2328" s="15"/>
      <c r="R2328" s="15"/>
      <c r="S2328" s="15"/>
      <c r="T2328" s="15"/>
      <c r="U2328" s="15"/>
      <c r="V2328" s="15"/>
      <c r="W2328" s="15"/>
      <c r="X2328" s="15"/>
    </row>
    <row r="2329" ht="15.75" customHeight="1">
      <c r="I2329" s="43"/>
      <c r="Q2329" s="15"/>
      <c r="R2329" s="15"/>
      <c r="S2329" s="15"/>
      <c r="T2329" s="15"/>
      <c r="U2329" s="15"/>
      <c r="V2329" s="15"/>
      <c r="W2329" s="15"/>
      <c r="X2329" s="15"/>
    </row>
    <row r="2330" ht="15.75" customHeight="1">
      <c r="I2330" s="43"/>
      <c r="Q2330" s="15"/>
      <c r="R2330" s="15"/>
      <c r="S2330" s="15"/>
      <c r="T2330" s="15"/>
      <c r="U2330" s="15"/>
      <c r="V2330" s="15"/>
      <c r="W2330" s="15"/>
      <c r="X2330" s="15"/>
    </row>
  </sheetData>
  <autoFilter ref="$A$1:$X$1334">
    <sortState ref="A1:X1334">
      <sortCondition ref="C1:C1334"/>
    </sortState>
  </autoFilter>
  <conditionalFormatting sqref="O1148:Q1148">
    <cfRule type="expression" dxfId="0" priority="1">
      <formula>"L2=TRUE"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71"/>
    <col customWidth="1" min="3" max="3" width="22.43"/>
  </cols>
  <sheetData>
    <row r="1">
      <c r="A1" s="44" t="s">
        <v>3507</v>
      </c>
      <c r="B1" s="45"/>
      <c r="C1" s="44" t="s">
        <v>3508</v>
      </c>
      <c r="D1" s="44" t="s">
        <v>3509</v>
      </c>
    </row>
    <row r="2">
      <c r="A2" s="46">
        <v>1312.0</v>
      </c>
      <c r="B2" s="46" t="s">
        <v>3510</v>
      </c>
      <c r="C2" s="46" t="s">
        <v>3511</v>
      </c>
      <c r="D2" s="46">
        <v>197.0</v>
      </c>
    </row>
    <row r="3">
      <c r="A3" s="47">
        <v>367.0</v>
      </c>
      <c r="B3" s="47" t="s">
        <v>3512</v>
      </c>
      <c r="C3" s="47" t="s">
        <v>3511</v>
      </c>
      <c r="D3" s="47">
        <v>430.0</v>
      </c>
    </row>
    <row r="4">
      <c r="A4" s="47">
        <v>1066.0</v>
      </c>
      <c r="B4" s="48"/>
      <c r="C4" s="47" t="s">
        <v>3513</v>
      </c>
      <c r="D4" s="48"/>
    </row>
    <row r="5">
      <c r="A5" s="47">
        <v>313.0</v>
      </c>
      <c r="B5" s="47" t="s">
        <v>3514</v>
      </c>
      <c r="C5" s="47" t="s">
        <v>3515</v>
      </c>
      <c r="D5" s="47">
        <v>1178.0</v>
      </c>
    </row>
    <row r="6">
      <c r="A6" s="47">
        <v>92.0</v>
      </c>
      <c r="B6" s="48"/>
      <c r="C6" s="47" t="s">
        <v>3513</v>
      </c>
      <c r="D6" s="48"/>
    </row>
    <row r="7">
      <c r="A7" s="47">
        <v>1066.0</v>
      </c>
      <c r="B7" s="48"/>
      <c r="C7" s="47" t="s">
        <v>3513</v>
      </c>
      <c r="D7" s="48"/>
    </row>
    <row r="8">
      <c r="A8" s="47">
        <v>1278.0</v>
      </c>
      <c r="B8" s="48"/>
      <c r="C8" s="47" t="s">
        <v>3513</v>
      </c>
      <c r="D8" s="48"/>
    </row>
    <row r="9">
      <c r="A9" s="47">
        <v>741.0</v>
      </c>
      <c r="B9" s="48"/>
      <c r="C9" s="47" t="s">
        <v>3511</v>
      </c>
      <c r="D9" s="47">
        <v>1218.0</v>
      </c>
    </row>
    <row r="10">
      <c r="A10" s="49">
        <v>1176.0</v>
      </c>
      <c r="B10" s="47" t="s">
        <v>3516</v>
      </c>
      <c r="C10" s="47" t="s">
        <v>3517</v>
      </c>
      <c r="D10" s="47">
        <v>215.0</v>
      </c>
    </row>
    <row r="11">
      <c r="A11" s="47">
        <v>1260.0</v>
      </c>
      <c r="B11" s="48"/>
      <c r="C11" s="47" t="s">
        <v>3513</v>
      </c>
      <c r="D11" s="48"/>
    </row>
    <row r="12">
      <c r="A12" s="47">
        <v>1312.0</v>
      </c>
      <c r="B12" s="48"/>
      <c r="C12" s="47" t="s">
        <v>3513</v>
      </c>
      <c r="D12" s="48"/>
    </row>
    <row r="13">
      <c r="A13" s="50">
        <v>1318.0</v>
      </c>
      <c r="B13" s="51"/>
      <c r="C13" s="52" t="s">
        <v>3513</v>
      </c>
      <c r="D13" s="5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30.86"/>
    <col customWidth="1" min="3" max="3" width="23.43"/>
    <col customWidth="1" min="4" max="4" width="11.14"/>
    <col customWidth="1" min="5" max="5" width="26.14"/>
    <col customWidth="1" min="6" max="6" width="16.43"/>
  </cols>
  <sheetData>
    <row r="1" ht="14.25" customHeight="1">
      <c r="A1" s="10" t="s">
        <v>3</v>
      </c>
      <c r="B1" s="10" t="s">
        <v>4</v>
      </c>
      <c r="C1" s="10" t="s">
        <v>3518</v>
      </c>
      <c r="D1" s="10" t="s">
        <v>12</v>
      </c>
      <c r="E1" s="10" t="s">
        <v>13</v>
      </c>
      <c r="F1" s="10" t="s">
        <v>14</v>
      </c>
    </row>
    <row r="2" ht="14.25" customHeight="1">
      <c r="A2" s="10" t="s">
        <v>3130</v>
      </c>
      <c r="B2" s="10" t="s">
        <v>3519</v>
      </c>
      <c r="C2" s="10" t="s">
        <v>762</v>
      </c>
      <c r="D2" s="10" t="s">
        <v>35</v>
      </c>
      <c r="E2" s="10" t="s">
        <v>36</v>
      </c>
      <c r="F2" s="10" t="s">
        <v>37</v>
      </c>
    </row>
    <row r="3" ht="14.25" customHeight="1">
      <c r="A3" s="10" t="s">
        <v>3520</v>
      </c>
      <c r="B3" s="10" t="s">
        <v>3134</v>
      </c>
      <c r="C3" s="10" t="s">
        <v>286</v>
      </c>
      <c r="D3" s="10" t="s">
        <v>35</v>
      </c>
      <c r="E3" s="10" t="s">
        <v>36</v>
      </c>
      <c r="F3" s="10" t="s">
        <v>37</v>
      </c>
    </row>
    <row r="4" ht="14.25" customHeight="1">
      <c r="A4" s="10"/>
      <c r="B4" s="10"/>
      <c r="C4" s="10"/>
      <c r="D4" s="10"/>
      <c r="E4" s="10"/>
      <c r="F4" s="10"/>
    </row>
    <row r="5" ht="14.25" customHeight="1">
      <c r="A5" s="10" t="s">
        <v>332</v>
      </c>
      <c r="B5" s="10" t="s">
        <v>3521</v>
      </c>
      <c r="C5" s="10" t="s">
        <v>328</v>
      </c>
      <c r="D5" s="10" t="s">
        <v>46</v>
      </c>
      <c r="E5" s="10" t="s">
        <v>36</v>
      </c>
      <c r="F5" s="10" t="s">
        <v>37</v>
      </c>
    </row>
    <row r="6" ht="14.25" customHeight="1">
      <c r="A6" s="10"/>
      <c r="B6" s="10"/>
      <c r="C6" s="10"/>
      <c r="D6" s="10"/>
      <c r="E6" s="10"/>
      <c r="F6" s="10"/>
    </row>
    <row r="7" ht="14.25" customHeight="1">
      <c r="A7" s="10" t="s">
        <v>3522</v>
      </c>
      <c r="B7" s="10" t="s">
        <v>3138</v>
      </c>
      <c r="C7" s="10" t="s">
        <v>362</v>
      </c>
      <c r="D7" s="10" t="s">
        <v>35</v>
      </c>
      <c r="E7" s="10" t="s">
        <v>36</v>
      </c>
      <c r="F7" s="10" t="s">
        <v>47</v>
      </c>
    </row>
    <row r="8" ht="14.25" customHeight="1">
      <c r="A8" s="10" t="s">
        <v>3523</v>
      </c>
      <c r="B8" s="10" t="s">
        <v>3140</v>
      </c>
      <c r="C8" s="10" t="s">
        <v>431</v>
      </c>
      <c r="D8" s="10" t="s">
        <v>46</v>
      </c>
      <c r="E8" s="10" t="s">
        <v>36</v>
      </c>
      <c r="F8" s="10" t="s">
        <v>432</v>
      </c>
    </row>
    <row r="9" ht="14.25" customHeight="1">
      <c r="A9" s="10" t="s">
        <v>3141</v>
      </c>
      <c r="B9" s="10" t="s">
        <v>3524</v>
      </c>
      <c r="C9" s="10" t="s">
        <v>803</v>
      </c>
      <c r="D9" s="10" t="s">
        <v>35</v>
      </c>
      <c r="E9" s="10" t="s">
        <v>36</v>
      </c>
      <c r="F9" s="10" t="s">
        <v>37</v>
      </c>
    </row>
    <row r="10" ht="14.25" customHeight="1">
      <c r="A10" s="10" t="s">
        <v>3144</v>
      </c>
      <c r="B10" s="10" t="s">
        <v>3145</v>
      </c>
      <c r="C10" s="10" t="s">
        <v>498</v>
      </c>
      <c r="D10" s="10" t="s">
        <v>35</v>
      </c>
      <c r="E10" s="10" t="s">
        <v>36</v>
      </c>
      <c r="F10" s="10" t="s">
        <v>47</v>
      </c>
    </row>
    <row r="11" ht="14.25" customHeight="1">
      <c r="A11" s="10" t="s">
        <v>3525</v>
      </c>
      <c r="B11" s="10" t="s">
        <v>3147</v>
      </c>
      <c r="C11" s="10" t="s">
        <v>516</v>
      </c>
      <c r="D11" s="10" t="s">
        <v>46</v>
      </c>
      <c r="E11" s="10" t="s">
        <v>36</v>
      </c>
      <c r="F11" s="10" t="s">
        <v>47</v>
      </c>
    </row>
    <row r="12" ht="14.25" customHeight="1">
      <c r="A12" s="10" t="s">
        <v>3148</v>
      </c>
      <c r="B12" s="10" t="s">
        <v>3147</v>
      </c>
      <c r="C12" s="10" t="s">
        <v>516</v>
      </c>
      <c r="D12" s="10" t="s">
        <v>46</v>
      </c>
      <c r="E12" s="10" t="s">
        <v>36</v>
      </c>
      <c r="F12" s="10" t="s">
        <v>47</v>
      </c>
    </row>
    <row r="13" ht="14.25" customHeight="1">
      <c r="A13" s="10" t="s">
        <v>3149</v>
      </c>
      <c r="B13" s="10" t="s">
        <v>3526</v>
      </c>
      <c r="C13" s="10" t="s">
        <v>103</v>
      </c>
      <c r="D13" s="10" t="s">
        <v>35</v>
      </c>
      <c r="E13" s="10" t="s">
        <v>36</v>
      </c>
      <c r="F13" s="10" t="s">
        <v>47</v>
      </c>
    </row>
    <row r="14" ht="14.25" customHeight="1">
      <c r="A14" s="10" t="s">
        <v>3527</v>
      </c>
      <c r="B14" s="10" t="s">
        <v>213</v>
      </c>
      <c r="C14" s="10" t="s">
        <v>3152</v>
      </c>
      <c r="D14" s="10"/>
      <c r="E14" s="10"/>
      <c r="F14" s="10"/>
    </row>
    <row r="15" ht="14.25" customHeight="1">
      <c r="A15" s="10" t="s">
        <v>3154</v>
      </c>
      <c r="B15" s="10" t="s">
        <v>3155</v>
      </c>
      <c r="C15" s="10" t="s">
        <v>103</v>
      </c>
      <c r="D15" s="10" t="s">
        <v>46</v>
      </c>
      <c r="E15" s="10" t="s">
        <v>36</v>
      </c>
      <c r="F15" s="10" t="s">
        <v>47</v>
      </c>
    </row>
    <row r="16" ht="14.25" customHeight="1">
      <c r="A16" s="10"/>
      <c r="B16" s="10"/>
      <c r="C16" s="10"/>
      <c r="D16" s="10"/>
      <c r="E16" s="10"/>
      <c r="F16" s="10"/>
    </row>
    <row r="17" ht="14.25" customHeight="1">
      <c r="A17" s="10" t="s">
        <v>3528</v>
      </c>
      <c r="B17" s="10" t="s">
        <v>3510</v>
      </c>
      <c r="C17" s="10" t="s">
        <v>34</v>
      </c>
      <c r="D17" s="10" t="s">
        <v>46</v>
      </c>
      <c r="E17" s="10" t="s">
        <v>36</v>
      </c>
      <c r="F17" s="10" t="s">
        <v>37</v>
      </c>
    </row>
    <row r="18" ht="14.25" customHeight="1">
      <c r="A18" s="10" t="s">
        <v>3516</v>
      </c>
      <c r="B18" s="10" t="s">
        <v>3529</v>
      </c>
      <c r="C18" s="10" t="s">
        <v>95</v>
      </c>
      <c r="D18" s="10" t="s">
        <v>46</v>
      </c>
      <c r="E18" s="10" t="s">
        <v>36</v>
      </c>
      <c r="F18" s="10" t="s">
        <v>37</v>
      </c>
    </row>
    <row r="19" ht="14.25" customHeight="1">
      <c r="A19" s="10" t="s">
        <v>767</v>
      </c>
      <c r="B19" s="10" t="s">
        <v>3530</v>
      </c>
      <c r="C19" s="10" t="s">
        <v>769</v>
      </c>
      <c r="D19" s="10" t="s">
        <v>46</v>
      </c>
      <c r="E19" s="10" t="s">
        <v>36</v>
      </c>
      <c r="F19" s="10" t="s">
        <v>37</v>
      </c>
    </row>
    <row r="20" ht="14.25" customHeight="1">
      <c r="A20" s="10" t="s">
        <v>3531</v>
      </c>
      <c r="B20" s="10" t="s">
        <v>3157</v>
      </c>
      <c r="C20" s="10" t="s">
        <v>34</v>
      </c>
      <c r="D20" s="10" t="s">
        <v>35</v>
      </c>
      <c r="E20" s="10" t="s">
        <v>36</v>
      </c>
      <c r="F20" s="10" t="s">
        <v>37</v>
      </c>
    </row>
    <row r="21" ht="14.25" customHeight="1">
      <c r="A21" s="10" t="s">
        <v>3158</v>
      </c>
      <c r="B21" s="10" t="s">
        <v>3532</v>
      </c>
      <c r="C21" s="10" t="s">
        <v>769</v>
      </c>
      <c r="D21" s="10" t="s">
        <v>46</v>
      </c>
      <c r="E21" s="10" t="s">
        <v>36</v>
      </c>
      <c r="F21" s="10" t="s">
        <v>47</v>
      </c>
    </row>
    <row r="22" ht="14.25" customHeight="1">
      <c r="A22" s="10" t="s">
        <v>950</v>
      </c>
      <c r="B22" s="10" t="s">
        <v>3533</v>
      </c>
      <c r="C22" s="10" t="s">
        <v>769</v>
      </c>
      <c r="D22" s="10" t="s">
        <v>46</v>
      </c>
      <c r="E22" s="10" t="s">
        <v>36</v>
      </c>
      <c r="F22" s="10" t="s">
        <v>47</v>
      </c>
    </row>
    <row r="23" ht="14.25" customHeight="1">
      <c r="A23" s="10" t="s">
        <v>3160</v>
      </c>
      <c r="B23" s="10" t="s">
        <v>3161</v>
      </c>
      <c r="C23" s="10" t="s">
        <v>984</v>
      </c>
      <c r="D23" s="10" t="s">
        <v>35</v>
      </c>
      <c r="E23" s="10" t="s">
        <v>36</v>
      </c>
      <c r="F23" s="10" t="s">
        <v>37</v>
      </c>
    </row>
    <row r="24" ht="14.25" customHeight="1">
      <c r="A24" s="10" t="s">
        <v>3162</v>
      </c>
      <c r="B24" s="10" t="s">
        <v>3163</v>
      </c>
      <c r="C24" s="10" t="s">
        <v>999</v>
      </c>
      <c r="D24" s="10" t="s">
        <v>35</v>
      </c>
      <c r="E24" s="10" t="s">
        <v>36</v>
      </c>
      <c r="F24" s="10" t="s">
        <v>37</v>
      </c>
    </row>
    <row r="25" ht="14.25" customHeight="1">
      <c r="A25" s="10" t="s">
        <v>3164</v>
      </c>
      <c r="B25" s="10" t="s">
        <v>998</v>
      </c>
      <c r="C25" s="10" t="s">
        <v>999</v>
      </c>
      <c r="D25" s="10" t="s">
        <v>35</v>
      </c>
      <c r="E25" s="10" t="s">
        <v>36</v>
      </c>
      <c r="F25" s="10" t="s">
        <v>47</v>
      </c>
    </row>
    <row r="26" ht="14.25" customHeight="1">
      <c r="A26" s="10" t="s">
        <v>3534</v>
      </c>
      <c r="B26" s="10" t="s">
        <v>3166</v>
      </c>
      <c r="C26" s="10" t="s">
        <v>310</v>
      </c>
      <c r="D26" s="10"/>
      <c r="E26" s="10"/>
      <c r="F26" s="10"/>
    </row>
    <row r="27" ht="14.25" customHeight="1">
      <c r="A27" s="10" t="s">
        <v>3167</v>
      </c>
      <c r="B27" s="10" t="s">
        <v>3168</v>
      </c>
      <c r="C27" s="10" t="s">
        <v>34</v>
      </c>
      <c r="D27" s="10" t="s">
        <v>46</v>
      </c>
      <c r="E27" s="10" t="s">
        <v>36</v>
      </c>
      <c r="F27" s="10" t="s">
        <v>47</v>
      </c>
    </row>
    <row r="28" ht="14.25" customHeight="1">
      <c r="A28" s="10" t="s">
        <v>3170</v>
      </c>
      <c r="B28" s="10" t="s">
        <v>3535</v>
      </c>
      <c r="C28" s="10" t="s">
        <v>673</v>
      </c>
      <c r="D28" s="10" t="s">
        <v>46</v>
      </c>
      <c r="E28" s="10" t="s">
        <v>36</v>
      </c>
      <c r="F28" s="10" t="s">
        <v>37</v>
      </c>
    </row>
    <row r="29" ht="14.25" customHeight="1">
      <c r="A29" s="10" t="s">
        <v>3536</v>
      </c>
      <c r="B29" s="10" t="s">
        <v>3537</v>
      </c>
      <c r="C29" s="10" t="s">
        <v>1171</v>
      </c>
      <c r="D29" s="10" t="s">
        <v>46</v>
      </c>
      <c r="E29" s="10" t="s">
        <v>36</v>
      </c>
      <c r="F29" s="10" t="s">
        <v>117</v>
      </c>
    </row>
    <row r="30" ht="14.25" customHeight="1">
      <c r="A30" s="10" t="s">
        <v>3174</v>
      </c>
      <c r="B30" s="10" t="s">
        <v>3175</v>
      </c>
      <c r="C30" s="10" t="s">
        <v>3176</v>
      </c>
      <c r="D30" s="10" t="s">
        <v>35</v>
      </c>
      <c r="E30" s="10" t="s">
        <v>36</v>
      </c>
      <c r="F30" s="10" t="s">
        <v>47</v>
      </c>
    </row>
    <row r="31" ht="14.25" customHeight="1">
      <c r="A31" s="10" t="s">
        <v>3178</v>
      </c>
      <c r="B31" s="10" t="s">
        <v>1258</v>
      </c>
      <c r="C31" s="10" t="s">
        <v>45</v>
      </c>
      <c r="D31" s="10" t="s">
        <v>46</v>
      </c>
      <c r="E31" s="10" t="s">
        <v>36</v>
      </c>
      <c r="F31" s="10" t="s">
        <v>47</v>
      </c>
    </row>
    <row r="32" ht="14.25" customHeight="1">
      <c r="A32" s="10" t="s">
        <v>3179</v>
      </c>
      <c r="B32" s="10" t="s">
        <v>3538</v>
      </c>
      <c r="C32" s="10" t="s">
        <v>3181</v>
      </c>
      <c r="D32" s="10" t="s">
        <v>35</v>
      </c>
      <c r="E32" s="10" t="s">
        <v>36</v>
      </c>
      <c r="F32" s="10" t="s">
        <v>37</v>
      </c>
    </row>
    <row r="33" ht="14.25" customHeight="1">
      <c r="A33" s="10" t="s">
        <v>1283</v>
      </c>
      <c r="B33" s="10" t="s">
        <v>3539</v>
      </c>
      <c r="C33" s="10" t="s">
        <v>227</v>
      </c>
      <c r="D33" s="10" t="s">
        <v>35</v>
      </c>
      <c r="E33" s="10" t="s">
        <v>36</v>
      </c>
      <c r="F33" s="10" t="s">
        <v>47</v>
      </c>
    </row>
    <row r="34" ht="14.25" customHeight="1">
      <c r="A34" s="10" t="s">
        <v>3540</v>
      </c>
      <c r="B34" s="10" t="s">
        <v>1284</v>
      </c>
      <c r="C34" s="10" t="s">
        <v>227</v>
      </c>
      <c r="D34" s="10"/>
      <c r="E34" s="10"/>
      <c r="F34" s="10"/>
    </row>
    <row r="35" ht="14.25" customHeight="1">
      <c r="A35" s="10" t="s">
        <v>3183</v>
      </c>
      <c r="B35" s="10" t="s">
        <v>3184</v>
      </c>
      <c r="C35" s="10" t="s">
        <v>34</v>
      </c>
      <c r="D35" s="10" t="s">
        <v>35</v>
      </c>
      <c r="E35" s="10" t="s">
        <v>36</v>
      </c>
      <c r="F35" s="10" t="s">
        <v>37</v>
      </c>
    </row>
    <row r="36" ht="14.25" customHeight="1">
      <c r="A36" s="10" t="s">
        <v>3185</v>
      </c>
      <c r="B36" s="10" t="s">
        <v>3541</v>
      </c>
      <c r="C36" s="10" t="s">
        <v>1349</v>
      </c>
      <c r="D36" s="10" t="s">
        <v>35</v>
      </c>
      <c r="E36" s="10" t="s">
        <v>36</v>
      </c>
      <c r="F36" s="10" t="s">
        <v>37</v>
      </c>
    </row>
    <row r="37" ht="14.25" customHeight="1">
      <c r="A37" s="10" t="s">
        <v>3542</v>
      </c>
      <c r="B37" s="10" t="s">
        <v>3188</v>
      </c>
      <c r="C37" s="10" t="s">
        <v>95</v>
      </c>
      <c r="D37" s="10"/>
      <c r="E37" s="10"/>
      <c r="F37" s="10"/>
    </row>
    <row r="38" ht="14.25" customHeight="1">
      <c r="A38" s="10"/>
      <c r="B38" s="10"/>
      <c r="C38" s="10"/>
      <c r="D38" s="10"/>
      <c r="E38" s="10"/>
      <c r="F38" s="10"/>
    </row>
    <row r="39" ht="14.25" customHeight="1">
      <c r="A39" s="10" t="s">
        <v>3190</v>
      </c>
      <c r="B39" s="10" t="s">
        <v>3543</v>
      </c>
      <c r="C39" s="10" t="s">
        <v>365</v>
      </c>
      <c r="D39" s="10" t="s">
        <v>46</v>
      </c>
      <c r="E39" s="10" t="s">
        <v>36</v>
      </c>
      <c r="F39" s="10" t="s">
        <v>47</v>
      </c>
    </row>
    <row r="40" ht="14.25" customHeight="1">
      <c r="A40" s="10" t="s">
        <v>3544</v>
      </c>
      <c r="B40" s="10" t="s">
        <v>3192</v>
      </c>
      <c r="C40" s="10" t="s">
        <v>365</v>
      </c>
      <c r="D40" s="10" t="s">
        <v>35</v>
      </c>
      <c r="E40" s="10" t="s">
        <v>36</v>
      </c>
      <c r="F40" s="10" t="s">
        <v>37</v>
      </c>
    </row>
    <row r="41" ht="14.25" customHeight="1">
      <c r="A41" s="10" t="s">
        <v>3545</v>
      </c>
      <c r="B41" s="10" t="s">
        <v>3546</v>
      </c>
      <c r="C41" s="10" t="s">
        <v>3547</v>
      </c>
      <c r="D41" s="10"/>
      <c r="E41" s="10"/>
      <c r="F41" s="10"/>
    </row>
    <row r="42" ht="14.25" customHeight="1">
      <c r="A42" s="10" t="s">
        <v>3548</v>
      </c>
      <c r="B42" s="10" t="s">
        <v>3195</v>
      </c>
      <c r="C42" s="10" t="s">
        <v>148</v>
      </c>
      <c r="D42" s="10"/>
      <c r="E42" s="10"/>
      <c r="F42" s="10"/>
    </row>
    <row r="43" ht="14.25" customHeight="1">
      <c r="A43" s="10" t="s">
        <v>3196</v>
      </c>
      <c r="B43" s="10" t="s">
        <v>3197</v>
      </c>
      <c r="C43" s="10" t="s">
        <v>148</v>
      </c>
      <c r="D43" s="10" t="s">
        <v>35</v>
      </c>
      <c r="E43" s="10" t="s">
        <v>36</v>
      </c>
      <c r="F43" s="10" t="s">
        <v>149</v>
      </c>
    </row>
    <row r="44" ht="14.25" customHeight="1">
      <c r="A44" s="10" t="s">
        <v>3549</v>
      </c>
      <c r="B44" s="10" t="s">
        <v>3199</v>
      </c>
      <c r="C44" s="10" t="s">
        <v>3550</v>
      </c>
      <c r="D44" s="10" t="s">
        <v>35</v>
      </c>
      <c r="E44" s="10" t="s">
        <v>36</v>
      </c>
      <c r="F44" s="10" t="s">
        <v>37</v>
      </c>
    </row>
    <row r="45" ht="14.25" customHeight="1">
      <c r="A45" s="10" t="s">
        <v>3551</v>
      </c>
      <c r="B45" s="10" t="s">
        <v>3200</v>
      </c>
      <c r="C45" s="10" t="s">
        <v>870</v>
      </c>
      <c r="D45" s="10" t="s">
        <v>35</v>
      </c>
      <c r="E45" s="10" t="s">
        <v>36</v>
      </c>
      <c r="F45" s="10" t="s">
        <v>37</v>
      </c>
    </row>
    <row r="46" ht="14.25" customHeight="1">
      <c r="A46" s="10" t="s">
        <v>3552</v>
      </c>
      <c r="B46" s="10" t="s">
        <v>3201</v>
      </c>
      <c r="C46" s="10" t="s">
        <v>286</v>
      </c>
      <c r="D46" s="10" t="s">
        <v>35</v>
      </c>
      <c r="E46" s="10" t="s">
        <v>36</v>
      </c>
      <c r="F46" s="10" t="s">
        <v>37</v>
      </c>
    </row>
    <row r="47" ht="14.25" customHeight="1">
      <c r="A47" s="10" t="s">
        <v>3553</v>
      </c>
      <c r="B47" s="10" t="s">
        <v>3202</v>
      </c>
      <c r="C47" s="10" t="s">
        <v>365</v>
      </c>
      <c r="D47" s="10" t="s">
        <v>35</v>
      </c>
      <c r="E47" s="10" t="s">
        <v>36</v>
      </c>
      <c r="F47" s="10" t="s">
        <v>37</v>
      </c>
    </row>
    <row r="48" ht="14.25" customHeight="1">
      <c r="A48" s="10" t="s">
        <v>1601</v>
      </c>
      <c r="B48" s="10" t="s">
        <v>3554</v>
      </c>
      <c r="C48" s="10" t="s">
        <v>45</v>
      </c>
      <c r="D48" s="10" t="s">
        <v>35</v>
      </c>
      <c r="E48" s="10" t="s">
        <v>36</v>
      </c>
      <c r="F48" s="10" t="s">
        <v>37</v>
      </c>
    </row>
    <row r="49" ht="14.25" customHeight="1">
      <c r="A49" s="10" t="s">
        <v>3555</v>
      </c>
      <c r="B49" s="10" t="s">
        <v>285</v>
      </c>
      <c r="C49" s="10" t="s">
        <v>45</v>
      </c>
      <c r="D49" s="10"/>
      <c r="E49" s="10"/>
      <c r="F49" s="10"/>
    </row>
    <row r="50" ht="14.25" customHeight="1">
      <c r="A50" s="10" t="s">
        <v>3204</v>
      </c>
      <c r="B50" s="10" t="s">
        <v>3205</v>
      </c>
      <c r="C50" s="10" t="s">
        <v>480</v>
      </c>
      <c r="D50" s="10" t="s">
        <v>35</v>
      </c>
      <c r="E50" s="10" t="s">
        <v>36</v>
      </c>
      <c r="F50" s="10" t="s">
        <v>37</v>
      </c>
    </row>
    <row r="51" ht="14.25" customHeight="1">
      <c r="A51" s="10" t="s">
        <v>3206</v>
      </c>
      <c r="B51" s="10" t="s">
        <v>1669</v>
      </c>
      <c r="C51" s="10" t="s">
        <v>1670</v>
      </c>
      <c r="D51" s="10" t="s">
        <v>46</v>
      </c>
      <c r="E51" s="10" t="s">
        <v>36</v>
      </c>
      <c r="F51" s="10" t="s">
        <v>47</v>
      </c>
    </row>
    <row r="52" ht="14.25" customHeight="1">
      <c r="A52" s="10" t="s">
        <v>3207</v>
      </c>
      <c r="B52" s="10" t="s">
        <v>3208</v>
      </c>
      <c r="C52" s="10" t="s">
        <v>1670</v>
      </c>
      <c r="D52" s="10" t="s">
        <v>46</v>
      </c>
      <c r="E52" s="10" t="s">
        <v>36</v>
      </c>
      <c r="F52" s="10" t="s">
        <v>47</v>
      </c>
    </row>
    <row r="53" ht="14.25" customHeight="1">
      <c r="A53" s="10" t="s">
        <v>3209</v>
      </c>
      <c r="B53" s="10" t="s">
        <v>3210</v>
      </c>
      <c r="C53" s="10" t="s">
        <v>34</v>
      </c>
      <c r="D53" s="10" t="s">
        <v>35</v>
      </c>
      <c r="E53" s="10" t="s">
        <v>36</v>
      </c>
      <c r="F53" s="10" t="s">
        <v>37</v>
      </c>
    </row>
    <row r="54" ht="14.25" customHeight="1">
      <c r="A54" s="10" t="s">
        <v>3211</v>
      </c>
      <c r="B54" s="10" t="s">
        <v>3556</v>
      </c>
      <c r="C54" s="10" t="s">
        <v>34</v>
      </c>
      <c r="D54" s="10" t="s">
        <v>35</v>
      </c>
      <c r="E54" s="10" t="s">
        <v>36</v>
      </c>
      <c r="F54" s="10" t="s">
        <v>37</v>
      </c>
    </row>
    <row r="55" ht="14.25" customHeight="1">
      <c r="A55" s="10" t="s">
        <v>3213</v>
      </c>
      <c r="B55" s="10" t="s">
        <v>3557</v>
      </c>
      <c r="C55" s="10" t="s">
        <v>34</v>
      </c>
      <c r="D55" s="10" t="s">
        <v>35</v>
      </c>
      <c r="E55" s="10" t="s">
        <v>36</v>
      </c>
      <c r="F55" s="10" t="s">
        <v>37</v>
      </c>
    </row>
    <row r="56" ht="14.25" customHeight="1">
      <c r="A56" s="10" t="s">
        <v>3558</v>
      </c>
      <c r="B56" s="10" t="s">
        <v>3559</v>
      </c>
      <c r="C56" s="10" t="s">
        <v>673</v>
      </c>
      <c r="D56" s="10"/>
      <c r="E56" s="10"/>
      <c r="F56" s="10"/>
    </row>
    <row r="57" ht="14.25" customHeight="1">
      <c r="A57" s="10" t="s">
        <v>3216</v>
      </c>
      <c r="B57" s="10" t="s">
        <v>3560</v>
      </c>
      <c r="C57" s="10" t="s">
        <v>673</v>
      </c>
      <c r="D57" s="10" t="s">
        <v>46</v>
      </c>
      <c r="E57" s="10" t="s">
        <v>36</v>
      </c>
      <c r="F57" s="10" t="s">
        <v>37</v>
      </c>
    </row>
    <row r="58" ht="14.25" customHeight="1">
      <c r="A58" s="10"/>
      <c r="B58" s="10"/>
      <c r="C58" s="10"/>
      <c r="D58" s="10"/>
      <c r="E58" s="10"/>
      <c r="F58" s="10"/>
    </row>
    <row r="59" ht="14.25" customHeight="1">
      <c r="A59" s="10" t="s">
        <v>3561</v>
      </c>
      <c r="B59" s="10" t="s">
        <v>3562</v>
      </c>
      <c r="C59" s="10" t="s">
        <v>34</v>
      </c>
      <c r="D59" s="10"/>
      <c r="E59" s="10"/>
      <c r="F59" s="10"/>
    </row>
    <row r="60" ht="14.25" customHeight="1">
      <c r="A60" s="10" t="s">
        <v>3220</v>
      </c>
      <c r="B60" s="10" t="s">
        <v>3221</v>
      </c>
      <c r="C60" s="10" t="s">
        <v>1920</v>
      </c>
      <c r="D60" s="10" t="s">
        <v>797</v>
      </c>
      <c r="E60" s="10" t="s">
        <v>36</v>
      </c>
      <c r="F60" s="10" t="s">
        <v>37</v>
      </c>
    </row>
    <row r="61" ht="14.25" customHeight="1">
      <c r="A61" s="10"/>
      <c r="B61" s="10"/>
      <c r="C61" s="10"/>
      <c r="D61" s="10"/>
      <c r="E61" s="10"/>
      <c r="F61" s="10"/>
    </row>
    <row r="62" ht="14.25" customHeight="1">
      <c r="A62" s="10" t="s">
        <v>3222</v>
      </c>
      <c r="B62" s="10" t="s">
        <v>3223</v>
      </c>
      <c r="C62" s="10" t="s">
        <v>214</v>
      </c>
      <c r="D62" s="10" t="s">
        <v>35</v>
      </c>
      <c r="E62" s="10" t="s">
        <v>36</v>
      </c>
      <c r="F62" s="10" t="s">
        <v>37</v>
      </c>
    </row>
    <row r="63" ht="14.25" customHeight="1">
      <c r="A63" s="10" t="s">
        <v>3224</v>
      </c>
      <c r="B63" s="10" t="s">
        <v>3563</v>
      </c>
      <c r="C63" s="10" t="s">
        <v>258</v>
      </c>
      <c r="D63" s="10" t="s">
        <v>35</v>
      </c>
      <c r="E63" s="10" t="s">
        <v>36</v>
      </c>
      <c r="F63" s="10" t="s">
        <v>37</v>
      </c>
    </row>
    <row r="64" ht="14.25" customHeight="1">
      <c r="A64" s="10" t="s">
        <v>3564</v>
      </c>
      <c r="B64" s="10" t="s">
        <v>3227</v>
      </c>
      <c r="C64" s="10" t="s">
        <v>471</v>
      </c>
      <c r="D64" s="10"/>
      <c r="E64" s="10"/>
      <c r="F64" s="10"/>
    </row>
    <row r="65" ht="14.25" customHeight="1">
      <c r="A65" s="10" t="s">
        <v>3228</v>
      </c>
      <c r="B65" s="10" t="s">
        <v>3229</v>
      </c>
      <c r="C65" s="10" t="s">
        <v>136</v>
      </c>
      <c r="D65" s="10" t="s">
        <v>46</v>
      </c>
      <c r="E65" s="10" t="s">
        <v>36</v>
      </c>
      <c r="F65" s="10" t="s">
        <v>47</v>
      </c>
    </row>
    <row r="66" ht="14.25" customHeight="1">
      <c r="A66" s="10" t="s">
        <v>3231</v>
      </c>
      <c r="B66" s="10" t="s">
        <v>3232</v>
      </c>
      <c r="C66" s="10" t="s">
        <v>471</v>
      </c>
      <c r="D66" s="10" t="s">
        <v>35</v>
      </c>
      <c r="E66" s="10" t="s">
        <v>36</v>
      </c>
      <c r="F66" s="10" t="s">
        <v>47</v>
      </c>
    </row>
    <row r="67" ht="14.25" customHeight="1">
      <c r="A67" s="10" t="s">
        <v>2033</v>
      </c>
      <c r="B67" s="10" t="s">
        <v>3565</v>
      </c>
      <c r="C67" s="10" t="s">
        <v>471</v>
      </c>
      <c r="D67" s="10" t="s">
        <v>35</v>
      </c>
      <c r="E67" s="10" t="s">
        <v>36</v>
      </c>
      <c r="F67" s="10" t="s">
        <v>47</v>
      </c>
    </row>
    <row r="68" ht="14.25" customHeight="1">
      <c r="A68" s="10" t="s">
        <v>3233</v>
      </c>
      <c r="B68" s="10" t="s">
        <v>3234</v>
      </c>
      <c r="C68" s="10" t="s">
        <v>3235</v>
      </c>
      <c r="D68" s="10" t="s">
        <v>35</v>
      </c>
      <c r="E68" s="10" t="s">
        <v>36</v>
      </c>
      <c r="F68" s="10" t="s">
        <v>47</v>
      </c>
    </row>
    <row r="69" ht="14.25" customHeight="1">
      <c r="A69" s="10" t="s">
        <v>3237</v>
      </c>
      <c r="B69" s="10" t="s">
        <v>3238</v>
      </c>
      <c r="C69" s="10" t="s">
        <v>3235</v>
      </c>
      <c r="D69" s="10" t="s">
        <v>35</v>
      </c>
      <c r="E69" s="10" t="s">
        <v>36</v>
      </c>
      <c r="F69" s="10" t="s">
        <v>47</v>
      </c>
    </row>
    <row r="70" ht="14.25" customHeight="1">
      <c r="A70" s="10" t="s">
        <v>3239</v>
      </c>
      <c r="B70" s="10" t="s">
        <v>3240</v>
      </c>
      <c r="C70" s="10" t="s">
        <v>365</v>
      </c>
      <c r="D70" s="10" t="s">
        <v>46</v>
      </c>
      <c r="E70" s="10" t="s">
        <v>36</v>
      </c>
      <c r="F70" s="10" t="s">
        <v>37</v>
      </c>
    </row>
    <row r="71" ht="14.25" customHeight="1">
      <c r="A71" s="10" t="s">
        <v>3241</v>
      </c>
      <c r="B71" s="10" t="s">
        <v>3566</v>
      </c>
      <c r="C71" s="10" t="s">
        <v>3567</v>
      </c>
      <c r="D71" s="10" t="s">
        <v>35</v>
      </c>
      <c r="E71" s="10" t="s">
        <v>36</v>
      </c>
      <c r="F71" s="10" t="s">
        <v>37</v>
      </c>
    </row>
    <row r="72" ht="14.25" customHeight="1">
      <c r="A72" s="10" t="s">
        <v>3243</v>
      </c>
      <c r="B72" s="10" t="s">
        <v>3568</v>
      </c>
      <c r="C72" s="10" t="s">
        <v>95</v>
      </c>
      <c r="D72" s="10" t="s">
        <v>35</v>
      </c>
      <c r="E72" s="10" t="s">
        <v>36</v>
      </c>
      <c r="F72" s="10" t="s">
        <v>37</v>
      </c>
    </row>
    <row r="73" ht="14.25" customHeight="1">
      <c r="A73" s="10" t="s">
        <v>3569</v>
      </c>
      <c r="B73" s="10" t="s">
        <v>3246</v>
      </c>
      <c r="C73" s="10" t="s">
        <v>132</v>
      </c>
      <c r="D73" s="10"/>
      <c r="E73" s="10"/>
      <c r="F73" s="10"/>
    </row>
    <row r="74" ht="14.25" customHeight="1">
      <c r="A74" s="10"/>
      <c r="B74" s="10"/>
      <c r="C74" s="10"/>
      <c r="D74" s="10"/>
      <c r="E74" s="10"/>
      <c r="F74" s="10"/>
    </row>
    <row r="75" ht="14.25" customHeight="1">
      <c r="A75" s="10" t="s">
        <v>3247</v>
      </c>
      <c r="B75" s="10" t="s">
        <v>3570</v>
      </c>
      <c r="C75" s="10" t="s">
        <v>158</v>
      </c>
      <c r="D75" s="10" t="s">
        <v>35</v>
      </c>
      <c r="E75" s="10" t="s">
        <v>36</v>
      </c>
      <c r="F75" s="10" t="s">
        <v>37</v>
      </c>
    </row>
    <row r="76" ht="14.25" customHeight="1">
      <c r="A76" s="10" t="s">
        <v>3249</v>
      </c>
      <c r="B76" s="10" t="s">
        <v>3571</v>
      </c>
      <c r="C76" s="10" t="s">
        <v>158</v>
      </c>
      <c r="D76" s="10" t="s">
        <v>35</v>
      </c>
      <c r="E76" s="10" t="s">
        <v>36</v>
      </c>
      <c r="F76" s="10" t="s">
        <v>37</v>
      </c>
    </row>
    <row r="77" ht="14.25" customHeight="1">
      <c r="A77" s="10" t="s">
        <v>3251</v>
      </c>
      <c r="B77" s="10" t="s">
        <v>3572</v>
      </c>
      <c r="C77" s="10" t="s">
        <v>324</v>
      </c>
      <c r="D77" s="10" t="s">
        <v>35</v>
      </c>
      <c r="E77" s="10" t="s">
        <v>36</v>
      </c>
      <c r="F77" s="10" t="s">
        <v>37</v>
      </c>
    </row>
    <row r="78" ht="14.25" customHeight="1">
      <c r="A78" s="10" t="s">
        <v>3253</v>
      </c>
      <c r="B78" s="10" t="s">
        <v>3573</v>
      </c>
      <c r="C78" s="10" t="s">
        <v>324</v>
      </c>
      <c r="D78" s="10" t="s">
        <v>35</v>
      </c>
      <c r="E78" s="10" t="s">
        <v>36</v>
      </c>
      <c r="F78" s="10" t="s">
        <v>37</v>
      </c>
    </row>
    <row r="79" ht="14.25" customHeight="1">
      <c r="A79" s="10"/>
      <c r="B79" s="10"/>
      <c r="C79" s="10"/>
      <c r="D79" s="10"/>
      <c r="E79" s="10"/>
      <c r="F79" s="10"/>
    </row>
    <row r="80" ht="14.25" customHeight="1">
      <c r="A80" s="10" t="s">
        <v>2289</v>
      </c>
      <c r="B80" s="10" t="s">
        <v>3574</v>
      </c>
      <c r="C80" s="10" t="s">
        <v>116</v>
      </c>
      <c r="D80" s="10" t="s">
        <v>46</v>
      </c>
      <c r="E80" s="10" t="s">
        <v>36</v>
      </c>
      <c r="F80" s="10" t="s">
        <v>117</v>
      </c>
    </row>
    <row r="81" ht="14.25" customHeight="1">
      <c r="A81" s="10" t="s">
        <v>2329</v>
      </c>
      <c r="B81" s="10" t="s">
        <v>3575</v>
      </c>
      <c r="C81" s="10" t="s">
        <v>2327</v>
      </c>
      <c r="D81" s="10" t="s">
        <v>46</v>
      </c>
      <c r="E81" s="10" t="s">
        <v>36</v>
      </c>
      <c r="F81" s="10" t="s">
        <v>37</v>
      </c>
    </row>
    <row r="82" ht="14.25" customHeight="1">
      <c r="A82" s="10" t="s">
        <v>3255</v>
      </c>
      <c r="B82" s="10" t="s">
        <v>3576</v>
      </c>
      <c r="C82" s="10" t="s">
        <v>2327</v>
      </c>
      <c r="D82" s="10" t="s">
        <v>46</v>
      </c>
      <c r="E82" s="10" t="s">
        <v>36</v>
      </c>
      <c r="F82" s="10" t="s">
        <v>37</v>
      </c>
    </row>
    <row r="83" ht="14.25" customHeight="1">
      <c r="A83" s="10" t="s">
        <v>3577</v>
      </c>
      <c r="B83" s="10" t="s">
        <v>3261</v>
      </c>
      <c r="C83" s="10" t="s">
        <v>2327</v>
      </c>
      <c r="D83" s="10"/>
      <c r="E83" s="10"/>
      <c r="F83" s="10"/>
    </row>
    <row r="84" ht="14.25" customHeight="1">
      <c r="A84" s="10" t="s">
        <v>3265</v>
      </c>
      <c r="B84" s="10" t="s">
        <v>3266</v>
      </c>
      <c r="C84" s="10" t="s">
        <v>362</v>
      </c>
      <c r="D84" s="10" t="s">
        <v>35</v>
      </c>
      <c r="E84" s="10" t="s">
        <v>36</v>
      </c>
      <c r="F84" s="10" t="s">
        <v>37</v>
      </c>
    </row>
    <row r="85" ht="14.25" customHeight="1">
      <c r="A85" s="10"/>
      <c r="B85" s="10"/>
      <c r="C85" s="10"/>
      <c r="D85" s="10"/>
      <c r="E85" s="10"/>
      <c r="F85" s="10"/>
    </row>
    <row r="86" ht="14.25" customHeight="1">
      <c r="A86" s="10" t="s">
        <v>3268</v>
      </c>
      <c r="B86" s="10" t="s">
        <v>3269</v>
      </c>
      <c r="C86" s="10" t="s">
        <v>1105</v>
      </c>
      <c r="D86" s="10" t="s">
        <v>35</v>
      </c>
      <c r="E86" s="10" t="s">
        <v>36</v>
      </c>
      <c r="F86" s="10" t="s">
        <v>37</v>
      </c>
    </row>
    <row r="87" ht="14.25" customHeight="1">
      <c r="A87" s="10" t="s">
        <v>2499</v>
      </c>
      <c r="B87" s="10" t="s">
        <v>3578</v>
      </c>
      <c r="C87" s="10" t="s">
        <v>95</v>
      </c>
      <c r="D87" s="10" t="s">
        <v>46</v>
      </c>
      <c r="E87" s="10" t="s">
        <v>36</v>
      </c>
      <c r="F87" s="10" t="s">
        <v>47</v>
      </c>
    </row>
    <row r="88" ht="14.25" customHeight="1">
      <c r="A88" s="10" t="s">
        <v>3270</v>
      </c>
      <c r="B88" s="10" t="s">
        <v>3271</v>
      </c>
      <c r="C88" s="10" t="s">
        <v>1105</v>
      </c>
      <c r="D88" s="10" t="s">
        <v>46</v>
      </c>
      <c r="E88" s="10" t="s">
        <v>36</v>
      </c>
      <c r="F88" s="10" t="s">
        <v>47</v>
      </c>
    </row>
    <row r="89" ht="14.25" customHeight="1">
      <c r="A89" s="10" t="s">
        <v>3272</v>
      </c>
      <c r="B89" s="10" t="s">
        <v>3273</v>
      </c>
      <c r="C89" s="10" t="s">
        <v>1105</v>
      </c>
      <c r="D89" s="10"/>
      <c r="E89" s="10"/>
      <c r="F89" s="10"/>
    </row>
    <row r="90" ht="14.25" customHeight="1">
      <c r="A90" s="10" t="s">
        <v>2362</v>
      </c>
      <c r="B90" s="10" t="s">
        <v>3579</v>
      </c>
      <c r="C90" s="10" t="s">
        <v>2356</v>
      </c>
      <c r="D90" s="10" t="s">
        <v>46</v>
      </c>
      <c r="E90" s="10" t="s">
        <v>36</v>
      </c>
      <c r="F90" s="10" t="s">
        <v>37</v>
      </c>
    </row>
    <row r="91" ht="14.25" customHeight="1">
      <c r="A91" s="10" t="s">
        <v>288</v>
      </c>
      <c r="B91" s="10" t="s">
        <v>3580</v>
      </c>
      <c r="C91" s="10" t="s">
        <v>286</v>
      </c>
      <c r="D91" s="10" t="s">
        <v>35</v>
      </c>
      <c r="E91" s="10" t="s">
        <v>36</v>
      </c>
      <c r="F91" s="10" t="s">
        <v>37</v>
      </c>
    </row>
    <row r="92" ht="14.25" customHeight="1">
      <c r="A92" s="10" t="s">
        <v>1492</v>
      </c>
      <c r="B92" s="10" t="s">
        <v>3581</v>
      </c>
      <c r="C92" s="10" t="s">
        <v>1045</v>
      </c>
      <c r="D92" s="10" t="s">
        <v>35</v>
      </c>
      <c r="E92" s="10" t="s">
        <v>36</v>
      </c>
      <c r="F92" s="10" t="s">
        <v>47</v>
      </c>
    </row>
    <row r="93" ht="14.25" customHeight="1">
      <c r="A93" s="10"/>
      <c r="B93" s="10"/>
      <c r="C93" s="10"/>
      <c r="D93" s="10"/>
      <c r="E93" s="10"/>
      <c r="F93" s="10"/>
    </row>
    <row r="94" ht="14.25" customHeight="1">
      <c r="A94" s="10" t="s">
        <v>3257</v>
      </c>
      <c r="B94" s="10" t="s">
        <v>3582</v>
      </c>
      <c r="C94" s="10" t="s">
        <v>136</v>
      </c>
      <c r="D94" s="10" t="s">
        <v>46</v>
      </c>
      <c r="E94" s="10" t="s">
        <v>36</v>
      </c>
      <c r="F94" s="10" t="s">
        <v>47</v>
      </c>
    </row>
    <row r="95" ht="14.25" customHeight="1">
      <c r="A95" s="10" t="s">
        <v>3262</v>
      </c>
      <c r="B95" s="10" t="s">
        <v>3263</v>
      </c>
      <c r="C95" s="10" t="s">
        <v>1549</v>
      </c>
      <c r="D95" s="10" t="s">
        <v>35</v>
      </c>
      <c r="E95" s="10" t="s">
        <v>36</v>
      </c>
      <c r="F95" s="10" t="s">
        <v>37</v>
      </c>
    </row>
    <row r="96" ht="14.25" customHeight="1">
      <c r="A96" s="10"/>
      <c r="B96" s="10"/>
      <c r="C96" s="10"/>
      <c r="D96" s="10"/>
      <c r="E96" s="10"/>
      <c r="F96" s="10"/>
    </row>
    <row r="97" ht="14.25" customHeight="1">
      <c r="A97" s="10" t="s">
        <v>3583</v>
      </c>
      <c r="B97" s="10" t="s">
        <v>3286</v>
      </c>
      <c r="C97" s="10" t="s">
        <v>837</v>
      </c>
      <c r="D97" s="10"/>
      <c r="E97" s="10"/>
      <c r="F97" s="10"/>
    </row>
    <row r="98" ht="14.25" customHeight="1">
      <c r="A98" s="10"/>
      <c r="B98" s="10"/>
      <c r="C98" s="10"/>
      <c r="D98" s="10"/>
      <c r="E98" s="10"/>
      <c r="F98" s="10"/>
    </row>
    <row r="99" ht="14.25" customHeight="1">
      <c r="A99" s="10" t="s">
        <v>3292</v>
      </c>
      <c r="B99" s="10" t="s">
        <v>3584</v>
      </c>
      <c r="C99" s="10" t="s">
        <v>82</v>
      </c>
      <c r="D99" s="10" t="s">
        <v>35</v>
      </c>
      <c r="E99" s="10" t="s">
        <v>36</v>
      </c>
      <c r="F99" s="10" t="s">
        <v>37</v>
      </c>
    </row>
    <row r="100" ht="14.25" customHeight="1">
      <c r="A100" s="10"/>
      <c r="B100" s="10"/>
      <c r="C100" s="10"/>
      <c r="D100" s="10"/>
      <c r="E100" s="10"/>
      <c r="F100" s="10"/>
    </row>
    <row r="101" ht="14.25" customHeight="1">
      <c r="A101" s="10" t="s">
        <v>3296</v>
      </c>
      <c r="B101" s="10" t="s">
        <v>3297</v>
      </c>
      <c r="C101" s="10" t="s">
        <v>2652</v>
      </c>
      <c r="D101" s="10" t="s">
        <v>35</v>
      </c>
      <c r="E101" s="10" t="s">
        <v>36</v>
      </c>
      <c r="F101" s="10" t="s">
        <v>47</v>
      </c>
    </row>
    <row r="102" ht="14.25" customHeight="1">
      <c r="A102" s="10" t="s">
        <v>3585</v>
      </c>
      <c r="B102" s="10" t="s">
        <v>3299</v>
      </c>
      <c r="C102" s="10" t="s">
        <v>324</v>
      </c>
      <c r="D102" s="10"/>
      <c r="E102" s="10"/>
      <c r="F102" s="10"/>
    </row>
    <row r="103" ht="14.25" customHeight="1">
      <c r="A103" s="10" t="s">
        <v>2663</v>
      </c>
      <c r="B103" s="10" t="s">
        <v>3586</v>
      </c>
      <c r="C103" s="10" t="s">
        <v>258</v>
      </c>
      <c r="D103" s="10" t="s">
        <v>35</v>
      </c>
      <c r="E103" s="10" t="s">
        <v>36</v>
      </c>
      <c r="F103" s="10" t="s">
        <v>47</v>
      </c>
    </row>
    <row r="104" ht="14.25" customHeight="1">
      <c r="A104" s="10"/>
      <c r="B104" s="10"/>
      <c r="C104" s="10"/>
      <c r="D104" s="10"/>
      <c r="E104" s="10"/>
      <c r="F104" s="10"/>
    </row>
    <row r="105" ht="14.25" customHeight="1">
      <c r="A105" s="10" t="s">
        <v>2726</v>
      </c>
      <c r="B105" s="10" t="s">
        <v>3587</v>
      </c>
      <c r="C105" s="10" t="s">
        <v>103</v>
      </c>
      <c r="D105" s="10" t="s">
        <v>35</v>
      </c>
      <c r="E105" s="10" t="s">
        <v>36</v>
      </c>
      <c r="F105" s="10" t="s">
        <v>47</v>
      </c>
    </row>
    <row r="106" ht="14.25" customHeight="1">
      <c r="A106" s="10" t="s">
        <v>3274</v>
      </c>
      <c r="B106" s="10" t="s">
        <v>3275</v>
      </c>
      <c r="C106" s="10" t="s">
        <v>3276</v>
      </c>
      <c r="D106" s="10" t="s">
        <v>35</v>
      </c>
      <c r="E106" s="10" t="s">
        <v>36</v>
      </c>
      <c r="F106" s="10" t="s">
        <v>37</v>
      </c>
    </row>
    <row r="107" ht="14.25" customHeight="1">
      <c r="A107" s="10" t="s">
        <v>3314</v>
      </c>
      <c r="B107" s="10" t="s">
        <v>3315</v>
      </c>
      <c r="C107" s="10" t="s">
        <v>95</v>
      </c>
      <c r="D107" s="10" t="s">
        <v>46</v>
      </c>
      <c r="E107" s="10" t="s">
        <v>36</v>
      </c>
      <c r="F107" s="10" t="s">
        <v>37</v>
      </c>
    </row>
    <row r="108" ht="14.25" customHeight="1">
      <c r="A108" s="10" t="s">
        <v>3588</v>
      </c>
      <c r="B108" s="10" t="s">
        <v>3279</v>
      </c>
      <c r="C108" s="10" t="s">
        <v>574</v>
      </c>
      <c r="D108" s="10"/>
      <c r="E108" s="10"/>
      <c r="F108" s="10"/>
    </row>
    <row r="109" ht="14.25" customHeight="1">
      <c r="A109" s="10" t="s">
        <v>2364</v>
      </c>
      <c r="B109" s="10" t="s">
        <v>3589</v>
      </c>
      <c r="C109" s="10" t="s">
        <v>673</v>
      </c>
      <c r="D109" s="10" t="s">
        <v>46</v>
      </c>
      <c r="E109" s="10" t="s">
        <v>36</v>
      </c>
      <c r="F109" s="10" t="s">
        <v>37</v>
      </c>
    </row>
    <row r="110" ht="14.25" customHeight="1">
      <c r="A110" s="10" t="s">
        <v>3280</v>
      </c>
      <c r="B110" s="10" t="s">
        <v>3281</v>
      </c>
      <c r="C110" s="10" t="s">
        <v>1064</v>
      </c>
      <c r="D110" s="10" t="s">
        <v>35</v>
      </c>
      <c r="E110" s="10" t="s">
        <v>36</v>
      </c>
      <c r="F110" s="10" t="s">
        <v>47</v>
      </c>
    </row>
    <row r="111" ht="14.25" customHeight="1">
      <c r="A111" s="10" t="s">
        <v>3283</v>
      </c>
      <c r="B111" s="10" t="s">
        <v>3590</v>
      </c>
      <c r="C111" s="10" t="s">
        <v>1064</v>
      </c>
      <c r="D111" s="10" t="s">
        <v>35</v>
      </c>
      <c r="E111" s="10" t="s">
        <v>36</v>
      </c>
      <c r="F111" s="10" t="s">
        <v>47</v>
      </c>
    </row>
    <row r="112" ht="14.25" customHeight="1">
      <c r="A112" s="10" t="s">
        <v>3591</v>
      </c>
      <c r="B112" s="10" t="s">
        <v>3592</v>
      </c>
      <c r="C112" s="10" t="s">
        <v>1064</v>
      </c>
      <c r="D112" s="10"/>
      <c r="E112" s="10"/>
      <c r="F112" s="10"/>
    </row>
    <row r="113" ht="14.25" customHeight="1">
      <c r="A113" s="10" t="s">
        <v>3274</v>
      </c>
      <c r="B113" s="10" t="s">
        <v>3275</v>
      </c>
      <c r="C113" s="10" t="s">
        <v>3276</v>
      </c>
      <c r="D113" s="10" t="s">
        <v>35</v>
      </c>
      <c r="E113" s="10" t="s">
        <v>36</v>
      </c>
      <c r="F113" s="10" t="s">
        <v>37</v>
      </c>
    </row>
    <row r="114" ht="14.25" customHeight="1">
      <c r="A114" s="10" t="s">
        <v>3290</v>
      </c>
      <c r="B114" s="10" t="s">
        <v>3291</v>
      </c>
      <c r="C114" s="10" t="s">
        <v>721</v>
      </c>
      <c r="D114" s="10" t="s">
        <v>35</v>
      </c>
      <c r="E114" s="10" t="s">
        <v>36</v>
      </c>
      <c r="F114" s="10" t="s">
        <v>47</v>
      </c>
    </row>
    <row r="115" ht="14.25" customHeight="1">
      <c r="A115" s="10"/>
      <c r="B115" s="10"/>
      <c r="C115" s="10"/>
      <c r="D115" s="10"/>
      <c r="E115" s="10"/>
      <c r="F115" s="10"/>
    </row>
    <row r="116" ht="14.25" customHeight="1">
      <c r="A116" s="10" t="s">
        <v>3294</v>
      </c>
      <c r="B116" s="10" t="s">
        <v>3295</v>
      </c>
      <c r="C116" s="10" t="s">
        <v>362</v>
      </c>
      <c r="D116" s="10" t="s">
        <v>35</v>
      </c>
      <c r="E116" s="10" t="s">
        <v>36</v>
      </c>
      <c r="F116" s="10" t="s">
        <v>37</v>
      </c>
    </row>
    <row r="117" ht="14.25" customHeight="1">
      <c r="A117" s="10" t="s">
        <v>3593</v>
      </c>
      <c r="B117" s="10" t="s">
        <v>2636</v>
      </c>
      <c r="C117" s="10" t="s">
        <v>3594</v>
      </c>
      <c r="D117" s="10"/>
      <c r="E117" s="10"/>
      <c r="F117" s="10"/>
    </row>
    <row r="118" ht="14.25" customHeight="1">
      <c r="A118" s="10" t="s">
        <v>3300</v>
      </c>
      <c r="B118" s="10" t="s">
        <v>3595</v>
      </c>
      <c r="C118" s="10" t="s">
        <v>3594</v>
      </c>
      <c r="D118" s="10" t="s">
        <v>46</v>
      </c>
      <c r="E118" s="10" t="s">
        <v>36</v>
      </c>
      <c r="F118" s="10" t="s">
        <v>37</v>
      </c>
    </row>
    <row r="119" ht="14.25" customHeight="1">
      <c r="A119" s="10" t="s">
        <v>3034</v>
      </c>
      <c r="B119" s="10" t="s">
        <v>3596</v>
      </c>
      <c r="C119" s="10" t="s">
        <v>3036</v>
      </c>
      <c r="D119" s="10" t="s">
        <v>35</v>
      </c>
      <c r="E119" s="10" t="s">
        <v>36</v>
      </c>
      <c r="F119" s="10" t="s">
        <v>37</v>
      </c>
    </row>
    <row r="120" ht="14.25" customHeight="1">
      <c r="A120" s="10" t="s">
        <v>3302</v>
      </c>
      <c r="B120" s="10" t="s">
        <v>3303</v>
      </c>
      <c r="C120" s="10" t="s">
        <v>918</v>
      </c>
      <c r="D120" s="10" t="s">
        <v>46</v>
      </c>
      <c r="E120" s="10" t="s">
        <v>28</v>
      </c>
      <c r="F120" s="10" t="s">
        <v>37</v>
      </c>
    </row>
    <row r="121" ht="14.25" customHeight="1">
      <c r="A121" s="10" t="s">
        <v>3305</v>
      </c>
      <c r="B121" s="10" t="s">
        <v>3597</v>
      </c>
      <c r="C121" s="10" t="s">
        <v>762</v>
      </c>
      <c r="D121" s="10" t="s">
        <v>35</v>
      </c>
      <c r="E121" s="10" t="s">
        <v>36</v>
      </c>
      <c r="F121" s="10" t="s">
        <v>37</v>
      </c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6" width="10.71"/>
  </cols>
  <sheetData>
    <row r="1">
      <c r="A1" s="32" t="s">
        <v>339</v>
      </c>
      <c r="B1" s="32">
        <v>2712.0</v>
      </c>
    </row>
    <row r="2">
      <c r="A2" s="32" t="s">
        <v>1789</v>
      </c>
      <c r="B2" s="32">
        <v>1116.0</v>
      </c>
    </row>
    <row r="3">
      <c r="A3" s="32" t="s">
        <v>2809</v>
      </c>
      <c r="B3" s="32">
        <v>943.0</v>
      </c>
    </row>
    <row r="4">
      <c r="A4" s="32" t="s">
        <v>2505</v>
      </c>
      <c r="B4" s="32">
        <v>573.0</v>
      </c>
    </row>
    <row r="5">
      <c r="A5" s="32" t="s">
        <v>2740</v>
      </c>
      <c r="B5" s="32">
        <v>561.0</v>
      </c>
    </row>
    <row r="6">
      <c r="A6" s="32" t="s">
        <v>1586</v>
      </c>
      <c r="B6" s="32">
        <v>494.0</v>
      </c>
    </row>
    <row r="7">
      <c r="A7" s="32" t="s">
        <v>1154</v>
      </c>
      <c r="B7" s="32">
        <v>454.0</v>
      </c>
    </row>
    <row r="8">
      <c r="A8" s="32" t="s">
        <v>1624</v>
      </c>
      <c r="B8" s="32">
        <v>448.0</v>
      </c>
    </row>
    <row r="9">
      <c r="A9" s="32" t="s">
        <v>1373</v>
      </c>
      <c r="B9" s="32">
        <v>445.0</v>
      </c>
    </row>
    <row r="10">
      <c r="A10" s="32" t="s">
        <v>1500</v>
      </c>
      <c r="B10" s="32">
        <v>420.0</v>
      </c>
    </row>
    <row r="11">
      <c r="A11" s="32" t="s">
        <v>2261</v>
      </c>
      <c r="B11" s="32">
        <v>394.0</v>
      </c>
    </row>
    <row r="12">
      <c r="A12" s="32" t="s">
        <v>3088</v>
      </c>
      <c r="B12" s="32">
        <v>366.0</v>
      </c>
    </row>
    <row r="13">
      <c r="A13" s="32" t="s">
        <v>2676</v>
      </c>
      <c r="B13" s="32">
        <v>361.0</v>
      </c>
    </row>
    <row r="14">
      <c r="A14" s="32" t="s">
        <v>2865</v>
      </c>
      <c r="B14" s="32">
        <v>360.0</v>
      </c>
    </row>
    <row r="15">
      <c r="A15" s="32" t="s">
        <v>2557</v>
      </c>
      <c r="B15" s="32">
        <v>331.0</v>
      </c>
    </row>
    <row r="16">
      <c r="A16" s="32" t="s">
        <v>2362</v>
      </c>
      <c r="B16" s="32">
        <v>324.0</v>
      </c>
    </row>
    <row r="17">
      <c r="A17" s="32" t="s">
        <v>1321</v>
      </c>
      <c r="B17" s="32">
        <v>316.0</v>
      </c>
    </row>
    <row r="18">
      <c r="A18" s="32" t="s">
        <v>669</v>
      </c>
      <c r="B18" s="32">
        <v>315.0</v>
      </c>
    </row>
    <row r="19">
      <c r="A19" s="32" t="s">
        <v>2618</v>
      </c>
      <c r="B19" s="32">
        <v>293.0</v>
      </c>
    </row>
    <row r="20">
      <c r="A20" s="32" t="s">
        <v>2296</v>
      </c>
      <c r="B20" s="32">
        <v>265.0</v>
      </c>
    </row>
    <row r="21" ht="15.75" customHeight="1">
      <c r="A21" s="32" t="s">
        <v>1126</v>
      </c>
      <c r="B21" s="32">
        <v>258.0</v>
      </c>
    </row>
    <row r="22" ht="15.75" customHeight="1">
      <c r="A22" s="32" t="s">
        <v>1152</v>
      </c>
      <c r="B22" s="32">
        <v>257.0</v>
      </c>
    </row>
    <row r="23" ht="15.75" customHeight="1">
      <c r="A23" s="32" t="s">
        <v>1430</v>
      </c>
      <c r="B23" s="32">
        <v>238.0</v>
      </c>
    </row>
    <row r="24" ht="15.75" customHeight="1">
      <c r="A24" s="32" t="s">
        <v>1553</v>
      </c>
      <c r="B24" s="32">
        <v>214.0</v>
      </c>
    </row>
    <row r="25" ht="15.75" customHeight="1">
      <c r="A25" s="32" t="s">
        <v>1291</v>
      </c>
      <c r="B25" s="32">
        <v>209.0</v>
      </c>
    </row>
    <row r="26" ht="15.75" customHeight="1">
      <c r="A26" s="32" t="s">
        <v>76</v>
      </c>
      <c r="B26" s="32">
        <v>196.0</v>
      </c>
    </row>
    <row r="27" ht="15.75" customHeight="1">
      <c r="A27" s="32" t="s">
        <v>2532</v>
      </c>
      <c r="B27" s="32">
        <v>188.0</v>
      </c>
    </row>
    <row r="28" ht="15.75" customHeight="1">
      <c r="A28" s="32" t="s">
        <v>3598</v>
      </c>
      <c r="B28" s="32">
        <v>180.0</v>
      </c>
    </row>
    <row r="29" ht="15.75" customHeight="1">
      <c r="A29" s="32" t="s">
        <v>935</v>
      </c>
      <c r="B29" s="32">
        <v>177.0</v>
      </c>
    </row>
    <row r="30" ht="15.75" customHeight="1">
      <c r="A30" s="32" t="s">
        <v>216</v>
      </c>
      <c r="B30" s="32">
        <v>168.0</v>
      </c>
    </row>
    <row r="31" ht="15.75" customHeight="1">
      <c r="A31" s="32" t="s">
        <v>2499</v>
      </c>
      <c r="B31" s="32">
        <v>164.0</v>
      </c>
    </row>
    <row r="32" ht="15.75" customHeight="1">
      <c r="A32" s="32" t="s">
        <v>1204</v>
      </c>
      <c r="B32" s="32">
        <v>164.0</v>
      </c>
    </row>
    <row r="33" ht="15.75" customHeight="1">
      <c r="A33" s="32" t="s">
        <v>814</v>
      </c>
      <c r="B33" s="32">
        <v>156.0</v>
      </c>
    </row>
    <row r="34" ht="15.75" customHeight="1">
      <c r="A34" s="32" t="s">
        <v>2807</v>
      </c>
      <c r="B34" s="32">
        <v>155.0</v>
      </c>
    </row>
    <row r="35" ht="15.75" customHeight="1">
      <c r="A35" s="32" t="s">
        <v>2955</v>
      </c>
      <c r="B35" s="32">
        <v>151.0</v>
      </c>
    </row>
    <row r="36" ht="15.75" customHeight="1">
      <c r="A36" s="32" t="s">
        <v>1327</v>
      </c>
      <c r="B36" s="32">
        <v>140.0</v>
      </c>
    </row>
    <row r="37" ht="15.75" customHeight="1">
      <c r="A37" s="32" t="s">
        <v>3599</v>
      </c>
      <c r="B37" s="32">
        <v>139.0</v>
      </c>
    </row>
    <row r="38" ht="15.75" customHeight="1">
      <c r="A38" s="32" t="s">
        <v>3314</v>
      </c>
      <c r="B38" s="32">
        <v>135.0</v>
      </c>
    </row>
    <row r="39" ht="15.75" customHeight="1">
      <c r="A39" s="32" t="s">
        <v>26</v>
      </c>
      <c r="B39" s="32">
        <v>135.0</v>
      </c>
    </row>
    <row r="40" ht="15.75" customHeight="1">
      <c r="A40" s="32" t="s">
        <v>1403</v>
      </c>
      <c r="B40" s="32">
        <v>125.0</v>
      </c>
    </row>
    <row r="41" ht="15.75" customHeight="1">
      <c r="A41" s="32" t="s">
        <v>332</v>
      </c>
      <c r="B41" s="32">
        <v>116.0</v>
      </c>
    </row>
    <row r="42" ht="15.75" customHeight="1">
      <c r="A42" s="32" t="s">
        <v>2333</v>
      </c>
      <c r="B42" s="32">
        <v>115.0</v>
      </c>
    </row>
    <row r="43" ht="15.75" customHeight="1">
      <c r="A43" s="32" t="s">
        <v>1870</v>
      </c>
      <c r="B43" s="32">
        <v>110.0</v>
      </c>
    </row>
    <row r="44" ht="15.75" customHeight="1">
      <c r="A44" s="32" t="s">
        <v>2264</v>
      </c>
      <c r="B44" s="32">
        <v>103.0</v>
      </c>
    </row>
    <row r="45" ht="15.75" customHeight="1">
      <c r="A45" s="32" t="s">
        <v>2033</v>
      </c>
      <c r="B45" s="32">
        <v>102.0</v>
      </c>
    </row>
    <row r="46" ht="15.75" customHeight="1">
      <c r="A46" s="32" t="s">
        <v>1840</v>
      </c>
      <c r="B46" s="32">
        <v>102.0</v>
      </c>
    </row>
    <row r="47" ht="15.75" customHeight="1">
      <c r="A47" s="32" t="s">
        <v>564</v>
      </c>
      <c r="B47" s="32">
        <v>101.0</v>
      </c>
    </row>
    <row r="48" ht="15.75" customHeight="1">
      <c r="A48" s="32" t="s">
        <v>2541</v>
      </c>
      <c r="B48" s="32">
        <v>97.0</v>
      </c>
    </row>
    <row r="49" ht="15.75" customHeight="1">
      <c r="A49" s="32" t="s">
        <v>2926</v>
      </c>
      <c r="B49" s="32">
        <v>93.0</v>
      </c>
    </row>
    <row r="50" ht="15.75" customHeight="1">
      <c r="A50" s="32" t="s">
        <v>2682</v>
      </c>
      <c r="B50" s="32">
        <v>92.0</v>
      </c>
    </row>
    <row r="51" ht="15.75" customHeight="1">
      <c r="A51" s="32" t="s">
        <v>1347</v>
      </c>
      <c r="B51" s="32">
        <v>88.0</v>
      </c>
    </row>
    <row r="52" ht="15.75" customHeight="1">
      <c r="A52" s="32" t="s">
        <v>2656</v>
      </c>
      <c r="B52" s="32">
        <v>86.0</v>
      </c>
    </row>
    <row r="53" ht="15.75" customHeight="1">
      <c r="A53" s="32" t="s">
        <v>3600</v>
      </c>
      <c r="B53" s="32">
        <v>85.0</v>
      </c>
    </row>
    <row r="54" ht="15.75" customHeight="1">
      <c r="A54" s="32" t="s">
        <v>872</v>
      </c>
      <c r="B54" s="32">
        <v>83.0</v>
      </c>
    </row>
    <row r="55" ht="15.75" customHeight="1">
      <c r="A55" s="32" t="s">
        <v>93</v>
      </c>
      <c r="B55" s="32">
        <v>81.0</v>
      </c>
    </row>
    <row r="56" ht="15.75" customHeight="1">
      <c r="A56" s="32" t="s">
        <v>2805</v>
      </c>
      <c r="B56" s="32">
        <v>81.0</v>
      </c>
    </row>
    <row r="57" ht="15.75" customHeight="1">
      <c r="A57" s="32" t="s">
        <v>2654</v>
      </c>
      <c r="B57" s="32">
        <v>79.0</v>
      </c>
    </row>
    <row r="58" ht="15.75" customHeight="1">
      <c r="A58" s="32" t="s">
        <v>2364</v>
      </c>
      <c r="B58" s="32">
        <v>79.0</v>
      </c>
    </row>
    <row r="59" ht="15.75" customHeight="1">
      <c r="A59" s="32" t="s">
        <v>1283</v>
      </c>
      <c r="B59" s="32">
        <v>76.0</v>
      </c>
    </row>
    <row r="60" ht="15.75" customHeight="1">
      <c r="A60" s="32" t="s">
        <v>3601</v>
      </c>
      <c r="B60" s="32">
        <v>74.0</v>
      </c>
    </row>
    <row r="61" ht="15.75" customHeight="1">
      <c r="A61" s="32" t="s">
        <v>3602</v>
      </c>
      <c r="B61" s="32">
        <v>74.0</v>
      </c>
    </row>
    <row r="62" ht="15.75" customHeight="1">
      <c r="A62" s="32" t="s">
        <v>1979</v>
      </c>
      <c r="B62" s="32">
        <v>68.0</v>
      </c>
    </row>
    <row r="63" ht="15.75" customHeight="1">
      <c r="A63" s="32" t="s">
        <v>2099</v>
      </c>
      <c r="B63" s="32">
        <v>67.0</v>
      </c>
    </row>
    <row r="64" ht="15.75" customHeight="1">
      <c r="A64" s="32" t="s">
        <v>3603</v>
      </c>
      <c r="B64" s="32">
        <v>67.0</v>
      </c>
    </row>
    <row r="65" ht="15.75" customHeight="1">
      <c r="A65" s="32" t="s">
        <v>2631</v>
      </c>
      <c r="B65" s="32">
        <v>66.0</v>
      </c>
    </row>
    <row r="66" ht="15.75" customHeight="1">
      <c r="A66" s="32" t="s">
        <v>514</v>
      </c>
      <c r="B66" s="32">
        <v>64.0</v>
      </c>
    </row>
    <row r="67" ht="15.75" customHeight="1">
      <c r="A67" s="32" t="s">
        <v>3102</v>
      </c>
      <c r="B67" s="32">
        <v>61.0</v>
      </c>
    </row>
    <row r="68" ht="15.75" customHeight="1">
      <c r="A68" s="32" t="s">
        <v>1976</v>
      </c>
      <c r="B68" s="32">
        <v>57.0</v>
      </c>
    </row>
    <row r="69" ht="15.75" customHeight="1">
      <c r="A69" s="32" t="s">
        <v>2825</v>
      </c>
      <c r="B69" s="32">
        <v>56.0</v>
      </c>
    </row>
    <row r="70" ht="15.75" customHeight="1">
      <c r="A70" s="32" t="s">
        <v>2596</v>
      </c>
      <c r="B70" s="32">
        <v>56.0</v>
      </c>
    </row>
    <row r="71" ht="15.75" customHeight="1">
      <c r="A71" s="32" t="s">
        <v>810</v>
      </c>
      <c r="B71" s="32">
        <v>54.0</v>
      </c>
    </row>
    <row r="72" ht="15.75" customHeight="1">
      <c r="A72" s="32" t="s">
        <v>2663</v>
      </c>
      <c r="B72" s="32">
        <v>53.0</v>
      </c>
    </row>
    <row r="73" ht="15.75" customHeight="1">
      <c r="A73" s="32" t="s">
        <v>648</v>
      </c>
      <c r="B73" s="32">
        <v>52.0</v>
      </c>
    </row>
    <row r="74" ht="15.75" customHeight="1">
      <c r="A74" s="32" t="s">
        <v>679</v>
      </c>
      <c r="B74" s="32">
        <v>46.0</v>
      </c>
    </row>
    <row r="75" ht="15.75" customHeight="1">
      <c r="A75" s="32" t="s">
        <v>1410</v>
      </c>
      <c r="B75" s="32">
        <v>45.0</v>
      </c>
    </row>
    <row r="76" ht="15.75" customHeight="1">
      <c r="A76" s="32" t="s">
        <v>2118</v>
      </c>
      <c r="B76" s="32">
        <v>45.0</v>
      </c>
    </row>
    <row r="77" ht="15.75" customHeight="1">
      <c r="A77" s="32" t="s">
        <v>127</v>
      </c>
      <c r="B77" s="32">
        <v>44.0</v>
      </c>
    </row>
    <row r="78" ht="15.75" customHeight="1">
      <c r="A78" s="32" t="s">
        <v>335</v>
      </c>
      <c r="B78" s="32">
        <v>43.0</v>
      </c>
    </row>
    <row r="79" ht="15.75" customHeight="1">
      <c r="A79" s="32" t="s">
        <v>944</v>
      </c>
      <c r="B79" s="32">
        <v>43.0</v>
      </c>
    </row>
    <row r="80" ht="15.75" customHeight="1">
      <c r="A80" s="32" t="s">
        <v>1253</v>
      </c>
      <c r="B80" s="32">
        <v>43.0</v>
      </c>
    </row>
    <row r="81" ht="15.75" customHeight="1">
      <c r="A81" s="32" t="s">
        <v>827</v>
      </c>
      <c r="B81" s="32">
        <v>42.0</v>
      </c>
    </row>
    <row r="82" ht="15.75" customHeight="1">
      <c r="A82" s="32" t="s">
        <v>571</v>
      </c>
      <c r="B82" s="32">
        <v>42.0</v>
      </c>
    </row>
    <row r="83" ht="15.75" customHeight="1">
      <c r="A83" s="32" t="s">
        <v>2888</v>
      </c>
      <c r="B83" s="32">
        <v>42.0</v>
      </c>
    </row>
    <row r="84" ht="15.75" customHeight="1">
      <c r="A84" s="32" t="s">
        <v>3604</v>
      </c>
      <c r="B84" s="32">
        <v>42.0</v>
      </c>
    </row>
    <row r="85" ht="15.75" customHeight="1">
      <c r="A85" s="32" t="s">
        <v>2404</v>
      </c>
      <c r="B85" s="32">
        <v>40.0</v>
      </c>
    </row>
    <row r="86" ht="15.75" customHeight="1">
      <c r="A86" s="32" t="s">
        <v>1005</v>
      </c>
      <c r="B86" s="32">
        <v>39.0</v>
      </c>
    </row>
    <row r="87" ht="15.75" customHeight="1">
      <c r="A87" s="32" t="s">
        <v>1038</v>
      </c>
      <c r="B87" s="32">
        <v>38.0</v>
      </c>
    </row>
    <row r="88" ht="15.75" customHeight="1">
      <c r="A88" s="32" t="s">
        <v>1470</v>
      </c>
      <c r="B88" s="32">
        <v>37.0</v>
      </c>
    </row>
    <row r="89" ht="15.75" customHeight="1">
      <c r="A89" s="32" t="s">
        <v>1948</v>
      </c>
      <c r="B89" s="32">
        <v>37.0</v>
      </c>
    </row>
    <row r="90" ht="15.75" customHeight="1">
      <c r="A90" s="32" t="s">
        <v>3605</v>
      </c>
      <c r="B90" s="32">
        <v>36.0</v>
      </c>
    </row>
    <row r="91" ht="15.75" customHeight="1">
      <c r="A91" s="32" t="s">
        <v>429</v>
      </c>
      <c r="B91" s="32">
        <v>35.0</v>
      </c>
    </row>
    <row r="92" ht="15.75" customHeight="1">
      <c r="A92" s="32" t="s">
        <v>1273</v>
      </c>
      <c r="B92" s="32">
        <v>34.0</v>
      </c>
    </row>
    <row r="93" ht="15.75" customHeight="1">
      <c r="A93" s="32" t="s">
        <v>1686</v>
      </c>
      <c r="B93" s="32">
        <v>33.0</v>
      </c>
    </row>
    <row r="94" ht="15.75" customHeight="1">
      <c r="A94" s="32" t="s">
        <v>2924</v>
      </c>
      <c r="B94" s="32">
        <v>33.0</v>
      </c>
    </row>
    <row r="95" ht="15.75" customHeight="1">
      <c r="A95" s="32" t="s">
        <v>1256</v>
      </c>
      <c r="B95" s="32">
        <v>32.0</v>
      </c>
    </row>
    <row r="96" ht="15.75" customHeight="1">
      <c r="A96" s="32" t="s">
        <v>3606</v>
      </c>
      <c r="B96" s="32">
        <v>32.0</v>
      </c>
    </row>
    <row r="97" ht="15.75" customHeight="1">
      <c r="A97" s="32" t="s">
        <v>1742</v>
      </c>
      <c r="B97" s="32">
        <v>32.0</v>
      </c>
    </row>
    <row r="98" ht="15.75" customHeight="1">
      <c r="A98" s="32" t="s">
        <v>1481</v>
      </c>
      <c r="B98" s="32">
        <v>31.0</v>
      </c>
    </row>
    <row r="99" ht="15.75" customHeight="1">
      <c r="A99" s="32" t="s">
        <v>419</v>
      </c>
      <c r="B99" s="32">
        <v>31.0</v>
      </c>
    </row>
    <row r="100" ht="15.75" customHeight="1">
      <c r="A100" s="32" t="s">
        <v>3058</v>
      </c>
      <c r="B100" s="32">
        <v>31.0</v>
      </c>
    </row>
    <row r="101" ht="15.75" customHeight="1">
      <c r="A101" s="32" t="s">
        <v>833</v>
      </c>
      <c r="B101" s="32">
        <v>30.0</v>
      </c>
    </row>
    <row r="102" ht="15.75" customHeight="1">
      <c r="A102" s="32" t="s">
        <v>3083</v>
      </c>
      <c r="B102" s="32">
        <v>30.0</v>
      </c>
    </row>
    <row r="103" ht="15.75" customHeight="1">
      <c r="A103" s="32" t="s">
        <v>767</v>
      </c>
      <c r="B103" s="32">
        <v>28.0</v>
      </c>
    </row>
    <row r="104" ht="15.75" customHeight="1">
      <c r="A104" s="32" t="s">
        <v>2577</v>
      </c>
      <c r="B104" s="32">
        <v>28.0</v>
      </c>
    </row>
    <row r="105" ht="15.75" customHeight="1">
      <c r="A105" s="32" t="s">
        <v>1447</v>
      </c>
      <c r="B105" s="32">
        <v>28.0</v>
      </c>
    </row>
    <row r="106" ht="15.75" customHeight="1">
      <c r="A106" s="32" t="s">
        <v>3607</v>
      </c>
      <c r="B106" s="32">
        <v>27.0</v>
      </c>
    </row>
    <row r="107" ht="15.75" customHeight="1">
      <c r="A107" s="32" t="s">
        <v>2838</v>
      </c>
      <c r="B107" s="32">
        <v>27.0</v>
      </c>
    </row>
    <row r="108" ht="15.75" customHeight="1">
      <c r="A108" s="32" t="s">
        <v>2129</v>
      </c>
      <c r="B108" s="32">
        <v>26.0</v>
      </c>
    </row>
    <row r="109" ht="15.75" customHeight="1">
      <c r="A109" s="32" t="s">
        <v>1286</v>
      </c>
      <c r="B109" s="32">
        <v>26.0</v>
      </c>
    </row>
    <row r="110" ht="15.75" customHeight="1">
      <c r="A110" s="32" t="s">
        <v>2039</v>
      </c>
      <c r="B110" s="32">
        <v>26.0</v>
      </c>
    </row>
    <row r="111" ht="15.75" customHeight="1">
      <c r="A111" s="32" t="s">
        <v>446</v>
      </c>
      <c r="B111" s="32">
        <v>25.0</v>
      </c>
    </row>
    <row r="112" ht="15.75" customHeight="1">
      <c r="A112" s="32" t="s">
        <v>2115</v>
      </c>
      <c r="B112" s="32">
        <v>25.0</v>
      </c>
    </row>
    <row r="113" ht="15.75" customHeight="1">
      <c r="A113" s="32" t="s">
        <v>3608</v>
      </c>
      <c r="B113" s="32">
        <v>25.0</v>
      </c>
    </row>
    <row r="114" ht="15.75" customHeight="1">
      <c r="A114" s="32" t="s">
        <v>1713</v>
      </c>
      <c r="B114" s="32">
        <v>25.0</v>
      </c>
    </row>
    <row r="115" ht="15.75" customHeight="1">
      <c r="A115" s="32" t="s">
        <v>68</v>
      </c>
      <c r="B115" s="32">
        <v>24.0</v>
      </c>
    </row>
    <row r="116" ht="15.75" customHeight="1">
      <c r="A116" s="32" t="s">
        <v>2229</v>
      </c>
      <c r="B116" s="32">
        <v>24.0</v>
      </c>
    </row>
    <row r="117" ht="15.75" customHeight="1">
      <c r="A117" s="32" t="s">
        <v>1922</v>
      </c>
      <c r="B117" s="32">
        <v>23.0</v>
      </c>
    </row>
    <row r="118" ht="15.75" customHeight="1">
      <c r="A118" s="32" t="s">
        <v>1368</v>
      </c>
      <c r="B118" s="32">
        <v>23.0</v>
      </c>
    </row>
    <row r="119" ht="15.75" customHeight="1">
      <c r="A119" s="32" t="s">
        <v>1880</v>
      </c>
      <c r="B119" s="32">
        <v>23.0</v>
      </c>
    </row>
    <row r="120" ht="15.75" customHeight="1">
      <c r="A120" s="32" t="s">
        <v>3034</v>
      </c>
      <c r="B120" s="32">
        <v>22.0</v>
      </c>
    </row>
    <row r="121" ht="15.75" customHeight="1">
      <c r="A121" s="32" t="s">
        <v>1084</v>
      </c>
      <c r="B121" s="32">
        <v>22.0</v>
      </c>
    </row>
    <row r="122" ht="15.75" customHeight="1">
      <c r="A122" s="32" t="s">
        <v>478</v>
      </c>
      <c r="B122" s="32">
        <v>21.0</v>
      </c>
    </row>
    <row r="123" ht="15.75" customHeight="1">
      <c r="A123" s="32" t="s">
        <v>1498</v>
      </c>
      <c r="B123" s="32">
        <v>20.0</v>
      </c>
    </row>
    <row r="124" ht="15.75" customHeight="1">
      <c r="A124" s="32" t="s">
        <v>474</v>
      </c>
      <c r="B124" s="32">
        <v>20.0</v>
      </c>
    </row>
    <row r="125" ht="15.75" customHeight="1">
      <c r="A125" s="32" t="s">
        <v>3609</v>
      </c>
      <c r="B125" s="32">
        <v>19.0</v>
      </c>
    </row>
    <row r="126" ht="15.75" customHeight="1">
      <c r="A126" s="32" t="s">
        <v>1264</v>
      </c>
      <c r="B126" s="32">
        <v>18.0</v>
      </c>
    </row>
    <row r="127" ht="15.75" customHeight="1">
      <c r="A127" s="32" t="s">
        <v>780</v>
      </c>
      <c r="B127" s="32">
        <v>18.0</v>
      </c>
    </row>
    <row r="128" ht="15.75" customHeight="1">
      <c r="A128" s="32" t="s">
        <v>1341</v>
      </c>
      <c r="B128" s="32">
        <v>18.0</v>
      </c>
    </row>
    <row r="129" ht="15.75" customHeight="1">
      <c r="A129" s="32" t="s">
        <v>1396</v>
      </c>
      <c r="B129" s="32">
        <v>18.0</v>
      </c>
    </row>
    <row r="130" ht="15.75" customHeight="1">
      <c r="A130" s="32" t="s">
        <v>1918</v>
      </c>
      <c r="B130" s="32">
        <v>18.0</v>
      </c>
    </row>
    <row r="131" ht="15.75" customHeight="1">
      <c r="A131" s="32" t="s">
        <v>326</v>
      </c>
      <c r="B131" s="32">
        <v>17.0</v>
      </c>
    </row>
    <row r="132" ht="15.75" customHeight="1">
      <c r="A132" s="32" t="s">
        <v>3610</v>
      </c>
      <c r="B132" s="32">
        <v>17.0</v>
      </c>
    </row>
    <row r="133" ht="15.75" customHeight="1">
      <c r="A133" s="32" t="s">
        <v>1749</v>
      </c>
      <c r="B133" s="32">
        <v>17.0</v>
      </c>
    </row>
    <row r="134" ht="15.75" customHeight="1">
      <c r="A134" s="32" t="s">
        <v>1720</v>
      </c>
      <c r="B134" s="32">
        <v>16.0</v>
      </c>
    </row>
    <row r="135" ht="15.75" customHeight="1">
      <c r="A135" s="32" t="s">
        <v>3611</v>
      </c>
      <c r="B135" s="32">
        <v>16.0</v>
      </c>
    </row>
    <row r="136" ht="15.75" customHeight="1">
      <c r="A136" s="32" t="s">
        <v>60</v>
      </c>
      <c r="B136" s="32">
        <v>16.0</v>
      </c>
    </row>
    <row r="137" ht="15.75" customHeight="1">
      <c r="A137" s="32" t="s">
        <v>2791</v>
      </c>
      <c r="B137" s="32">
        <v>15.0</v>
      </c>
    </row>
    <row r="138" ht="15.75" customHeight="1">
      <c r="A138" s="32" t="s">
        <v>2635</v>
      </c>
      <c r="B138" s="32">
        <v>15.0</v>
      </c>
    </row>
    <row r="139" ht="15.75" customHeight="1">
      <c r="A139" s="32" t="s">
        <v>2684</v>
      </c>
      <c r="B139" s="32">
        <v>15.0</v>
      </c>
    </row>
    <row r="140" ht="15.75" customHeight="1">
      <c r="A140" s="32" t="s">
        <v>2920</v>
      </c>
      <c r="B140" s="32">
        <v>15.0</v>
      </c>
    </row>
    <row r="141" ht="15.75" customHeight="1">
      <c r="A141" s="32" t="s">
        <v>1132</v>
      </c>
      <c r="B141" s="32">
        <v>14.0</v>
      </c>
    </row>
    <row r="142" ht="15.75" customHeight="1">
      <c r="A142" s="32" t="s">
        <v>942</v>
      </c>
      <c r="B142" s="32">
        <v>13.0</v>
      </c>
    </row>
    <row r="143" ht="15.75" customHeight="1">
      <c r="A143" s="32" t="s">
        <v>1663</v>
      </c>
      <c r="B143" s="32">
        <v>13.0</v>
      </c>
    </row>
    <row r="144" ht="15.75" customHeight="1">
      <c r="A144" s="32" t="s">
        <v>1551</v>
      </c>
      <c r="B144" s="32">
        <v>13.0</v>
      </c>
    </row>
    <row r="145" ht="15.75" customHeight="1">
      <c r="A145" s="32" t="s">
        <v>3612</v>
      </c>
      <c r="B145" s="32">
        <v>13.0</v>
      </c>
    </row>
    <row r="146" ht="15.75" customHeight="1">
      <c r="A146" s="32" t="s">
        <v>964</v>
      </c>
      <c r="B146" s="32">
        <v>13.0</v>
      </c>
    </row>
    <row r="147" ht="15.75" customHeight="1">
      <c r="A147" s="32" t="s">
        <v>807</v>
      </c>
      <c r="B147" s="32">
        <v>13.0</v>
      </c>
    </row>
    <row r="148" ht="15.75" customHeight="1">
      <c r="A148" s="32" t="s">
        <v>1144</v>
      </c>
      <c r="B148" s="32">
        <v>12.0</v>
      </c>
    </row>
    <row r="149" ht="15.75" customHeight="1">
      <c r="A149" s="32" t="s">
        <v>2335</v>
      </c>
      <c r="B149" s="32">
        <v>12.0</v>
      </c>
    </row>
    <row r="150" ht="15.75" customHeight="1">
      <c r="A150" s="32" t="s">
        <v>1754</v>
      </c>
      <c r="B150" s="32">
        <v>12.0</v>
      </c>
    </row>
    <row r="151" ht="15.75" customHeight="1">
      <c r="A151" s="32" t="s">
        <v>2289</v>
      </c>
      <c r="B151" s="32">
        <v>12.0</v>
      </c>
    </row>
    <row r="152" ht="15.75" customHeight="1">
      <c r="A152" s="32" t="s">
        <v>3613</v>
      </c>
      <c r="B152" s="32">
        <v>12.0</v>
      </c>
    </row>
    <row r="153" ht="15.75" customHeight="1">
      <c r="A153" s="32" t="s">
        <v>3024</v>
      </c>
      <c r="B153" s="32">
        <v>11.0</v>
      </c>
    </row>
    <row r="154" ht="15.75" customHeight="1">
      <c r="A154" s="32" t="s">
        <v>946</v>
      </c>
      <c r="B154" s="32">
        <v>11.0</v>
      </c>
    </row>
    <row r="155" ht="15.75" customHeight="1">
      <c r="A155" s="32" t="s">
        <v>940</v>
      </c>
      <c r="B155" s="32">
        <v>11.0</v>
      </c>
    </row>
    <row r="156" ht="15.75" customHeight="1">
      <c r="A156" s="32" t="s">
        <v>1932</v>
      </c>
      <c r="B156" s="32">
        <v>11.0</v>
      </c>
    </row>
    <row r="157" ht="15.75" customHeight="1">
      <c r="A157" s="32" t="s">
        <v>3614</v>
      </c>
      <c r="B157" s="32">
        <v>11.0</v>
      </c>
    </row>
    <row r="158" ht="15.75" customHeight="1">
      <c r="A158" s="32" t="s">
        <v>3022</v>
      </c>
      <c r="B158" s="32">
        <v>11.0</v>
      </c>
    </row>
    <row r="159" ht="15.75" customHeight="1">
      <c r="A159" s="32" t="s">
        <v>819</v>
      </c>
      <c r="B159" s="32">
        <v>10.0</v>
      </c>
    </row>
    <row r="160" ht="15.75" customHeight="1">
      <c r="A160" s="32" t="s">
        <v>1062</v>
      </c>
      <c r="B160" s="32">
        <v>10.0</v>
      </c>
    </row>
    <row r="161" ht="15.75" customHeight="1">
      <c r="A161" s="32" t="s">
        <v>1718</v>
      </c>
      <c r="B161" s="32">
        <v>9.0</v>
      </c>
    </row>
    <row r="162" ht="15.75" customHeight="1">
      <c r="A162" s="32" t="s">
        <v>1519</v>
      </c>
      <c r="B162" s="32">
        <v>9.0</v>
      </c>
    </row>
    <row r="163" ht="15.75" customHeight="1">
      <c r="A163" s="32" t="s">
        <v>950</v>
      </c>
      <c r="B163" s="32">
        <v>9.0</v>
      </c>
    </row>
    <row r="164" ht="15.75" customHeight="1">
      <c r="A164" s="32" t="s">
        <v>3615</v>
      </c>
      <c r="B164" s="32">
        <v>8.0</v>
      </c>
    </row>
    <row r="165" ht="15.75" customHeight="1">
      <c r="A165" s="32" t="s">
        <v>3616</v>
      </c>
      <c r="B165" s="32">
        <v>8.0</v>
      </c>
    </row>
    <row r="166" ht="15.75" customHeight="1">
      <c r="A166" s="32" t="s">
        <v>786</v>
      </c>
      <c r="B166" s="32">
        <v>8.0</v>
      </c>
    </row>
    <row r="167" ht="15.75" customHeight="1">
      <c r="A167" s="32" t="s">
        <v>1459</v>
      </c>
      <c r="B167" s="32">
        <v>8.0</v>
      </c>
    </row>
    <row r="168" ht="15.75" customHeight="1">
      <c r="A168" s="32" t="s">
        <v>2109</v>
      </c>
      <c r="B168" s="32">
        <v>8.0</v>
      </c>
    </row>
    <row r="169" ht="15.75" customHeight="1">
      <c r="A169" s="32" t="s">
        <v>653</v>
      </c>
      <c r="B169" s="32">
        <v>8.0</v>
      </c>
    </row>
    <row r="170" ht="15.75" customHeight="1">
      <c r="A170" s="32" t="s">
        <v>3542</v>
      </c>
      <c r="B170" s="32">
        <v>8.0</v>
      </c>
    </row>
    <row r="171" ht="15.75" customHeight="1">
      <c r="A171" s="32" t="s">
        <v>1275</v>
      </c>
      <c r="B171" s="32">
        <v>8.0</v>
      </c>
    </row>
    <row r="172" ht="15.75" customHeight="1">
      <c r="A172" s="32" t="s">
        <v>1035</v>
      </c>
      <c r="B172" s="32">
        <v>8.0</v>
      </c>
    </row>
    <row r="173" ht="15.75" customHeight="1">
      <c r="A173" s="32" t="s">
        <v>1461</v>
      </c>
      <c r="B173" s="32">
        <v>7.0</v>
      </c>
    </row>
    <row r="174" ht="15.75" customHeight="1">
      <c r="A174" s="32" t="s">
        <v>1103</v>
      </c>
      <c r="B174" s="32">
        <v>7.0</v>
      </c>
    </row>
    <row r="175" ht="15.75" customHeight="1">
      <c r="A175" s="32" t="s">
        <v>2862</v>
      </c>
      <c r="B175" s="32">
        <v>7.0</v>
      </c>
    </row>
    <row r="176" ht="15.75" customHeight="1">
      <c r="A176" s="32" t="s">
        <v>483</v>
      </c>
      <c r="B176" s="32">
        <v>7.0</v>
      </c>
    </row>
    <row r="177" ht="15.75" customHeight="1">
      <c r="A177" s="32" t="s">
        <v>2023</v>
      </c>
      <c r="B177" s="32">
        <v>7.0</v>
      </c>
    </row>
    <row r="178" ht="15.75" customHeight="1">
      <c r="A178" s="32" t="s">
        <v>719</v>
      </c>
      <c r="B178" s="32">
        <v>7.0</v>
      </c>
    </row>
    <row r="179" ht="15.75" customHeight="1">
      <c r="A179" s="32" t="s">
        <v>2674</v>
      </c>
      <c r="B179" s="32">
        <v>6.0</v>
      </c>
    </row>
    <row r="180" ht="15.75" customHeight="1">
      <c r="A180" s="32" t="s">
        <v>665</v>
      </c>
      <c r="B180" s="32">
        <v>6.0</v>
      </c>
    </row>
    <row r="181" ht="15.75" customHeight="1">
      <c r="A181" s="32" t="s">
        <v>1981</v>
      </c>
      <c r="B181" s="32">
        <v>6.0</v>
      </c>
    </row>
    <row r="182" ht="15.75" customHeight="1">
      <c r="A182" s="32" t="s">
        <v>3617</v>
      </c>
      <c r="B182" s="32">
        <v>6.0</v>
      </c>
    </row>
    <row r="183" ht="15.75" customHeight="1">
      <c r="A183" s="32" t="s">
        <v>288</v>
      </c>
      <c r="B183" s="32">
        <v>6.0</v>
      </c>
    </row>
    <row r="184" ht="15.75" customHeight="1">
      <c r="A184" s="32" t="s">
        <v>2294</v>
      </c>
      <c r="B184" s="32">
        <v>6.0</v>
      </c>
    </row>
    <row r="185" ht="15.75" customHeight="1">
      <c r="A185" s="32" t="s">
        <v>1684</v>
      </c>
      <c r="B185" s="32">
        <v>6.0</v>
      </c>
    </row>
    <row r="186" ht="15.75" customHeight="1">
      <c r="A186" s="32" t="s">
        <v>3618</v>
      </c>
      <c r="B186" s="32">
        <v>6.0</v>
      </c>
    </row>
    <row r="187" ht="15.75" customHeight="1">
      <c r="A187" s="32" t="s">
        <v>3619</v>
      </c>
      <c r="B187" s="32">
        <v>6.0</v>
      </c>
    </row>
    <row r="188" ht="15.75" customHeight="1">
      <c r="A188" s="32" t="s">
        <v>1032</v>
      </c>
      <c r="B188" s="32">
        <v>6.0</v>
      </c>
    </row>
    <row r="189" ht="15.75" customHeight="1">
      <c r="A189" s="32" t="s">
        <v>3620</v>
      </c>
      <c r="B189" s="32">
        <v>6.0</v>
      </c>
    </row>
    <row r="190" ht="15.75" customHeight="1">
      <c r="A190" s="32" t="s">
        <v>2341</v>
      </c>
      <c r="B190" s="32">
        <v>6.0</v>
      </c>
    </row>
    <row r="191" ht="15.75" customHeight="1">
      <c r="A191" s="32" t="s">
        <v>3621</v>
      </c>
      <c r="B191" s="32">
        <v>6.0</v>
      </c>
    </row>
    <row r="192" ht="15.75" customHeight="1">
      <c r="A192" s="32" t="s">
        <v>3622</v>
      </c>
      <c r="B192" s="32">
        <v>6.0</v>
      </c>
    </row>
    <row r="193" ht="15.75" customHeight="1">
      <c r="A193" s="32" t="s">
        <v>881</v>
      </c>
      <c r="B193" s="32">
        <v>6.0</v>
      </c>
    </row>
    <row r="194" ht="15.75" customHeight="1">
      <c r="A194" s="32" t="s">
        <v>1628</v>
      </c>
      <c r="B194" s="32">
        <v>6.0</v>
      </c>
    </row>
    <row r="195" ht="15.75" customHeight="1">
      <c r="A195" s="32" t="s">
        <v>1002</v>
      </c>
      <c r="B195" s="32">
        <v>6.0</v>
      </c>
    </row>
    <row r="196" ht="15.75" customHeight="1">
      <c r="A196" s="32" t="s">
        <v>634</v>
      </c>
      <c r="B196" s="32">
        <v>6.0</v>
      </c>
    </row>
    <row r="197" ht="15.75" customHeight="1">
      <c r="A197" s="32" t="s">
        <v>958</v>
      </c>
      <c r="B197" s="32">
        <v>6.0</v>
      </c>
    </row>
    <row r="198" ht="15.75" customHeight="1">
      <c r="A198" s="32" t="s">
        <v>2060</v>
      </c>
      <c r="B198" s="32">
        <v>6.0</v>
      </c>
    </row>
    <row r="199" ht="15.75" customHeight="1">
      <c r="A199" s="32" t="s">
        <v>3623</v>
      </c>
      <c r="B199" s="32">
        <v>5.0</v>
      </c>
    </row>
    <row r="200" ht="15.75" customHeight="1">
      <c r="A200" s="32" t="s">
        <v>2120</v>
      </c>
      <c r="B200" s="32">
        <v>5.0</v>
      </c>
    </row>
    <row r="201" ht="15.75" customHeight="1">
      <c r="A201" s="32" t="s">
        <v>3624</v>
      </c>
      <c r="B201" s="32">
        <v>5.0</v>
      </c>
    </row>
    <row r="202" ht="15.75" customHeight="1">
      <c r="A202" s="32" t="s">
        <v>1940</v>
      </c>
      <c r="B202" s="32">
        <v>5.0</v>
      </c>
    </row>
    <row r="203" ht="15.75" customHeight="1">
      <c r="A203" s="32" t="s">
        <v>1752</v>
      </c>
      <c r="B203" s="32">
        <v>5.0</v>
      </c>
    </row>
    <row r="204" ht="15.75" customHeight="1">
      <c r="A204" s="32" t="s">
        <v>3625</v>
      </c>
      <c r="B204" s="32">
        <v>5.0</v>
      </c>
    </row>
    <row r="205" ht="15.75" customHeight="1">
      <c r="A205" s="32" t="s">
        <v>1029</v>
      </c>
      <c r="B205" s="32">
        <v>5.0</v>
      </c>
    </row>
    <row r="206" ht="15.75" customHeight="1">
      <c r="A206" s="32" t="s">
        <v>2529</v>
      </c>
      <c r="B206" s="32">
        <v>5.0</v>
      </c>
    </row>
    <row r="207" ht="15.75" customHeight="1">
      <c r="A207" s="32" t="s">
        <v>2802</v>
      </c>
      <c r="B207" s="32">
        <v>5.0</v>
      </c>
    </row>
    <row r="208" ht="15.75" customHeight="1">
      <c r="A208" s="32" t="s">
        <v>1695</v>
      </c>
      <c r="B208" s="32">
        <v>5.0</v>
      </c>
    </row>
    <row r="209" ht="15.75" customHeight="1">
      <c r="A209" s="32" t="s">
        <v>3626</v>
      </c>
      <c r="B209" s="32">
        <v>5.0</v>
      </c>
    </row>
    <row r="210" ht="15.75" customHeight="1">
      <c r="A210" s="32" t="s">
        <v>74</v>
      </c>
      <c r="B210" s="32">
        <v>5.0</v>
      </c>
    </row>
    <row r="211" ht="15.75" customHeight="1">
      <c r="A211" s="32" t="s">
        <v>960</v>
      </c>
      <c r="B211" s="32">
        <v>5.0</v>
      </c>
    </row>
    <row r="212" ht="15.75" customHeight="1">
      <c r="A212" s="32" t="s">
        <v>1492</v>
      </c>
      <c r="B212" s="32">
        <v>5.0</v>
      </c>
    </row>
    <row r="213" ht="15.75" customHeight="1">
      <c r="A213" s="32" t="s">
        <v>567</v>
      </c>
      <c r="B213" s="32">
        <v>5.0</v>
      </c>
    </row>
    <row r="214" ht="15.75" customHeight="1">
      <c r="A214" s="32" t="s">
        <v>1716</v>
      </c>
      <c r="B214" s="32">
        <v>5.0</v>
      </c>
    </row>
    <row r="215" ht="15.75" customHeight="1">
      <c r="A215" s="32" t="s">
        <v>3074</v>
      </c>
      <c r="B215" s="32">
        <v>5.0</v>
      </c>
    </row>
    <row r="216" ht="15.75" customHeight="1">
      <c r="A216" s="32" t="s">
        <v>57</v>
      </c>
      <c r="B216" s="32">
        <v>5.0</v>
      </c>
    </row>
    <row r="217" ht="15.75" customHeight="1">
      <c r="A217" s="32" t="s">
        <v>2718</v>
      </c>
      <c r="B217" s="32">
        <v>5.0</v>
      </c>
    </row>
    <row r="218" ht="15.75" customHeight="1">
      <c r="A218" s="32" t="s">
        <v>3133</v>
      </c>
      <c r="B218" s="32">
        <v>4.0</v>
      </c>
    </row>
    <row r="219" ht="15.75" customHeight="1">
      <c r="A219" s="32" t="s">
        <v>1437</v>
      </c>
      <c r="B219" s="32">
        <v>4.0</v>
      </c>
    </row>
    <row r="220" ht="15.75" customHeight="1">
      <c r="A220" s="32" t="s">
        <v>594</v>
      </c>
      <c r="B220" s="32">
        <v>4.0</v>
      </c>
    </row>
    <row r="221" ht="15.75" customHeight="1">
      <c r="A221" s="32" t="s">
        <v>556</v>
      </c>
      <c r="B221" s="32">
        <v>4.0</v>
      </c>
    </row>
    <row r="222" ht="15.75" customHeight="1">
      <c r="A222" s="32" t="s">
        <v>1149</v>
      </c>
      <c r="B222" s="32">
        <v>4.0</v>
      </c>
    </row>
    <row r="223" ht="15.75" customHeight="1">
      <c r="A223" s="32" t="s">
        <v>2486</v>
      </c>
      <c r="B223" s="32">
        <v>4.0</v>
      </c>
    </row>
    <row r="224" ht="15.75" customHeight="1">
      <c r="A224" s="32" t="s">
        <v>3010</v>
      </c>
      <c r="B224" s="32">
        <v>4.0</v>
      </c>
    </row>
    <row r="225" ht="15.75" customHeight="1">
      <c r="A225" s="32" t="s">
        <v>3627</v>
      </c>
      <c r="B225" s="32">
        <v>4.0</v>
      </c>
    </row>
    <row r="226" ht="15.75" customHeight="1">
      <c r="A226" s="32" t="s">
        <v>225</v>
      </c>
      <c r="B226" s="32">
        <v>4.0</v>
      </c>
    </row>
    <row r="227" ht="15.75" customHeight="1">
      <c r="A227" s="32" t="s">
        <v>1324</v>
      </c>
      <c r="B227" s="32">
        <v>4.0</v>
      </c>
    </row>
    <row r="228" ht="15.75" customHeight="1">
      <c r="A228" s="32" t="s">
        <v>629</v>
      </c>
      <c r="B228" s="32">
        <v>4.0</v>
      </c>
    </row>
    <row r="229" ht="15.75" customHeight="1">
      <c r="A229" s="32" t="s">
        <v>3090</v>
      </c>
      <c r="B229" s="32">
        <v>4.0</v>
      </c>
    </row>
    <row r="230" ht="15.75" customHeight="1">
      <c r="A230" s="32" t="s">
        <v>455</v>
      </c>
      <c r="B230" s="32">
        <v>4.0</v>
      </c>
    </row>
    <row r="231" ht="15.75" customHeight="1">
      <c r="A231" s="32" t="s">
        <v>2503</v>
      </c>
      <c r="B231" s="32">
        <v>4.0</v>
      </c>
    </row>
    <row r="232" ht="15.75" customHeight="1">
      <c r="A232" s="32" t="s">
        <v>3628</v>
      </c>
      <c r="B232" s="32">
        <v>4.0</v>
      </c>
    </row>
    <row r="233" ht="15.75" customHeight="1">
      <c r="A233" s="32" t="s">
        <v>2733</v>
      </c>
      <c r="B233" s="32">
        <v>4.0</v>
      </c>
    </row>
    <row r="234" ht="15.75" customHeight="1">
      <c r="A234" s="32" t="s">
        <v>2563</v>
      </c>
      <c r="B234" s="32">
        <v>4.0</v>
      </c>
    </row>
    <row r="235" ht="15.75" customHeight="1">
      <c r="A235" s="32" t="s">
        <v>1951</v>
      </c>
      <c r="B235" s="32">
        <v>4.0</v>
      </c>
    </row>
    <row r="236" ht="15.75" customHeight="1">
      <c r="A236" s="32" t="s">
        <v>3060</v>
      </c>
      <c r="B236" s="32">
        <v>4.0</v>
      </c>
    </row>
    <row r="237" ht="15.75" customHeight="1">
      <c r="A237" s="32" t="s">
        <v>542</v>
      </c>
      <c r="B237" s="32">
        <v>4.0</v>
      </c>
    </row>
    <row r="238" ht="15.75" customHeight="1">
      <c r="A238" s="32" t="s">
        <v>952</v>
      </c>
      <c r="B238" s="32">
        <v>4.0</v>
      </c>
    </row>
    <row r="239" ht="15.75" customHeight="1">
      <c r="A239" s="32" t="s">
        <v>3398</v>
      </c>
      <c r="B239" s="32">
        <v>3.0</v>
      </c>
    </row>
    <row r="240" ht="15.75" customHeight="1">
      <c r="A240" s="32" t="s">
        <v>272</v>
      </c>
      <c r="B240" s="32">
        <v>3.0</v>
      </c>
    </row>
    <row r="241" ht="15.75" customHeight="1">
      <c r="A241" s="32" t="s">
        <v>3516</v>
      </c>
      <c r="B241" s="32">
        <v>3.0</v>
      </c>
    </row>
    <row r="242" ht="15.75" customHeight="1">
      <c r="A242" s="32" t="s">
        <v>3629</v>
      </c>
      <c r="B242" s="32">
        <v>3.0</v>
      </c>
    </row>
    <row r="243" ht="15.75" customHeight="1">
      <c r="A243" s="32" t="s">
        <v>2483</v>
      </c>
      <c r="B243" s="32">
        <v>3.0</v>
      </c>
    </row>
    <row r="244" ht="15.75" customHeight="1">
      <c r="A244" s="32" t="s">
        <v>2711</v>
      </c>
      <c r="B244" s="32">
        <v>3.0</v>
      </c>
    </row>
    <row r="245" ht="15.75" customHeight="1">
      <c r="A245" s="32" t="s">
        <v>188</v>
      </c>
      <c r="B245" s="32">
        <v>3.0</v>
      </c>
    </row>
    <row r="246" ht="15.75" customHeight="1">
      <c r="A246" s="32" t="s">
        <v>1329</v>
      </c>
      <c r="B246" s="32">
        <v>3.0</v>
      </c>
    </row>
    <row r="247" ht="15.75" customHeight="1">
      <c r="A247" s="32" t="s">
        <v>652</v>
      </c>
      <c r="B247" s="32">
        <v>3.0</v>
      </c>
    </row>
    <row r="248" ht="15.75" customHeight="1">
      <c r="A248" s="32" t="s">
        <v>3630</v>
      </c>
      <c r="B248" s="32">
        <v>3.0</v>
      </c>
    </row>
    <row r="249" ht="15.75" customHeight="1">
      <c r="A249" s="32" t="s">
        <v>3631</v>
      </c>
      <c r="B249" s="32">
        <v>3.0</v>
      </c>
    </row>
    <row r="250" ht="15.75" customHeight="1">
      <c r="A250" s="32" t="s">
        <v>2836</v>
      </c>
      <c r="B250" s="32">
        <v>3.0</v>
      </c>
    </row>
    <row r="251" ht="15.75" customHeight="1">
      <c r="A251" s="32" t="s">
        <v>488</v>
      </c>
      <c r="B251" s="32">
        <v>3.0</v>
      </c>
    </row>
    <row r="252" ht="15.75" customHeight="1">
      <c r="A252" s="32" t="s">
        <v>1943</v>
      </c>
      <c r="B252" s="32">
        <v>3.0</v>
      </c>
    </row>
    <row r="253" ht="15.75" customHeight="1">
      <c r="A253" s="32" t="s">
        <v>812</v>
      </c>
      <c r="B253" s="32">
        <v>3.0</v>
      </c>
    </row>
    <row r="254" ht="15.75" customHeight="1">
      <c r="A254" s="32" t="s">
        <v>2847</v>
      </c>
      <c r="B254" s="32">
        <v>3.0</v>
      </c>
    </row>
    <row r="255" ht="15.75" customHeight="1">
      <c r="A255" s="32" t="s">
        <v>1408</v>
      </c>
      <c r="B255" s="32">
        <v>3.0</v>
      </c>
    </row>
    <row r="256" ht="15.75" customHeight="1">
      <c r="A256" s="32" t="s">
        <v>635</v>
      </c>
      <c r="B256" s="32">
        <v>3.0</v>
      </c>
    </row>
    <row r="257" ht="15.75" customHeight="1">
      <c r="A257" s="32" t="s">
        <v>1433</v>
      </c>
      <c r="B257" s="32">
        <v>3.0</v>
      </c>
    </row>
    <row r="258" ht="15.75" customHeight="1">
      <c r="A258" s="32" t="s">
        <v>1633</v>
      </c>
      <c r="B258" s="32">
        <v>3.0</v>
      </c>
    </row>
    <row r="259" ht="15.75" customHeight="1">
      <c r="A259" s="32" t="s">
        <v>297</v>
      </c>
      <c r="B259" s="32">
        <v>3.0</v>
      </c>
    </row>
    <row r="260" ht="15.75" customHeight="1">
      <c r="A260" s="32" t="s">
        <v>3558</v>
      </c>
      <c r="B260" s="32">
        <v>3.0</v>
      </c>
    </row>
    <row r="261" ht="15.75" customHeight="1">
      <c r="A261" s="32" t="s">
        <v>3632</v>
      </c>
      <c r="B261" s="32">
        <v>3.0</v>
      </c>
    </row>
    <row r="262" ht="15.75" customHeight="1">
      <c r="A262" s="32" t="s">
        <v>2875</v>
      </c>
      <c r="B262" s="32">
        <v>3.0</v>
      </c>
    </row>
    <row r="263" ht="15.75" customHeight="1">
      <c r="A263" s="32" t="s">
        <v>1453</v>
      </c>
      <c r="B263" s="32">
        <v>3.0</v>
      </c>
    </row>
    <row r="264" ht="15.75" customHeight="1">
      <c r="A264" s="32" t="s">
        <v>2731</v>
      </c>
      <c r="B264" s="32">
        <v>3.0</v>
      </c>
    </row>
    <row r="265" ht="15.75" customHeight="1">
      <c r="A265" s="32" t="s">
        <v>346</v>
      </c>
      <c r="B265" s="32">
        <v>3.0</v>
      </c>
    </row>
    <row r="266" ht="15.75" customHeight="1">
      <c r="A266" s="32" t="s">
        <v>3633</v>
      </c>
      <c r="B266" s="32">
        <v>3.0</v>
      </c>
    </row>
    <row r="267" ht="15.75" customHeight="1">
      <c r="A267" s="32" t="s">
        <v>1593</v>
      </c>
      <c r="B267" s="32">
        <v>3.0</v>
      </c>
    </row>
    <row r="268" ht="15.75" customHeight="1">
      <c r="A268" s="32" t="s">
        <v>1589</v>
      </c>
      <c r="B268" s="32">
        <v>3.0</v>
      </c>
    </row>
    <row r="269" ht="15.75" customHeight="1">
      <c r="A269" s="32" t="s">
        <v>3634</v>
      </c>
      <c r="B269" s="32">
        <v>2.0</v>
      </c>
    </row>
    <row r="270" ht="15.75" customHeight="1">
      <c r="A270" s="32" t="s">
        <v>3635</v>
      </c>
      <c r="B270" s="32">
        <v>2.0</v>
      </c>
    </row>
    <row r="271" ht="15.75" customHeight="1">
      <c r="A271" s="32" t="s">
        <v>292</v>
      </c>
      <c r="B271" s="32">
        <v>2.0</v>
      </c>
    </row>
    <row r="272" ht="15.75" customHeight="1">
      <c r="A272" s="32" t="s">
        <v>3636</v>
      </c>
      <c r="B272" s="32">
        <v>2.0</v>
      </c>
    </row>
    <row r="273" ht="15.75" customHeight="1">
      <c r="A273" s="32" t="s">
        <v>3637</v>
      </c>
      <c r="B273" s="32">
        <v>2.0</v>
      </c>
    </row>
    <row r="274" ht="15.75" customHeight="1">
      <c r="A274" s="32" t="s">
        <v>3638</v>
      </c>
      <c r="B274" s="32">
        <v>2.0</v>
      </c>
    </row>
    <row r="275" ht="15.75" customHeight="1">
      <c r="A275" s="32" t="s">
        <v>1646</v>
      </c>
      <c r="B275" s="32">
        <v>2.0</v>
      </c>
    </row>
    <row r="276" ht="15.75" customHeight="1">
      <c r="A276" s="32" t="s">
        <v>864</v>
      </c>
      <c r="B276" s="32">
        <v>2.0</v>
      </c>
    </row>
    <row r="277" ht="15.75" customHeight="1">
      <c r="A277" s="32" t="s">
        <v>2904</v>
      </c>
      <c r="B277" s="32">
        <v>2.0</v>
      </c>
    </row>
    <row r="278" ht="15.75" customHeight="1">
      <c r="A278" s="32" t="s">
        <v>3639</v>
      </c>
      <c r="B278" s="32">
        <v>2.0</v>
      </c>
    </row>
    <row r="279" ht="15.75" customHeight="1">
      <c r="A279" s="32" t="s">
        <v>3055</v>
      </c>
      <c r="B279" s="32">
        <v>2.0</v>
      </c>
    </row>
    <row r="280" ht="15.75" customHeight="1">
      <c r="A280" s="32" t="s">
        <v>2001</v>
      </c>
      <c r="B280" s="32">
        <v>2.0</v>
      </c>
    </row>
    <row r="281" ht="15.75" customHeight="1">
      <c r="A281" s="32" t="s">
        <v>1622</v>
      </c>
      <c r="B281" s="32">
        <v>2.0</v>
      </c>
    </row>
    <row r="282" ht="15.75" customHeight="1">
      <c r="A282" s="32" t="s">
        <v>2008</v>
      </c>
      <c r="B282" s="32">
        <v>2.0</v>
      </c>
    </row>
    <row r="283" ht="15.75" customHeight="1">
      <c r="A283" s="32" t="s">
        <v>2760</v>
      </c>
      <c r="B283" s="32">
        <v>2.0</v>
      </c>
    </row>
    <row r="284" ht="15.75" customHeight="1">
      <c r="A284" s="32" t="s">
        <v>922</v>
      </c>
      <c r="B284" s="32">
        <v>2.0</v>
      </c>
    </row>
    <row r="285" ht="15.75" customHeight="1">
      <c r="A285" s="32" t="s">
        <v>1137</v>
      </c>
      <c r="B285" s="32">
        <v>2.0</v>
      </c>
    </row>
    <row r="286" ht="15.75" customHeight="1">
      <c r="A286" s="32" t="s">
        <v>3640</v>
      </c>
      <c r="B286" s="32">
        <v>2.0</v>
      </c>
    </row>
    <row r="287" ht="15.75" customHeight="1">
      <c r="A287" s="32" t="s">
        <v>151</v>
      </c>
      <c r="B287" s="32">
        <v>2.0</v>
      </c>
    </row>
    <row r="288" ht="15.75" customHeight="1">
      <c r="A288" s="32" t="s">
        <v>1392</v>
      </c>
      <c r="B288" s="32">
        <v>2.0</v>
      </c>
    </row>
    <row r="289" ht="15.75" customHeight="1">
      <c r="A289" s="32" t="s">
        <v>3641</v>
      </c>
      <c r="B289" s="32">
        <v>2.0</v>
      </c>
    </row>
    <row r="290" ht="15.75" customHeight="1">
      <c r="A290" s="32" t="s">
        <v>608</v>
      </c>
      <c r="B290" s="32">
        <v>2.0</v>
      </c>
    </row>
    <row r="291" ht="15.75" customHeight="1">
      <c r="A291" s="32" t="s">
        <v>3642</v>
      </c>
      <c r="B291" s="32">
        <v>2.0</v>
      </c>
    </row>
    <row r="292" ht="15.75" customHeight="1">
      <c r="A292" s="32" t="s">
        <v>1406</v>
      </c>
      <c r="B292" s="32">
        <v>2.0</v>
      </c>
    </row>
    <row r="293" ht="15.75" customHeight="1">
      <c r="A293" s="32" t="s">
        <v>1802</v>
      </c>
      <c r="B293" s="32">
        <v>2.0</v>
      </c>
    </row>
    <row r="294" ht="15.75" customHeight="1">
      <c r="A294" s="32" t="s">
        <v>2285</v>
      </c>
      <c r="B294" s="32">
        <v>2.0</v>
      </c>
    </row>
    <row r="295" ht="15.75" customHeight="1">
      <c r="A295" s="32" t="s">
        <v>1620</v>
      </c>
      <c r="B295" s="32">
        <v>2.0</v>
      </c>
    </row>
    <row r="296" ht="15.75" customHeight="1">
      <c r="A296" s="32" t="s">
        <v>2329</v>
      </c>
      <c r="B296" s="32">
        <v>2.0</v>
      </c>
    </row>
    <row r="297" ht="15.75" customHeight="1">
      <c r="A297" s="32" t="s">
        <v>1107</v>
      </c>
      <c r="B297" s="32">
        <v>2.0</v>
      </c>
    </row>
    <row r="298" ht="15.75" customHeight="1">
      <c r="A298" s="32" t="s">
        <v>651</v>
      </c>
      <c r="B298" s="32">
        <v>2.0</v>
      </c>
    </row>
    <row r="299" ht="15.75" customHeight="1">
      <c r="A299" s="32" t="s">
        <v>791</v>
      </c>
      <c r="B299" s="32">
        <v>2.0</v>
      </c>
    </row>
    <row r="300" ht="15.75" customHeight="1">
      <c r="A300" s="32" t="s">
        <v>2360</v>
      </c>
      <c r="B300" s="32">
        <v>2.0</v>
      </c>
    </row>
    <row r="301" ht="15.75" customHeight="1">
      <c r="A301" s="32" t="s">
        <v>2794</v>
      </c>
      <c r="B301" s="32">
        <v>2.0</v>
      </c>
    </row>
    <row r="302" ht="15.75" customHeight="1">
      <c r="A302" s="32" t="s">
        <v>3643</v>
      </c>
      <c r="B302" s="32">
        <v>2.0</v>
      </c>
    </row>
    <row r="303" ht="15.75" customHeight="1">
      <c r="A303" s="32" t="s">
        <v>3405</v>
      </c>
      <c r="B303" s="32">
        <v>2.0</v>
      </c>
    </row>
    <row r="304" ht="15.75" customHeight="1">
      <c r="A304" s="32" t="s">
        <v>2395</v>
      </c>
      <c r="B304" s="32">
        <v>2.0</v>
      </c>
    </row>
    <row r="305" ht="15.75" customHeight="1">
      <c r="A305" s="32" t="s">
        <v>805</v>
      </c>
      <c r="B305" s="32">
        <v>2.0</v>
      </c>
    </row>
    <row r="306" ht="15.75" customHeight="1">
      <c r="A306" s="32" t="s">
        <v>3644</v>
      </c>
      <c r="B306" s="32">
        <v>2.0</v>
      </c>
    </row>
    <row r="307" ht="15.75" customHeight="1">
      <c r="A307" s="32" t="s">
        <v>1689</v>
      </c>
      <c r="B307" s="32">
        <v>2.0</v>
      </c>
    </row>
    <row r="308" ht="15.75" customHeight="1">
      <c r="A308" s="32" t="s">
        <v>3645</v>
      </c>
      <c r="B308" s="32">
        <v>2.0</v>
      </c>
    </row>
    <row r="309" ht="15.75" customHeight="1">
      <c r="A309" s="32" t="s">
        <v>3646</v>
      </c>
      <c r="B309" s="32">
        <v>2.0</v>
      </c>
    </row>
    <row r="310" ht="15.75" customHeight="1">
      <c r="A310" s="32" t="s">
        <v>3647</v>
      </c>
      <c r="B310" s="32">
        <v>2.0</v>
      </c>
    </row>
    <row r="311" ht="15.75" customHeight="1">
      <c r="A311" s="32" t="s">
        <v>3648</v>
      </c>
      <c r="B311" s="32">
        <v>2.0</v>
      </c>
    </row>
    <row r="312" ht="15.75" customHeight="1">
      <c r="A312" s="32" t="s">
        <v>114</v>
      </c>
      <c r="B312" s="32">
        <v>2.0</v>
      </c>
    </row>
    <row r="313" ht="15.75" customHeight="1">
      <c r="A313" s="32" t="s">
        <v>2951</v>
      </c>
      <c r="B313" s="32">
        <v>2.0</v>
      </c>
    </row>
    <row r="314" ht="15.75" customHeight="1">
      <c r="A314" s="32" t="s">
        <v>1010</v>
      </c>
      <c r="B314" s="32">
        <v>2.0</v>
      </c>
    </row>
    <row r="315" ht="15.75" customHeight="1">
      <c r="A315" s="32" t="s">
        <v>3002</v>
      </c>
      <c r="B315" s="32">
        <v>2.0</v>
      </c>
    </row>
    <row r="316" ht="15.75" customHeight="1">
      <c r="A316" s="32" t="s">
        <v>1814</v>
      </c>
      <c r="B316" s="32">
        <v>2.0</v>
      </c>
    </row>
    <row r="317" ht="15.75" customHeight="1">
      <c r="A317" s="32" t="s">
        <v>3038</v>
      </c>
      <c r="B317" s="32">
        <v>2.0</v>
      </c>
    </row>
    <row r="318" ht="15.75" customHeight="1">
      <c r="A318" s="32" t="s">
        <v>2615</v>
      </c>
      <c r="B318" s="32">
        <v>2.0</v>
      </c>
    </row>
    <row r="319" ht="15.75" customHeight="1">
      <c r="A319" s="32" t="s">
        <v>1797</v>
      </c>
      <c r="B319" s="32">
        <v>2.0</v>
      </c>
    </row>
    <row r="320" ht="15.75" customHeight="1">
      <c r="A320" s="32" t="s">
        <v>3649</v>
      </c>
      <c r="B320" s="32">
        <v>2.0</v>
      </c>
    </row>
    <row r="321" ht="15.75" customHeight="1">
      <c r="A321" s="32" t="s">
        <v>1580</v>
      </c>
      <c r="B321" s="32">
        <v>2.0</v>
      </c>
    </row>
    <row r="322" ht="15.75" customHeight="1">
      <c r="A322" s="32" t="s">
        <v>1817</v>
      </c>
      <c r="B322" s="32">
        <v>2.0</v>
      </c>
    </row>
    <row r="323" ht="15.75" customHeight="1">
      <c r="A323" s="32" t="s">
        <v>1636</v>
      </c>
      <c r="B323" s="32">
        <v>1.0</v>
      </c>
    </row>
    <row r="324" ht="15.75" customHeight="1">
      <c r="A324" s="32" t="s">
        <v>2936</v>
      </c>
      <c r="B324" s="32">
        <v>1.0</v>
      </c>
    </row>
    <row r="325" ht="15.75" customHeight="1">
      <c r="A325" s="32" t="s">
        <v>1383</v>
      </c>
      <c r="B325" s="32">
        <v>1.0</v>
      </c>
    </row>
    <row r="326" ht="15.75" customHeight="1">
      <c r="A326" s="32" t="s">
        <v>1412</v>
      </c>
      <c r="B326" s="32">
        <v>1.0</v>
      </c>
    </row>
    <row r="327" ht="15.75" customHeight="1">
      <c r="A327" s="32" t="s">
        <v>3305</v>
      </c>
      <c r="B327" s="32">
        <v>1.0</v>
      </c>
    </row>
    <row r="328" ht="15.75" customHeight="1">
      <c r="A328" s="32" t="s">
        <v>3255</v>
      </c>
      <c r="B328" s="32">
        <v>1.0</v>
      </c>
    </row>
    <row r="329" ht="15.75" customHeight="1">
      <c r="A329" s="32" t="s">
        <v>3243</v>
      </c>
      <c r="B329" s="32">
        <v>1.0</v>
      </c>
    </row>
    <row r="330" ht="15.75" customHeight="1">
      <c r="A330" s="32" t="s">
        <v>868</v>
      </c>
      <c r="B330" s="32">
        <v>1.0</v>
      </c>
    </row>
    <row r="331" ht="15.75" customHeight="1">
      <c r="A331" s="32" t="s">
        <v>1390</v>
      </c>
      <c r="B331" s="32">
        <v>1.0</v>
      </c>
    </row>
    <row r="332" ht="15.75" customHeight="1">
      <c r="A332" s="32" t="s">
        <v>1416</v>
      </c>
      <c r="B332" s="32">
        <v>1.0</v>
      </c>
    </row>
    <row r="333" ht="15.75" customHeight="1">
      <c r="A333" s="32" t="s">
        <v>3650</v>
      </c>
      <c r="B333" s="32">
        <v>1.0</v>
      </c>
    </row>
    <row r="334" ht="15.75" customHeight="1">
      <c r="A334" s="32" t="s">
        <v>3651</v>
      </c>
      <c r="B334" s="32">
        <v>1.0</v>
      </c>
    </row>
    <row r="335" ht="15.75" customHeight="1">
      <c r="A335" s="32" t="s">
        <v>2722</v>
      </c>
      <c r="B335" s="32">
        <v>1.0</v>
      </c>
    </row>
    <row r="336" ht="15.75" customHeight="1">
      <c r="A336" s="32" t="s">
        <v>638</v>
      </c>
      <c r="B336" s="32">
        <v>1.0</v>
      </c>
    </row>
    <row r="337" ht="15.75" customHeight="1">
      <c r="A337" s="32" t="s">
        <v>1378</v>
      </c>
      <c r="B337" s="32">
        <v>1.0</v>
      </c>
    </row>
    <row r="338" ht="15.75" customHeight="1">
      <c r="A338" s="32" t="s">
        <v>394</v>
      </c>
      <c r="B338" s="32">
        <v>1.0</v>
      </c>
    </row>
    <row r="339" ht="15.75" customHeight="1">
      <c r="A339" s="32" t="s">
        <v>1682</v>
      </c>
      <c r="B339" s="32">
        <v>1.0</v>
      </c>
    </row>
    <row r="340" ht="15.75" customHeight="1">
      <c r="A340" s="32" t="s">
        <v>64</v>
      </c>
      <c r="B340" s="32">
        <v>1.0</v>
      </c>
    </row>
    <row r="341" ht="15.75" customHeight="1">
      <c r="A341" s="32" t="s">
        <v>1388</v>
      </c>
      <c r="B341" s="32">
        <v>1.0</v>
      </c>
    </row>
    <row r="342" ht="15.75" customHeight="1">
      <c r="A342" s="32" t="s">
        <v>1957</v>
      </c>
      <c r="B342" s="32">
        <v>1.0</v>
      </c>
    </row>
    <row r="343" ht="15.75" customHeight="1">
      <c r="A343" s="32" t="s">
        <v>1173</v>
      </c>
      <c r="B343" s="32">
        <v>1.0</v>
      </c>
    </row>
    <row r="344" ht="15.75" customHeight="1">
      <c r="A344" s="32" t="s">
        <v>3652</v>
      </c>
      <c r="B344" s="32">
        <v>1.0</v>
      </c>
    </row>
    <row r="345" ht="15.75" customHeight="1">
      <c r="A345" s="32" t="s">
        <v>1179</v>
      </c>
      <c r="B345" s="32">
        <v>1.0</v>
      </c>
    </row>
    <row r="346" ht="15.75" customHeight="1">
      <c r="A346" s="32" t="s">
        <v>413</v>
      </c>
      <c r="B346" s="32">
        <v>1.0</v>
      </c>
    </row>
    <row r="347" ht="15.75" customHeight="1">
      <c r="A347" s="32" t="s">
        <v>1768</v>
      </c>
      <c r="B347" s="32">
        <v>1.0</v>
      </c>
    </row>
    <row r="348" ht="15.75" customHeight="1">
      <c r="A348" s="32" t="s">
        <v>1962</v>
      </c>
      <c r="B348" s="32">
        <v>1.0</v>
      </c>
    </row>
    <row r="349" ht="15.75" customHeight="1">
      <c r="A349" s="32" t="s">
        <v>3095</v>
      </c>
      <c r="B349" s="32">
        <v>1.0</v>
      </c>
    </row>
    <row r="350" ht="15.75" customHeight="1">
      <c r="A350" s="32" t="s">
        <v>1965</v>
      </c>
      <c r="B350" s="32">
        <v>1.0</v>
      </c>
    </row>
    <row r="351" ht="15.75" customHeight="1">
      <c r="A351" s="32" t="s">
        <v>3653</v>
      </c>
      <c r="B351" s="32">
        <v>1.0</v>
      </c>
    </row>
    <row r="352" ht="15.75" customHeight="1">
      <c r="A352" s="32" t="s">
        <v>195</v>
      </c>
      <c r="B352" s="32">
        <v>1.0</v>
      </c>
    </row>
    <row r="353" ht="15.75" customHeight="1">
      <c r="A353" s="32" t="s">
        <v>2086</v>
      </c>
      <c r="B353" s="32">
        <v>1.0</v>
      </c>
    </row>
    <row r="354" ht="15.75" customHeight="1">
      <c r="A354" s="32" t="s">
        <v>884</v>
      </c>
      <c r="B354" s="32">
        <v>1.0</v>
      </c>
    </row>
    <row r="355" ht="15.75" customHeight="1">
      <c r="A355" s="32" t="s">
        <v>1649</v>
      </c>
      <c r="B355" s="32">
        <v>1.0</v>
      </c>
    </row>
    <row r="356" ht="15.75" customHeight="1">
      <c r="A356" s="32" t="s">
        <v>920</v>
      </c>
      <c r="B356" s="32">
        <v>1.0</v>
      </c>
    </row>
    <row r="357" ht="15.75" customHeight="1">
      <c r="A357" s="32" t="s">
        <v>3654</v>
      </c>
      <c r="B357" s="32">
        <v>1.0</v>
      </c>
    </row>
    <row r="358" ht="15.75" customHeight="1">
      <c r="A358" s="32" t="s">
        <v>2474</v>
      </c>
      <c r="B358" s="32">
        <v>1.0</v>
      </c>
    </row>
    <row r="359" ht="15.75" customHeight="1">
      <c r="A359" s="32" t="s">
        <v>2834</v>
      </c>
      <c r="B359" s="32">
        <v>1.0</v>
      </c>
    </row>
    <row r="360" ht="15.75" customHeight="1">
      <c r="A360" s="32" t="s">
        <v>1332</v>
      </c>
      <c r="B360" s="32">
        <v>1.0</v>
      </c>
    </row>
    <row r="361" ht="15.75" customHeight="1">
      <c r="A361" s="32" t="s">
        <v>1688</v>
      </c>
      <c r="B361" s="32">
        <v>1.0</v>
      </c>
    </row>
    <row r="362" ht="15.75" customHeight="1">
      <c r="A362" s="32" t="s">
        <v>3655</v>
      </c>
      <c r="B362" s="32">
        <v>1.0</v>
      </c>
    </row>
    <row r="363" ht="15.75" customHeight="1">
      <c r="A363" s="32" t="s">
        <v>2872</v>
      </c>
      <c r="B363" s="32">
        <v>1.0</v>
      </c>
    </row>
    <row r="364" ht="15.75" customHeight="1">
      <c r="A364" s="32" t="s">
        <v>439</v>
      </c>
      <c r="B364" s="32">
        <v>1.0</v>
      </c>
    </row>
    <row r="365" ht="15.75" customHeight="1">
      <c r="A365" s="32" t="s">
        <v>2126</v>
      </c>
      <c r="B365" s="32">
        <v>1.0</v>
      </c>
    </row>
    <row r="366" ht="15.75" customHeight="1">
      <c r="A366" s="32" t="s">
        <v>1483</v>
      </c>
      <c r="B366" s="32">
        <v>1.0</v>
      </c>
    </row>
    <row r="367" ht="15.75" customHeight="1">
      <c r="A367" s="32" t="s">
        <v>1722</v>
      </c>
      <c r="B367" s="32">
        <v>1.0</v>
      </c>
    </row>
    <row r="368" ht="15.75" customHeight="1">
      <c r="A368" s="32" t="s">
        <v>1486</v>
      </c>
      <c r="B368" s="32">
        <v>1.0</v>
      </c>
    </row>
    <row r="369" ht="15.75" customHeight="1">
      <c r="A369" s="32" t="s">
        <v>3656</v>
      </c>
      <c r="B369" s="32">
        <v>1.0</v>
      </c>
    </row>
    <row r="370" ht="15.75" customHeight="1">
      <c r="A370" s="32" t="s">
        <v>2507</v>
      </c>
      <c r="B370" s="32">
        <v>1.0</v>
      </c>
    </row>
    <row r="371" ht="15.75" customHeight="1">
      <c r="A371" s="32" t="s">
        <v>1201</v>
      </c>
      <c r="B371" s="32">
        <v>1.0</v>
      </c>
    </row>
    <row r="372" ht="15.75" customHeight="1">
      <c r="A372" s="32" t="s">
        <v>686</v>
      </c>
      <c r="B372" s="32">
        <v>1.0</v>
      </c>
    </row>
    <row r="373" ht="15.75" customHeight="1">
      <c r="A373" s="32" t="s">
        <v>3049</v>
      </c>
      <c r="B373" s="32">
        <v>1.0</v>
      </c>
    </row>
    <row r="374" ht="15.75" customHeight="1">
      <c r="A374" s="32" t="s">
        <v>538</v>
      </c>
      <c r="B374" s="32">
        <v>1.0</v>
      </c>
    </row>
    <row r="375" ht="15.75" customHeight="1">
      <c r="A375" s="32" t="s">
        <v>1219</v>
      </c>
      <c r="B375" s="32">
        <v>1.0</v>
      </c>
    </row>
    <row r="376" ht="15.75" customHeight="1">
      <c r="A376" s="32" t="s">
        <v>3657</v>
      </c>
      <c r="B376" s="32">
        <v>1.0</v>
      </c>
    </row>
    <row r="377" ht="15.75" customHeight="1">
      <c r="A377" s="32" t="s">
        <v>3658</v>
      </c>
      <c r="B377" s="32">
        <v>1.0</v>
      </c>
    </row>
    <row r="378" ht="15.75" customHeight="1">
      <c r="A378" s="32" t="s">
        <v>3659</v>
      </c>
      <c r="B378" s="32">
        <v>1.0</v>
      </c>
    </row>
    <row r="379" ht="15.75" customHeight="1">
      <c r="A379" s="32" t="s">
        <v>3660</v>
      </c>
      <c r="B379" s="32">
        <v>1.0</v>
      </c>
    </row>
    <row r="380" ht="15.75" customHeight="1">
      <c r="A380" s="32" t="s">
        <v>2545</v>
      </c>
      <c r="B380" s="32">
        <v>1.0</v>
      </c>
    </row>
    <row r="381" ht="15.75" customHeight="1">
      <c r="A381" s="32" t="s">
        <v>2072</v>
      </c>
      <c r="B381" s="32">
        <v>1.0</v>
      </c>
    </row>
    <row r="382" ht="15.75" customHeight="1">
      <c r="A382" s="32" t="s">
        <v>2550</v>
      </c>
      <c r="B382" s="32">
        <v>1.0</v>
      </c>
    </row>
    <row r="383" ht="15.75" customHeight="1">
      <c r="A383" s="32" t="s">
        <v>3410</v>
      </c>
      <c r="B383" s="32">
        <v>1.0</v>
      </c>
    </row>
    <row r="384" ht="15.75" customHeight="1">
      <c r="A384" s="32" t="s">
        <v>1512</v>
      </c>
      <c r="B384" s="32">
        <v>1.0</v>
      </c>
    </row>
    <row r="385" ht="15.75" customHeight="1">
      <c r="A385" s="32" t="s">
        <v>2743</v>
      </c>
      <c r="B385" s="32">
        <v>1.0</v>
      </c>
    </row>
    <row r="386" ht="15.75" customHeight="1">
      <c r="A386" s="32" t="s">
        <v>3661</v>
      </c>
      <c r="B386" s="32">
        <v>1.0</v>
      </c>
    </row>
    <row r="387" ht="15.75" customHeight="1">
      <c r="A387" s="32" t="s">
        <v>1639</v>
      </c>
      <c r="B387" s="32">
        <v>1.0</v>
      </c>
    </row>
    <row r="388" ht="15.75" customHeight="1">
      <c r="A388" s="32" t="s">
        <v>705</v>
      </c>
      <c r="B388" s="32">
        <v>1.0</v>
      </c>
    </row>
    <row r="389" ht="15.75" customHeight="1">
      <c r="A389" s="32" t="s">
        <v>1380</v>
      </c>
      <c r="B389" s="32">
        <v>1.0</v>
      </c>
    </row>
    <row r="390" ht="15.75" customHeight="1">
      <c r="A390" s="32" t="s">
        <v>449</v>
      </c>
      <c r="B390" s="32">
        <v>1.0</v>
      </c>
    </row>
    <row r="391" ht="15.75" customHeight="1">
      <c r="A391" s="32" t="s">
        <v>1655</v>
      </c>
      <c r="B391" s="32">
        <v>1.0</v>
      </c>
    </row>
    <row r="392" ht="15.75" customHeight="1">
      <c r="A392" s="32" t="s">
        <v>2598</v>
      </c>
      <c r="B392" s="32">
        <v>1.0</v>
      </c>
    </row>
    <row r="393" ht="15.75" customHeight="1">
      <c r="A393" s="32" t="s">
        <v>204</v>
      </c>
      <c r="B393" s="32">
        <v>1.0</v>
      </c>
    </row>
    <row r="394" ht="15.75" customHeight="1">
      <c r="A394" s="32" t="s">
        <v>1883</v>
      </c>
      <c r="B394" s="32">
        <v>1.0</v>
      </c>
    </row>
    <row r="395" ht="15.75" customHeight="1">
      <c r="A395" s="32" t="s">
        <v>801</v>
      </c>
      <c r="B395" s="32">
        <v>1.0</v>
      </c>
    </row>
    <row r="396" ht="15.75" customHeight="1">
      <c r="A396" s="32" t="s">
        <v>3662</v>
      </c>
      <c r="B396" s="32">
        <v>1.0</v>
      </c>
    </row>
    <row r="397" ht="15.75" customHeight="1">
      <c r="A397" s="32" t="s">
        <v>3663</v>
      </c>
      <c r="B397" s="32">
        <v>1.0</v>
      </c>
    </row>
    <row r="398" ht="15.75" customHeight="1">
      <c r="A398" s="32" t="s">
        <v>3185</v>
      </c>
      <c r="B398" s="32">
        <v>1.0</v>
      </c>
    </row>
    <row r="399" ht="15.75" customHeight="1">
      <c r="A399" s="32" t="s">
        <v>3664</v>
      </c>
      <c r="B399" s="32">
        <v>1.0</v>
      </c>
    </row>
    <row r="400" ht="15.75" customHeight="1">
      <c r="A400" s="32" t="s">
        <v>755</v>
      </c>
      <c r="B400" s="32">
        <v>1.0</v>
      </c>
    </row>
    <row r="401" ht="15.75" customHeight="1">
      <c r="A401" s="32" t="s">
        <v>3665</v>
      </c>
      <c r="B401" s="32">
        <v>1.0</v>
      </c>
    </row>
    <row r="402" ht="15.75" customHeight="1">
      <c r="A402" s="32" t="s">
        <v>2637</v>
      </c>
      <c r="B402" s="32">
        <v>1.0</v>
      </c>
    </row>
    <row r="403" ht="15.75" customHeight="1">
      <c r="A403" s="32" t="s">
        <v>1386</v>
      </c>
      <c r="B403" s="32">
        <v>1.0</v>
      </c>
    </row>
    <row r="404" ht="15.75" customHeight="1">
      <c r="A404" s="32" t="s">
        <v>2645</v>
      </c>
      <c r="B404" s="32">
        <v>1.0</v>
      </c>
    </row>
    <row r="405" ht="15.75" customHeight="1">
      <c r="A405" s="32" t="s">
        <v>3170</v>
      </c>
      <c r="B405" s="32">
        <v>1.0</v>
      </c>
    </row>
    <row r="406" ht="15.75" customHeight="1">
      <c r="A406" s="32" t="s">
        <v>2648</v>
      </c>
      <c r="B406" s="32">
        <v>1.0</v>
      </c>
    </row>
    <row r="407" ht="15.75" customHeight="1">
      <c r="A407" s="32" t="s">
        <v>2123</v>
      </c>
      <c r="B407" s="32">
        <v>1.0</v>
      </c>
    </row>
    <row r="408" ht="15.75" customHeight="1">
      <c r="A408" s="32" t="s">
        <v>51</v>
      </c>
      <c r="B408" s="32">
        <v>1.0</v>
      </c>
    </row>
    <row r="409" ht="15.75" customHeight="1">
      <c r="A409" s="32" t="s">
        <v>2894</v>
      </c>
      <c r="B409" s="32">
        <v>1.0</v>
      </c>
    </row>
    <row r="410" ht="15.75" customHeight="1">
      <c r="A410" s="32" t="s">
        <v>3666</v>
      </c>
      <c r="B410" s="32">
        <v>1.0</v>
      </c>
    </row>
    <row r="411" ht="15.75" customHeight="1">
      <c r="A411" s="32" t="s">
        <v>3667</v>
      </c>
      <c r="B411" s="32">
        <v>1.0</v>
      </c>
    </row>
    <row r="412" ht="15.75" customHeight="1">
      <c r="A412" s="32" t="s">
        <v>925</v>
      </c>
      <c r="B412" s="32">
        <v>1.0</v>
      </c>
    </row>
    <row r="413" ht="15.75" customHeight="1">
      <c r="A413" s="32" t="s">
        <v>2922</v>
      </c>
      <c r="B413" s="32">
        <v>1.0</v>
      </c>
    </row>
    <row r="414" ht="15.75" customHeight="1">
      <c r="A414" s="32" t="s">
        <v>1086</v>
      </c>
      <c r="B414" s="32">
        <v>1.0</v>
      </c>
    </row>
    <row r="415" ht="15.75" customHeight="1">
      <c r="A415" s="32" t="s">
        <v>344</v>
      </c>
      <c r="B415" s="32">
        <v>1.0</v>
      </c>
    </row>
    <row r="416" ht="15.75" customHeight="1">
      <c r="A416" s="32" t="s">
        <v>1605</v>
      </c>
      <c r="B416" s="32">
        <v>1.0</v>
      </c>
    </row>
    <row r="417" ht="15.75" customHeight="1">
      <c r="A417" s="32" t="s">
        <v>3668</v>
      </c>
      <c r="B417" s="32">
        <v>1.0</v>
      </c>
    </row>
    <row r="418" ht="15.75" customHeight="1">
      <c r="A418" s="32" t="s">
        <v>2668</v>
      </c>
      <c r="B418" s="32">
        <v>1.0</v>
      </c>
    </row>
    <row r="419" ht="15.75" customHeight="1">
      <c r="A419" s="32" t="s">
        <v>208</v>
      </c>
      <c r="B419" s="32">
        <v>1.0</v>
      </c>
    </row>
    <row r="420" ht="15.75" customHeight="1">
      <c r="A420" s="32" t="s">
        <v>1608</v>
      </c>
      <c r="B420" s="32">
        <v>1.0</v>
      </c>
    </row>
    <row r="421" ht="15.75" customHeight="1">
      <c r="A421" s="32" t="s">
        <v>3019</v>
      </c>
      <c r="B421" s="32">
        <v>1.0</v>
      </c>
    </row>
    <row r="422" ht="15.75" customHeight="1">
      <c r="A422" s="32" t="s">
        <v>1613</v>
      </c>
      <c r="B422" s="32">
        <v>1.0</v>
      </c>
    </row>
    <row r="423" ht="15.75" customHeight="1">
      <c r="A423" s="32" t="s">
        <v>330</v>
      </c>
      <c r="B423" s="32">
        <v>1.0</v>
      </c>
    </row>
    <row r="424" ht="15.75" customHeight="1">
      <c r="A424" s="32" t="s">
        <v>2680</v>
      </c>
      <c r="B424" s="32">
        <v>1.0</v>
      </c>
    </row>
    <row r="425" ht="15.75" customHeight="1">
      <c r="A425" s="32" t="s">
        <v>627</v>
      </c>
      <c r="B425" s="32">
        <v>1.0</v>
      </c>
    </row>
    <row r="426" ht="15.75" customHeight="1">
      <c r="A426" s="32" t="s">
        <v>1616</v>
      </c>
      <c r="B426" s="32">
        <v>1.0</v>
      </c>
    </row>
    <row r="427" ht="15.75" customHeight="1">
      <c r="A427" s="32" t="s">
        <v>3528</v>
      </c>
      <c r="B427" s="32">
        <v>1.0</v>
      </c>
    </row>
    <row r="428" ht="15.75" customHeight="1">
      <c r="A428" s="32" t="s">
        <v>1619</v>
      </c>
      <c r="B428" s="32">
        <v>1.0</v>
      </c>
    </row>
    <row r="429" ht="15.75" customHeight="1">
      <c r="A429" s="32" t="s">
        <v>1771</v>
      </c>
      <c r="B429" s="32">
        <v>1.0</v>
      </c>
    </row>
    <row r="430" ht="15.75" customHeight="1">
      <c r="A430" s="32" t="s">
        <v>927</v>
      </c>
      <c r="B430" s="32">
        <v>1.0</v>
      </c>
    </row>
    <row r="431" ht="15.75" customHeight="1">
      <c r="A431" s="32" t="s">
        <v>3077</v>
      </c>
      <c r="B431" s="32">
        <v>1.0</v>
      </c>
    </row>
    <row r="432" ht="15.75" customHeight="1">
      <c r="A432" s="32" t="s">
        <v>930</v>
      </c>
      <c r="B432" s="32">
        <v>1.0</v>
      </c>
    </row>
    <row r="433" ht="15.75" customHeight="1">
      <c r="A433" s="32" t="s">
        <v>3669</v>
      </c>
      <c r="B433" s="32">
        <v>1.0</v>
      </c>
    </row>
    <row r="434" ht="15.75" customHeight="1">
      <c r="A434" s="32" t="s">
        <v>2710</v>
      </c>
      <c r="B434" s="32">
        <v>1.0</v>
      </c>
    </row>
    <row r="435" ht="15.75" customHeight="1">
      <c r="A435" s="32" t="s">
        <v>1799</v>
      </c>
      <c r="B435" s="32">
        <v>1.0</v>
      </c>
    </row>
    <row r="436" ht="15.75" customHeight="1">
      <c r="A436" s="32" t="s">
        <v>773</v>
      </c>
      <c r="B436" s="32">
        <v>1.0</v>
      </c>
    </row>
    <row r="437" ht="15.75" customHeight="1">
      <c r="A437" s="32" t="s">
        <v>367</v>
      </c>
      <c r="B437" s="32">
        <v>1.0</v>
      </c>
    </row>
    <row r="438" ht="15.75" customHeight="1">
      <c r="A438" s="32" t="s">
        <v>2067</v>
      </c>
      <c r="B438" s="32">
        <v>1.0</v>
      </c>
    </row>
    <row r="439" ht="15.75" customHeight="1">
      <c r="A439" s="32" t="s">
        <v>2720</v>
      </c>
      <c r="B439" s="32">
        <v>1.0</v>
      </c>
    </row>
    <row r="440" ht="15.75" customHeight="1">
      <c r="A440" s="32" t="s">
        <v>3670</v>
      </c>
      <c r="B440" s="32">
        <v>1.0</v>
      </c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71"/>
    <col customWidth="1" min="3" max="8" width="10.71"/>
    <col customWidth="1" min="9" max="9" width="16.71"/>
    <col customWidth="1" min="10" max="10" width="19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>
      <c r="I136" s="57"/>
      <c r="J136" s="56"/>
    </row>
    <row r="137" ht="14.25" customHeight="1">
      <c r="I137" s="57"/>
      <c r="J137" s="56"/>
    </row>
    <row r="138" ht="14.25" customHeight="1">
      <c r="I138" s="57"/>
      <c r="J138" s="56"/>
    </row>
    <row r="139" ht="14.25" customHeight="1">
      <c r="I139" s="57"/>
      <c r="J139" s="56"/>
    </row>
    <row r="140" ht="14.25" customHeight="1">
      <c r="I140" s="57"/>
      <c r="J140" s="56"/>
    </row>
    <row r="141" ht="14.25" customHeight="1">
      <c r="I141" s="57"/>
      <c r="J141" s="56"/>
    </row>
    <row r="142" ht="14.25" customHeight="1">
      <c r="I142" s="57"/>
      <c r="J142" s="56"/>
    </row>
    <row r="143" ht="14.25" customHeight="1">
      <c r="I143" s="57"/>
      <c r="J143" s="56"/>
    </row>
    <row r="144" ht="14.25" customHeight="1">
      <c r="I144" s="57"/>
      <c r="J144" s="56"/>
    </row>
    <row r="145" ht="14.25" customHeight="1">
      <c r="I145" s="58"/>
      <c r="J145" s="59"/>
    </row>
    <row r="146" ht="14.25" customHeight="1">
      <c r="I146" s="60"/>
      <c r="J146" s="61"/>
    </row>
    <row r="147" ht="14.25" customHeight="1">
      <c r="I147" s="62"/>
      <c r="J147" s="63"/>
    </row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6" width="10.71"/>
  </cols>
  <sheetData>
    <row r="1" ht="14.25" customHeight="1">
      <c r="A1" s="32" t="s">
        <v>27</v>
      </c>
    </row>
    <row r="2" ht="14.25" customHeight="1">
      <c r="A2" s="32" t="s">
        <v>3673</v>
      </c>
    </row>
    <row r="3" ht="14.25" customHeight="1">
      <c r="A3" s="32" t="s">
        <v>3674</v>
      </c>
    </row>
    <row r="4" ht="14.25" customHeight="1">
      <c r="A4" s="32" t="s">
        <v>3675</v>
      </c>
    </row>
    <row r="5" ht="14.25" customHeight="1">
      <c r="A5" s="32" t="s">
        <v>3676</v>
      </c>
    </row>
    <row r="6" ht="14.25" customHeight="1">
      <c r="A6" s="32" t="s">
        <v>3677</v>
      </c>
    </row>
    <row r="7" ht="14.25" customHeight="1">
      <c r="A7" s="32" t="s">
        <v>3678</v>
      </c>
    </row>
    <row r="8" ht="14.25" customHeight="1">
      <c r="A8" s="32" t="s">
        <v>3679</v>
      </c>
    </row>
    <row r="9" ht="14.25" customHeight="1">
      <c r="A9" s="32" t="s">
        <v>3680</v>
      </c>
    </row>
    <row r="10" ht="14.25" customHeight="1">
      <c r="A10" s="32" t="s">
        <v>3681</v>
      </c>
    </row>
    <row r="11" ht="14.25" customHeight="1">
      <c r="A11" s="32" t="s">
        <v>3682</v>
      </c>
    </row>
    <row r="12" ht="14.25" customHeight="1">
      <c r="A12" s="32" t="s">
        <v>3683</v>
      </c>
    </row>
    <row r="13" ht="14.25" customHeight="1">
      <c r="A13" s="32" t="s">
        <v>3684</v>
      </c>
    </row>
    <row r="14" ht="14.25" customHeight="1">
      <c r="A14" s="32" t="s">
        <v>3685</v>
      </c>
    </row>
    <row r="15" ht="14.25" customHeight="1">
      <c r="A15" s="32" t="s">
        <v>3686</v>
      </c>
    </row>
    <row r="16" ht="14.25" customHeight="1">
      <c r="A16" s="32" t="s">
        <v>3687</v>
      </c>
    </row>
    <row r="17" ht="14.25" customHeight="1">
      <c r="A17" s="32" t="s">
        <v>3688</v>
      </c>
    </row>
    <row r="18" ht="14.25" customHeight="1">
      <c r="A18" s="32" t="s">
        <v>3689</v>
      </c>
    </row>
    <row r="19" ht="14.25" customHeight="1">
      <c r="A19" s="32" t="s">
        <v>3690</v>
      </c>
    </row>
    <row r="20" ht="14.25" customHeight="1">
      <c r="A20" s="32" t="s">
        <v>3691</v>
      </c>
    </row>
    <row r="21" ht="14.25" customHeight="1">
      <c r="A21" s="32" t="s">
        <v>3692</v>
      </c>
    </row>
    <row r="22" ht="14.25" customHeight="1">
      <c r="A22" s="32" t="s">
        <v>3693</v>
      </c>
    </row>
    <row r="23" ht="14.25" customHeight="1">
      <c r="A23" s="32" t="s">
        <v>3694</v>
      </c>
    </row>
    <row r="24" ht="14.25" customHeight="1">
      <c r="A24" s="32" t="s">
        <v>3695</v>
      </c>
    </row>
    <row r="25" ht="14.25" customHeight="1">
      <c r="A25" s="32" t="s">
        <v>3696</v>
      </c>
    </row>
    <row r="26" ht="14.25" customHeight="1">
      <c r="A26" s="32" t="s">
        <v>3697</v>
      </c>
    </row>
    <row r="27" ht="14.25" customHeight="1">
      <c r="A27" s="32" t="s">
        <v>3698</v>
      </c>
    </row>
    <row r="28" ht="14.25" customHeight="1">
      <c r="A28" s="32" t="s">
        <v>3699</v>
      </c>
    </row>
    <row r="29" ht="14.25" customHeight="1">
      <c r="A29" s="32" t="s">
        <v>3700</v>
      </c>
    </row>
    <row r="30" ht="14.25" customHeight="1">
      <c r="A30" s="32" t="s">
        <v>3701</v>
      </c>
    </row>
    <row r="31" ht="14.25" customHeight="1">
      <c r="A31" s="32" t="s">
        <v>3702</v>
      </c>
    </row>
    <row r="32" ht="14.25" customHeight="1">
      <c r="A32" s="32" t="s">
        <v>3703</v>
      </c>
    </row>
    <row r="33" ht="14.25" customHeight="1">
      <c r="A33" s="32" t="s">
        <v>3704</v>
      </c>
    </row>
    <row r="34" ht="14.25" customHeight="1">
      <c r="A34" s="32" t="s">
        <v>3705</v>
      </c>
    </row>
    <row r="35" ht="14.25" customHeight="1">
      <c r="A35" s="32" t="s">
        <v>3706</v>
      </c>
    </row>
    <row r="36" ht="14.25" customHeight="1">
      <c r="A36" s="32" t="s">
        <v>3707</v>
      </c>
    </row>
    <row r="37" ht="14.25" customHeight="1">
      <c r="A37" s="32" t="s">
        <v>3708</v>
      </c>
    </row>
    <row r="38" ht="14.25" customHeight="1">
      <c r="A38" s="32" t="s">
        <v>3709</v>
      </c>
    </row>
    <row r="39" ht="14.25" customHeight="1">
      <c r="A39" s="32" t="s">
        <v>3710</v>
      </c>
    </row>
    <row r="40" ht="14.25" customHeight="1">
      <c r="A40" s="32" t="s">
        <v>3711</v>
      </c>
    </row>
    <row r="41" ht="14.25" customHeight="1">
      <c r="A41" s="32" t="s">
        <v>3712</v>
      </c>
    </row>
    <row r="42" ht="14.25" customHeight="1">
      <c r="A42" s="32" t="s">
        <v>3713</v>
      </c>
    </row>
    <row r="43" ht="14.25" customHeight="1">
      <c r="A43" s="32" t="s">
        <v>3714</v>
      </c>
    </row>
    <row r="44" ht="14.25" customHeight="1">
      <c r="A44" s="32" t="s">
        <v>3715</v>
      </c>
    </row>
    <row r="45" ht="14.25" customHeight="1">
      <c r="A45" s="32" t="s">
        <v>3716</v>
      </c>
    </row>
    <row r="46" ht="14.25" customHeight="1">
      <c r="A46" s="32" t="s">
        <v>3717</v>
      </c>
    </row>
    <row r="47" ht="14.25" customHeight="1">
      <c r="A47" s="32" t="s">
        <v>3718</v>
      </c>
    </row>
    <row r="48" ht="14.25" customHeight="1">
      <c r="A48" s="32" t="s">
        <v>3719</v>
      </c>
    </row>
    <row r="49" ht="14.25" customHeight="1">
      <c r="A49" s="32" t="s">
        <v>3720</v>
      </c>
    </row>
    <row r="50" ht="14.25" customHeight="1">
      <c r="A50" s="32" t="s">
        <v>3721</v>
      </c>
    </row>
    <row r="51" ht="14.25" customHeight="1">
      <c r="A51" s="32" t="s">
        <v>3722</v>
      </c>
    </row>
    <row r="52" ht="14.25" customHeight="1">
      <c r="A52" s="32" t="s">
        <v>3723</v>
      </c>
    </row>
    <row r="53" ht="14.25" customHeight="1">
      <c r="A53" s="32" t="s">
        <v>3724</v>
      </c>
    </row>
    <row r="54" ht="14.25" customHeight="1">
      <c r="A54" s="32" t="s">
        <v>3725</v>
      </c>
    </row>
    <row r="55" ht="14.25" customHeight="1">
      <c r="A55" s="32" t="s">
        <v>3726</v>
      </c>
    </row>
    <row r="56" ht="14.25" customHeight="1">
      <c r="A56" s="32" t="s">
        <v>3727</v>
      </c>
    </row>
    <row r="57" ht="14.25" customHeight="1">
      <c r="A57" s="32" t="s">
        <v>3728</v>
      </c>
    </row>
    <row r="58" ht="14.25" customHeight="1">
      <c r="A58" s="32" t="s">
        <v>3729</v>
      </c>
    </row>
    <row r="59" ht="14.25" customHeight="1">
      <c r="A59" s="32" t="s">
        <v>3730</v>
      </c>
    </row>
    <row r="60" ht="14.25" customHeight="1">
      <c r="A60" s="32" t="s">
        <v>3731</v>
      </c>
    </row>
    <row r="61" ht="14.25" customHeight="1">
      <c r="A61" s="32" t="s">
        <v>3732</v>
      </c>
    </row>
    <row r="62" ht="14.25" customHeight="1">
      <c r="A62" s="32" t="s">
        <v>3733</v>
      </c>
    </row>
    <row r="63" ht="14.25" customHeight="1">
      <c r="A63" s="32" t="s">
        <v>3734</v>
      </c>
    </row>
    <row r="64" ht="14.25" customHeight="1">
      <c r="A64" s="32" t="s">
        <v>3735</v>
      </c>
    </row>
    <row r="65" ht="14.25" customHeight="1">
      <c r="A65" s="32" t="s">
        <v>3736</v>
      </c>
    </row>
    <row r="66" ht="14.25" customHeight="1">
      <c r="A66" s="32" t="s">
        <v>3737</v>
      </c>
    </row>
    <row r="67" ht="14.25" customHeight="1">
      <c r="A67" s="32" t="s">
        <v>3738</v>
      </c>
    </row>
    <row r="68" ht="14.25" customHeight="1">
      <c r="A68" s="32" t="s">
        <v>3739</v>
      </c>
    </row>
    <row r="69" ht="14.25" customHeight="1">
      <c r="A69" s="32" t="s">
        <v>3740</v>
      </c>
    </row>
    <row r="70" ht="14.25" customHeight="1">
      <c r="A70" s="32" t="s">
        <v>3741</v>
      </c>
    </row>
    <row r="71" ht="14.25" customHeight="1">
      <c r="A71" s="32" t="s">
        <v>3742</v>
      </c>
    </row>
    <row r="72" ht="14.25" customHeight="1">
      <c r="A72" s="32" t="s">
        <v>3743</v>
      </c>
    </row>
    <row r="73" ht="14.25" customHeight="1">
      <c r="A73" s="32" t="s">
        <v>3744</v>
      </c>
    </row>
    <row r="74" ht="14.25" customHeight="1">
      <c r="A74" s="32" t="s">
        <v>3745</v>
      </c>
    </row>
    <row r="75" ht="14.25" customHeight="1">
      <c r="A75" s="32" t="s">
        <v>3746</v>
      </c>
    </row>
    <row r="76" ht="14.25" customHeight="1">
      <c r="A76" s="32" t="s">
        <v>3747</v>
      </c>
    </row>
    <row r="77" ht="14.25" customHeight="1">
      <c r="A77" s="32" t="s">
        <v>3748</v>
      </c>
    </row>
    <row r="78" ht="14.25" customHeight="1">
      <c r="A78" s="32" t="s">
        <v>3749</v>
      </c>
    </row>
    <row r="79" ht="14.25" customHeight="1">
      <c r="A79" s="32" t="s">
        <v>3750</v>
      </c>
    </row>
    <row r="80" ht="14.25" customHeight="1">
      <c r="A80" s="32" t="s">
        <v>3751</v>
      </c>
    </row>
    <row r="81" ht="14.25" customHeight="1">
      <c r="A81" s="32" t="s">
        <v>3752</v>
      </c>
    </row>
    <row r="82" ht="14.25" customHeight="1">
      <c r="A82" s="32" t="s">
        <v>3753</v>
      </c>
    </row>
    <row r="83" ht="14.25" customHeight="1">
      <c r="A83" s="32" t="s">
        <v>3754</v>
      </c>
    </row>
    <row r="84" ht="14.25" customHeight="1">
      <c r="A84" s="32" t="s">
        <v>3755</v>
      </c>
    </row>
    <row r="85" ht="14.25" customHeight="1">
      <c r="A85" s="32" t="s">
        <v>3756</v>
      </c>
    </row>
    <row r="86" ht="14.25" customHeight="1">
      <c r="A86" s="32" t="s">
        <v>3757</v>
      </c>
    </row>
    <row r="87" ht="14.25" customHeight="1">
      <c r="A87" s="32" t="s">
        <v>3758</v>
      </c>
    </row>
    <row r="88" ht="14.25" customHeight="1">
      <c r="A88" s="32" t="s">
        <v>3759</v>
      </c>
    </row>
    <row r="89" ht="14.25" customHeight="1">
      <c r="A89" s="32" t="s">
        <v>3760</v>
      </c>
    </row>
    <row r="90" ht="14.25" customHeight="1">
      <c r="A90" s="32" t="s">
        <v>3761</v>
      </c>
    </row>
    <row r="91" ht="14.25" customHeight="1">
      <c r="A91" s="32" t="s">
        <v>3762</v>
      </c>
    </row>
    <row r="92" ht="14.25" customHeight="1">
      <c r="A92" s="32" t="s">
        <v>3763</v>
      </c>
    </row>
    <row r="93" ht="14.25" customHeight="1">
      <c r="A93" s="32" t="s">
        <v>3764</v>
      </c>
    </row>
    <row r="94" ht="14.25" customHeight="1">
      <c r="A94" s="32" t="s">
        <v>3765</v>
      </c>
    </row>
    <row r="95" ht="14.25" customHeight="1">
      <c r="A95" s="32" t="s">
        <v>3766</v>
      </c>
    </row>
    <row r="96" ht="14.25" customHeight="1">
      <c r="A96" s="32" t="s">
        <v>3767</v>
      </c>
    </row>
    <row r="97" ht="14.25" customHeight="1">
      <c r="A97" s="32" t="s">
        <v>3768</v>
      </c>
    </row>
    <row r="98" ht="14.25" customHeight="1">
      <c r="A98" s="32" t="s">
        <v>3769</v>
      </c>
    </row>
    <row r="99" ht="14.25" customHeight="1">
      <c r="A99" s="32" t="s">
        <v>3770</v>
      </c>
    </row>
    <row r="100" ht="14.25" customHeight="1">
      <c r="A100" s="32" t="s">
        <v>3771</v>
      </c>
    </row>
    <row r="101" ht="14.25" customHeight="1">
      <c r="A101" s="32" t="s">
        <v>3772</v>
      </c>
    </row>
    <row r="102" ht="14.25" customHeight="1">
      <c r="A102" s="32" t="s">
        <v>3773</v>
      </c>
    </row>
    <row r="103" ht="14.25" customHeight="1">
      <c r="A103" s="32" t="s">
        <v>3774</v>
      </c>
    </row>
    <row r="104" ht="14.25" customHeight="1">
      <c r="A104" s="32" t="s">
        <v>3775</v>
      </c>
    </row>
    <row r="105" ht="14.25" customHeight="1">
      <c r="A105" s="32" t="s">
        <v>3776</v>
      </c>
    </row>
    <row r="106" ht="14.25" customHeight="1">
      <c r="A106" s="32" t="s">
        <v>3777</v>
      </c>
    </row>
    <row r="107" ht="14.25" customHeight="1">
      <c r="A107" s="32" t="s">
        <v>3778</v>
      </c>
    </row>
    <row r="108" ht="14.25" customHeight="1">
      <c r="A108" s="32" t="s">
        <v>3779</v>
      </c>
    </row>
    <row r="109" ht="14.25" customHeight="1">
      <c r="A109" s="32" t="s">
        <v>3780</v>
      </c>
    </row>
    <row r="110" ht="14.25" customHeight="1">
      <c r="A110" s="32" t="s">
        <v>3781</v>
      </c>
    </row>
    <row r="111" ht="14.25" customHeight="1">
      <c r="A111" s="32" t="s">
        <v>3782</v>
      </c>
    </row>
    <row r="112" ht="14.25" customHeight="1">
      <c r="A112" s="32" t="s">
        <v>3783</v>
      </c>
    </row>
    <row r="113" ht="14.25" customHeight="1">
      <c r="A113" s="32" t="s">
        <v>3784</v>
      </c>
    </row>
    <row r="114" ht="14.25" customHeight="1">
      <c r="A114" s="32" t="s">
        <v>3785</v>
      </c>
    </row>
    <row r="115" ht="14.25" customHeight="1">
      <c r="A115" s="32" t="s">
        <v>3786</v>
      </c>
    </row>
    <row r="116" ht="14.25" customHeight="1">
      <c r="A116" s="32" t="s">
        <v>3787</v>
      </c>
    </row>
    <row r="117" ht="14.25" customHeight="1">
      <c r="A117" s="32" t="s">
        <v>3788</v>
      </c>
    </row>
    <row r="118" ht="14.25" customHeight="1">
      <c r="A118" s="32" t="s">
        <v>3789</v>
      </c>
    </row>
    <row r="119" ht="14.25" customHeight="1">
      <c r="A119" s="32" t="s">
        <v>3790</v>
      </c>
    </row>
    <row r="120" ht="14.25" customHeight="1">
      <c r="A120" s="32" t="s">
        <v>3791</v>
      </c>
    </row>
    <row r="121" ht="14.25" customHeight="1">
      <c r="A121" s="32" t="s">
        <v>3792</v>
      </c>
    </row>
    <row r="122" ht="14.25" customHeight="1">
      <c r="A122" s="32" t="s">
        <v>3793</v>
      </c>
    </row>
    <row r="123" ht="14.25" customHeight="1">
      <c r="A123" s="32" t="s">
        <v>3794</v>
      </c>
    </row>
    <row r="124" ht="14.25" customHeight="1">
      <c r="A124" s="32" t="s">
        <v>3795</v>
      </c>
    </row>
    <row r="125" ht="14.25" customHeight="1">
      <c r="A125" s="32" t="s">
        <v>3796</v>
      </c>
    </row>
    <row r="126" ht="14.25" customHeight="1">
      <c r="A126" s="32" t="s">
        <v>3797</v>
      </c>
    </row>
    <row r="127" ht="14.25" customHeight="1">
      <c r="A127" s="32" t="s">
        <v>3798</v>
      </c>
    </row>
    <row r="128" ht="14.25" customHeight="1">
      <c r="A128" s="32" t="s">
        <v>3799</v>
      </c>
    </row>
    <row r="129" ht="14.25" customHeight="1">
      <c r="A129" s="32" t="s">
        <v>3800</v>
      </c>
    </row>
    <row r="130" ht="14.25" customHeight="1">
      <c r="A130" s="32" t="s">
        <v>3801</v>
      </c>
    </row>
    <row r="131" ht="14.25" customHeight="1">
      <c r="A131" s="32" t="s">
        <v>3802</v>
      </c>
    </row>
    <row r="132" ht="14.25" customHeight="1">
      <c r="A132" s="32" t="s">
        <v>3803</v>
      </c>
    </row>
    <row r="133" ht="14.25" customHeight="1">
      <c r="A133" s="32" t="s">
        <v>3804</v>
      </c>
    </row>
    <row r="134" ht="14.25" customHeight="1">
      <c r="A134" s="32" t="s">
        <v>3805</v>
      </c>
    </row>
    <row r="135" ht="14.25" customHeight="1">
      <c r="A135" s="32" t="s">
        <v>3806</v>
      </c>
    </row>
    <row r="136" ht="14.25" customHeight="1">
      <c r="A136" s="32" t="s">
        <v>3807</v>
      </c>
    </row>
    <row r="137" ht="14.25" customHeight="1">
      <c r="A137" s="32" t="s">
        <v>3808</v>
      </c>
    </row>
    <row r="138" ht="14.25" customHeight="1">
      <c r="A138" s="32" t="s">
        <v>3809</v>
      </c>
    </row>
    <row r="139" ht="14.25" customHeight="1">
      <c r="A139" s="32" t="s">
        <v>3810</v>
      </c>
    </row>
    <row r="140" ht="14.25" customHeight="1">
      <c r="A140" s="32" t="s">
        <v>3811</v>
      </c>
    </row>
    <row r="141" ht="14.25" customHeight="1">
      <c r="A141" s="32" t="s">
        <v>3812</v>
      </c>
    </row>
    <row r="142" ht="14.25" customHeight="1">
      <c r="A142" s="32" t="s">
        <v>3813</v>
      </c>
    </row>
    <row r="143" ht="14.25" customHeight="1">
      <c r="A143" s="32" t="s">
        <v>3814</v>
      </c>
    </row>
    <row r="144" ht="14.25" customHeight="1">
      <c r="A144" s="32" t="s">
        <v>3815</v>
      </c>
    </row>
    <row r="145" ht="14.25" customHeight="1">
      <c r="A145" s="32" t="s">
        <v>3816</v>
      </c>
    </row>
    <row r="146" ht="14.25" customHeight="1">
      <c r="A146" s="32" t="s">
        <v>3817</v>
      </c>
    </row>
    <row r="147" ht="14.25" customHeight="1">
      <c r="A147" s="32" t="s">
        <v>3818</v>
      </c>
    </row>
    <row r="148" ht="14.25" customHeight="1">
      <c r="A148" s="32" t="s">
        <v>3819</v>
      </c>
    </row>
    <row r="149" ht="14.25" customHeight="1">
      <c r="A149" s="32" t="s">
        <v>3820</v>
      </c>
    </row>
    <row r="150" ht="14.25" customHeight="1">
      <c r="A150" s="32" t="s">
        <v>3821</v>
      </c>
    </row>
    <row r="151" ht="14.25" customHeight="1">
      <c r="A151" s="32" t="s">
        <v>3822</v>
      </c>
    </row>
    <row r="152" ht="14.25" customHeight="1">
      <c r="A152" s="32" t="s">
        <v>3823</v>
      </c>
    </row>
    <row r="153" ht="14.25" customHeight="1">
      <c r="A153" s="32" t="s">
        <v>3824</v>
      </c>
    </row>
    <row r="154" ht="14.25" customHeight="1">
      <c r="A154" s="32" t="s">
        <v>3825</v>
      </c>
    </row>
    <row r="155" ht="14.25" customHeight="1">
      <c r="A155" s="32" t="s">
        <v>3826</v>
      </c>
    </row>
    <row r="156" ht="14.25" customHeight="1">
      <c r="A156" s="32" t="s">
        <v>3827</v>
      </c>
    </row>
    <row r="157" ht="14.25" customHeight="1">
      <c r="A157" s="32" t="s">
        <v>3828</v>
      </c>
    </row>
    <row r="158" ht="14.25" customHeight="1">
      <c r="A158" s="32" t="s">
        <v>3829</v>
      </c>
    </row>
    <row r="159" ht="14.25" customHeight="1">
      <c r="A159" s="32" t="s">
        <v>3830</v>
      </c>
    </row>
    <row r="160" ht="14.25" customHeight="1">
      <c r="A160" s="32" t="s">
        <v>3831</v>
      </c>
    </row>
    <row r="161" ht="14.25" customHeight="1">
      <c r="A161" s="32" t="s">
        <v>3832</v>
      </c>
    </row>
    <row r="162" ht="14.25" customHeight="1">
      <c r="A162" s="32" t="s">
        <v>3833</v>
      </c>
    </row>
    <row r="163" ht="14.25" customHeight="1">
      <c r="A163" s="32" t="s">
        <v>3834</v>
      </c>
    </row>
    <row r="164" ht="14.25" customHeight="1">
      <c r="A164" s="32" t="s">
        <v>3835</v>
      </c>
    </row>
    <row r="165" ht="14.25" customHeight="1">
      <c r="A165" s="32" t="s">
        <v>3836</v>
      </c>
    </row>
    <row r="166" ht="14.25" customHeight="1">
      <c r="A166" s="32" t="s">
        <v>3837</v>
      </c>
    </row>
    <row r="167" ht="14.25" customHeight="1">
      <c r="A167" s="32" t="s">
        <v>3838</v>
      </c>
    </row>
    <row r="168" ht="14.25" customHeight="1">
      <c r="A168" s="32" t="s">
        <v>3839</v>
      </c>
    </row>
    <row r="169" ht="14.25" customHeight="1">
      <c r="A169" s="32" t="s">
        <v>3840</v>
      </c>
    </row>
    <row r="170" ht="14.25" customHeight="1">
      <c r="A170" s="32" t="s">
        <v>3841</v>
      </c>
    </row>
    <row r="171" ht="14.25" customHeight="1">
      <c r="A171" s="32" t="s">
        <v>3842</v>
      </c>
    </row>
    <row r="172" ht="14.25" customHeight="1">
      <c r="A172" s="32" t="s">
        <v>3843</v>
      </c>
    </row>
    <row r="173" ht="14.25" customHeight="1">
      <c r="A173" s="32" t="s">
        <v>3844</v>
      </c>
    </row>
    <row r="174" ht="14.25" customHeight="1">
      <c r="A174" s="32" t="s">
        <v>3845</v>
      </c>
    </row>
    <row r="175" ht="14.25" customHeight="1">
      <c r="A175" s="32" t="s">
        <v>3846</v>
      </c>
    </row>
    <row r="176" ht="14.25" customHeight="1">
      <c r="A176" s="32" t="s">
        <v>3847</v>
      </c>
    </row>
    <row r="177" ht="14.25" customHeight="1">
      <c r="A177" s="32" t="s">
        <v>3848</v>
      </c>
    </row>
    <row r="178" ht="14.25" customHeight="1">
      <c r="A178" s="32" t="s">
        <v>3849</v>
      </c>
    </row>
    <row r="179" ht="14.25" customHeight="1">
      <c r="A179" s="32" t="s">
        <v>3850</v>
      </c>
    </row>
    <row r="180" ht="14.25" customHeight="1">
      <c r="A180" s="32" t="s">
        <v>3851</v>
      </c>
    </row>
    <row r="181" ht="14.25" customHeight="1">
      <c r="A181" s="32" t="s">
        <v>3852</v>
      </c>
    </row>
    <row r="182" ht="14.25" customHeight="1">
      <c r="A182" s="32" t="s">
        <v>3853</v>
      </c>
    </row>
    <row r="183" ht="14.25" customHeight="1">
      <c r="A183" s="32" t="s">
        <v>3854</v>
      </c>
    </row>
    <row r="184" ht="14.25" customHeight="1">
      <c r="A184" s="32" t="s">
        <v>3855</v>
      </c>
    </row>
    <row r="185" ht="14.25" customHeight="1">
      <c r="A185" s="32" t="s">
        <v>3856</v>
      </c>
    </row>
    <row r="186" ht="14.25" customHeight="1">
      <c r="A186" s="32" t="s">
        <v>3857</v>
      </c>
    </row>
    <row r="187" ht="14.25" customHeight="1">
      <c r="A187" s="32" t="s">
        <v>3858</v>
      </c>
    </row>
    <row r="188" ht="14.25" customHeight="1">
      <c r="A188" s="32" t="s">
        <v>3859</v>
      </c>
    </row>
    <row r="189" ht="14.25" customHeight="1">
      <c r="A189" s="32" t="s">
        <v>3860</v>
      </c>
    </row>
    <row r="190" ht="14.25" customHeight="1">
      <c r="A190" s="32" t="s">
        <v>3861</v>
      </c>
    </row>
    <row r="191" ht="14.25" customHeight="1">
      <c r="A191" s="32" t="s">
        <v>3862</v>
      </c>
    </row>
    <row r="192" ht="14.25" customHeight="1">
      <c r="A192" s="32" t="s">
        <v>3863</v>
      </c>
    </row>
    <row r="193" ht="14.25" customHeight="1">
      <c r="A193" s="32" t="s">
        <v>3864</v>
      </c>
    </row>
    <row r="194" ht="14.25" customHeight="1">
      <c r="A194" s="32" t="s">
        <v>3865</v>
      </c>
    </row>
    <row r="195" ht="14.25" customHeight="1">
      <c r="A195" s="32" t="s">
        <v>3866</v>
      </c>
    </row>
    <row r="196" ht="14.25" customHeight="1">
      <c r="A196" s="32" t="s">
        <v>3867</v>
      </c>
    </row>
    <row r="197" ht="14.25" customHeight="1">
      <c r="A197" s="32" t="s">
        <v>3868</v>
      </c>
    </row>
    <row r="198" ht="14.25" customHeight="1">
      <c r="A198" s="32" t="s">
        <v>3869</v>
      </c>
    </row>
    <row r="199" ht="14.25" customHeight="1">
      <c r="A199" s="32" t="s">
        <v>3870</v>
      </c>
    </row>
    <row r="200" ht="14.25" customHeight="1">
      <c r="A200" s="32" t="s">
        <v>3871</v>
      </c>
    </row>
    <row r="201" ht="14.25" customHeight="1">
      <c r="A201" s="32" t="s">
        <v>3872</v>
      </c>
    </row>
    <row r="202" ht="14.25" customHeight="1">
      <c r="A202" s="32" t="s">
        <v>3873</v>
      </c>
    </row>
    <row r="203" ht="14.25" customHeight="1">
      <c r="A203" s="32" t="s">
        <v>3874</v>
      </c>
    </row>
    <row r="204" ht="14.25" customHeight="1">
      <c r="A204" s="32" t="s">
        <v>3875</v>
      </c>
    </row>
    <row r="205" ht="14.25" customHeight="1">
      <c r="A205" s="32" t="s">
        <v>3876</v>
      </c>
    </row>
    <row r="206" ht="14.25" customHeight="1">
      <c r="A206" s="32" t="s">
        <v>3877</v>
      </c>
    </row>
    <row r="207" ht="14.25" customHeight="1">
      <c r="A207" s="32" t="s">
        <v>3878</v>
      </c>
    </row>
    <row r="208" ht="14.25" customHeight="1">
      <c r="A208" s="32" t="s">
        <v>3879</v>
      </c>
    </row>
    <row r="209" ht="14.25" customHeight="1">
      <c r="A209" s="32" t="s">
        <v>3880</v>
      </c>
    </row>
    <row r="210" ht="14.25" customHeight="1">
      <c r="A210" s="32" t="s">
        <v>3881</v>
      </c>
    </row>
    <row r="211" ht="14.25" customHeight="1">
      <c r="A211" s="32" t="s">
        <v>3882</v>
      </c>
    </row>
    <row r="212" ht="14.25" customHeight="1">
      <c r="A212" s="32" t="s">
        <v>3883</v>
      </c>
    </row>
    <row r="213" ht="14.25" customHeight="1">
      <c r="A213" s="32" t="s">
        <v>3884</v>
      </c>
    </row>
    <row r="214" ht="14.25" customHeight="1">
      <c r="A214" s="32" t="s">
        <v>3885</v>
      </c>
    </row>
    <row r="215" ht="14.25" customHeight="1">
      <c r="A215" s="32" t="s">
        <v>3886</v>
      </c>
    </row>
    <row r="216" ht="14.25" customHeight="1">
      <c r="A216" s="32" t="s">
        <v>3887</v>
      </c>
    </row>
    <row r="217" ht="14.25" customHeight="1">
      <c r="A217" s="32" t="s">
        <v>3888</v>
      </c>
    </row>
    <row r="218" ht="14.25" customHeight="1">
      <c r="A218" s="32" t="s">
        <v>3889</v>
      </c>
    </row>
    <row r="219" ht="14.25" customHeight="1">
      <c r="A219" s="32" t="s">
        <v>3890</v>
      </c>
    </row>
    <row r="220" ht="14.25" customHeight="1">
      <c r="A220" s="32" t="s">
        <v>3891</v>
      </c>
    </row>
    <row r="221" ht="14.25" customHeight="1">
      <c r="A221" s="32" t="s">
        <v>3892</v>
      </c>
    </row>
    <row r="222" ht="14.25" customHeight="1">
      <c r="A222" s="32" t="s">
        <v>3893</v>
      </c>
    </row>
    <row r="223" ht="14.25" customHeight="1">
      <c r="A223" s="32" t="s">
        <v>3894</v>
      </c>
    </row>
    <row r="224" ht="14.25" customHeight="1">
      <c r="A224" s="32" t="s">
        <v>3895</v>
      </c>
    </row>
    <row r="225" ht="14.25" customHeight="1">
      <c r="A225" s="32" t="s">
        <v>3896</v>
      </c>
    </row>
    <row r="226" ht="14.25" customHeight="1">
      <c r="A226" s="32" t="s">
        <v>3897</v>
      </c>
    </row>
    <row r="227" ht="14.25" customHeight="1">
      <c r="A227" s="32" t="s">
        <v>3898</v>
      </c>
    </row>
    <row r="228" ht="14.25" customHeight="1">
      <c r="A228" s="32" t="s">
        <v>3899</v>
      </c>
    </row>
    <row r="229" ht="14.25" customHeight="1">
      <c r="A229" s="32" t="s">
        <v>3900</v>
      </c>
    </row>
    <row r="230" ht="14.25" customHeight="1">
      <c r="A230" s="32" t="s">
        <v>3901</v>
      </c>
    </row>
    <row r="231" ht="14.25" customHeight="1">
      <c r="A231" s="32" t="s">
        <v>3902</v>
      </c>
    </row>
    <row r="232" ht="14.25" customHeight="1">
      <c r="A232" s="32" t="s">
        <v>3903</v>
      </c>
    </row>
    <row r="233" ht="14.25" customHeight="1">
      <c r="A233" s="32" t="s">
        <v>3904</v>
      </c>
    </row>
    <row r="234" ht="14.25" customHeight="1">
      <c r="A234" s="32" t="s">
        <v>3905</v>
      </c>
    </row>
    <row r="235" ht="14.25" customHeight="1">
      <c r="A235" s="32" t="s">
        <v>3906</v>
      </c>
    </row>
    <row r="236" ht="14.25" customHeight="1">
      <c r="A236" s="32" t="s">
        <v>3907</v>
      </c>
    </row>
    <row r="237" ht="14.25" customHeight="1">
      <c r="A237" s="32" t="s">
        <v>3908</v>
      </c>
    </row>
    <row r="238" ht="14.25" customHeight="1">
      <c r="A238" s="32" t="s">
        <v>3909</v>
      </c>
    </row>
    <row r="239" ht="14.25" customHeight="1">
      <c r="A239" s="32" t="s">
        <v>3910</v>
      </c>
    </row>
    <row r="240" ht="14.25" customHeight="1">
      <c r="A240" s="32" t="s">
        <v>3911</v>
      </c>
    </row>
    <row r="241" ht="14.25" customHeight="1">
      <c r="A241" s="32" t="s">
        <v>3912</v>
      </c>
    </row>
    <row r="242" ht="14.25" customHeight="1">
      <c r="A242" s="32" t="s">
        <v>3913</v>
      </c>
    </row>
    <row r="243" ht="14.25" customHeight="1">
      <c r="A243" s="32" t="s">
        <v>3914</v>
      </c>
    </row>
    <row r="244" ht="14.25" customHeight="1">
      <c r="A244" s="32" t="s">
        <v>3915</v>
      </c>
    </row>
    <row r="245" ht="14.25" customHeight="1">
      <c r="A245" s="32" t="s">
        <v>3916</v>
      </c>
    </row>
    <row r="246" ht="14.25" customHeight="1">
      <c r="A246" s="32" t="s">
        <v>3917</v>
      </c>
    </row>
    <row r="247" ht="14.25" customHeight="1">
      <c r="A247" s="32" t="s">
        <v>3918</v>
      </c>
    </row>
    <row r="248" ht="14.25" customHeight="1">
      <c r="A248" s="32" t="s">
        <v>3919</v>
      </c>
    </row>
    <row r="249" ht="14.25" customHeight="1">
      <c r="A249" s="32" t="s">
        <v>3920</v>
      </c>
    </row>
    <row r="250" ht="14.25" customHeight="1">
      <c r="A250" s="32" t="s">
        <v>3921</v>
      </c>
    </row>
    <row r="251" ht="14.25" customHeight="1">
      <c r="A251" s="32" t="s">
        <v>3922</v>
      </c>
    </row>
    <row r="252" ht="14.25" customHeight="1">
      <c r="A252" s="32" t="s">
        <v>3923</v>
      </c>
    </row>
    <row r="253" ht="14.25" customHeight="1">
      <c r="A253" s="32" t="s">
        <v>3924</v>
      </c>
    </row>
    <row r="254" ht="14.25" customHeight="1">
      <c r="A254" s="32" t="s">
        <v>3925</v>
      </c>
    </row>
    <row r="255" ht="14.25" customHeight="1">
      <c r="A255" s="32" t="s">
        <v>3926</v>
      </c>
    </row>
    <row r="256" ht="14.25" customHeight="1">
      <c r="A256" s="32" t="s">
        <v>3927</v>
      </c>
    </row>
    <row r="257" ht="14.25" customHeight="1">
      <c r="A257" s="32" t="s">
        <v>3928</v>
      </c>
    </row>
    <row r="258" ht="14.25" customHeight="1">
      <c r="A258" s="32" t="s">
        <v>3929</v>
      </c>
    </row>
    <row r="259" ht="14.25" customHeight="1">
      <c r="A259" s="32" t="s">
        <v>3930</v>
      </c>
    </row>
    <row r="260" ht="14.25" customHeight="1">
      <c r="A260" s="32" t="s">
        <v>3931</v>
      </c>
    </row>
    <row r="261" ht="14.25" customHeight="1">
      <c r="A261" s="32" t="s">
        <v>3932</v>
      </c>
    </row>
    <row r="262" ht="14.25" customHeight="1">
      <c r="A262" s="32" t="s">
        <v>3933</v>
      </c>
    </row>
    <row r="263" ht="14.25" customHeight="1">
      <c r="A263" s="32" t="s">
        <v>3934</v>
      </c>
    </row>
    <row r="264" ht="14.25" customHeight="1">
      <c r="A264" s="32" t="s">
        <v>3935</v>
      </c>
    </row>
    <row r="265" ht="14.25" customHeight="1">
      <c r="A265" s="32" t="s">
        <v>3936</v>
      </c>
    </row>
    <row r="266" ht="14.25" customHeight="1">
      <c r="A266" s="32" t="s">
        <v>3937</v>
      </c>
    </row>
    <row r="267" ht="14.25" customHeight="1">
      <c r="A267" s="32" t="s">
        <v>3938</v>
      </c>
    </row>
    <row r="268" ht="14.25" customHeight="1">
      <c r="A268" s="32" t="s">
        <v>3939</v>
      </c>
    </row>
    <row r="269" ht="14.25" customHeight="1">
      <c r="A269" s="32" t="s">
        <v>3940</v>
      </c>
    </row>
    <row r="270" ht="14.25" customHeight="1">
      <c r="A270" s="32" t="s">
        <v>3941</v>
      </c>
    </row>
    <row r="271" ht="14.25" customHeight="1">
      <c r="A271" s="32" t="s">
        <v>3942</v>
      </c>
    </row>
    <row r="272" ht="14.25" customHeight="1">
      <c r="A272" s="32" t="s">
        <v>3943</v>
      </c>
    </row>
    <row r="273" ht="14.25" customHeight="1">
      <c r="A273" s="32" t="s">
        <v>3944</v>
      </c>
    </row>
    <row r="274" ht="14.25" customHeight="1">
      <c r="A274" s="32" t="s">
        <v>3945</v>
      </c>
    </row>
    <row r="275" ht="14.25" customHeight="1">
      <c r="A275" s="32" t="s">
        <v>3946</v>
      </c>
    </row>
    <row r="276" ht="14.25" customHeight="1">
      <c r="A276" s="32" t="s">
        <v>3947</v>
      </c>
    </row>
    <row r="277" ht="14.25" customHeight="1">
      <c r="A277" s="32" t="s">
        <v>3948</v>
      </c>
    </row>
    <row r="278" ht="14.25" customHeight="1">
      <c r="A278" s="32" t="s">
        <v>3949</v>
      </c>
    </row>
    <row r="279" ht="14.25" customHeight="1">
      <c r="A279" s="32" t="s">
        <v>3950</v>
      </c>
    </row>
    <row r="280" ht="14.25" customHeight="1">
      <c r="A280" s="32" t="s">
        <v>3951</v>
      </c>
    </row>
    <row r="281" ht="14.25" customHeight="1">
      <c r="A281" s="32" t="s">
        <v>3952</v>
      </c>
    </row>
    <row r="282" ht="14.25" customHeight="1">
      <c r="A282" s="32" t="s">
        <v>3953</v>
      </c>
    </row>
    <row r="283" ht="14.25" customHeight="1">
      <c r="A283" s="32" t="s">
        <v>3954</v>
      </c>
    </row>
    <row r="284" ht="14.25" customHeight="1">
      <c r="A284" s="32" t="s">
        <v>3955</v>
      </c>
    </row>
    <row r="285" ht="14.25" customHeight="1">
      <c r="A285" s="32" t="s">
        <v>3956</v>
      </c>
    </row>
    <row r="286" ht="14.25" customHeight="1">
      <c r="A286" s="32" t="s">
        <v>3957</v>
      </c>
    </row>
    <row r="287" ht="14.25" customHeight="1">
      <c r="A287" s="32" t="s">
        <v>3958</v>
      </c>
    </row>
    <row r="288" ht="14.25" customHeight="1">
      <c r="A288" s="32" t="s">
        <v>3959</v>
      </c>
    </row>
    <row r="289" ht="14.25" customHeight="1">
      <c r="A289" s="32" t="s">
        <v>3960</v>
      </c>
    </row>
    <row r="290" ht="14.25" customHeight="1">
      <c r="A290" s="32" t="s">
        <v>3961</v>
      </c>
    </row>
    <row r="291" ht="14.25" customHeight="1">
      <c r="A291" s="32" t="s">
        <v>3962</v>
      </c>
    </row>
    <row r="292" ht="14.25" customHeight="1">
      <c r="A292" s="32" t="s">
        <v>3963</v>
      </c>
    </row>
    <row r="293" ht="14.25" customHeight="1">
      <c r="A293" s="32" t="s">
        <v>3964</v>
      </c>
    </row>
    <row r="294" ht="14.25" customHeight="1">
      <c r="A294" s="32" t="s">
        <v>3965</v>
      </c>
    </row>
    <row r="295" ht="14.25" customHeight="1">
      <c r="A295" s="32" t="s">
        <v>3966</v>
      </c>
    </row>
    <row r="296" ht="14.25" customHeight="1">
      <c r="A296" s="32" t="s">
        <v>3967</v>
      </c>
    </row>
    <row r="297" ht="14.25" customHeight="1">
      <c r="A297" s="32" t="s">
        <v>3968</v>
      </c>
    </row>
    <row r="298" ht="14.25" customHeight="1">
      <c r="A298" s="32" t="s">
        <v>3969</v>
      </c>
    </row>
    <row r="299" ht="14.25" customHeight="1">
      <c r="A299" s="32" t="s">
        <v>3970</v>
      </c>
    </row>
    <row r="300" ht="14.25" customHeight="1">
      <c r="A300" s="32" t="s">
        <v>3971</v>
      </c>
    </row>
    <row r="301" ht="14.25" customHeight="1">
      <c r="A301" s="32" t="s">
        <v>3972</v>
      </c>
    </row>
    <row r="302" ht="14.25" customHeight="1">
      <c r="A302" s="32" t="s">
        <v>3973</v>
      </c>
    </row>
    <row r="303" ht="14.25" customHeight="1">
      <c r="A303" s="32" t="s">
        <v>3974</v>
      </c>
    </row>
    <row r="304" ht="14.25" customHeight="1">
      <c r="A304" s="32" t="s">
        <v>3975</v>
      </c>
    </row>
    <row r="305" ht="14.25" customHeight="1">
      <c r="A305" s="32" t="s">
        <v>3976</v>
      </c>
    </row>
    <row r="306" ht="14.25" customHeight="1">
      <c r="A306" s="32" t="s">
        <v>3977</v>
      </c>
    </row>
    <row r="307" ht="14.25" customHeight="1">
      <c r="A307" s="32" t="s">
        <v>3978</v>
      </c>
    </row>
    <row r="308" ht="14.25" customHeight="1">
      <c r="A308" s="32" t="s">
        <v>3979</v>
      </c>
    </row>
    <row r="309" ht="14.25" customHeight="1">
      <c r="A309" s="32" t="s">
        <v>3980</v>
      </c>
    </row>
    <row r="310" ht="14.25" customHeight="1">
      <c r="A310" s="32" t="s">
        <v>3981</v>
      </c>
    </row>
    <row r="311" ht="14.25" customHeight="1">
      <c r="A311" s="32" t="s">
        <v>3982</v>
      </c>
    </row>
    <row r="312" ht="14.25" customHeight="1">
      <c r="A312" s="32" t="s">
        <v>3983</v>
      </c>
    </row>
    <row r="313" ht="14.25" customHeight="1">
      <c r="A313" s="32" t="s">
        <v>3984</v>
      </c>
    </row>
    <row r="314" ht="14.25" customHeight="1">
      <c r="A314" s="32" t="s">
        <v>3985</v>
      </c>
    </row>
    <row r="315" ht="14.25" customHeight="1">
      <c r="A315" s="32" t="s">
        <v>3986</v>
      </c>
    </row>
    <row r="316" ht="14.25" customHeight="1">
      <c r="A316" s="32" t="s">
        <v>3987</v>
      </c>
    </row>
    <row r="317" ht="14.25" customHeight="1">
      <c r="A317" s="32" t="s">
        <v>3988</v>
      </c>
    </row>
    <row r="318" ht="14.25" customHeight="1">
      <c r="A318" s="32" t="s">
        <v>3989</v>
      </c>
    </row>
    <row r="319" ht="14.25" customHeight="1">
      <c r="A319" s="32" t="s">
        <v>3990</v>
      </c>
    </row>
    <row r="320" ht="14.25" customHeight="1">
      <c r="A320" s="32" t="s">
        <v>3991</v>
      </c>
    </row>
    <row r="321" ht="14.25" customHeight="1">
      <c r="A321" s="32" t="s">
        <v>3992</v>
      </c>
    </row>
    <row r="322" ht="14.25" customHeight="1">
      <c r="A322" s="32" t="s">
        <v>3993</v>
      </c>
    </row>
    <row r="323" ht="14.25" customHeight="1">
      <c r="A323" s="32" t="s">
        <v>3994</v>
      </c>
    </row>
    <row r="324" ht="14.25" customHeight="1">
      <c r="A324" s="32" t="s">
        <v>3995</v>
      </c>
    </row>
    <row r="325" ht="14.25" customHeight="1">
      <c r="A325" s="32" t="s">
        <v>3996</v>
      </c>
    </row>
    <row r="326" ht="14.25" customHeight="1">
      <c r="A326" s="32" t="s">
        <v>3997</v>
      </c>
    </row>
    <row r="327" ht="14.25" customHeight="1">
      <c r="A327" s="32" t="s">
        <v>3998</v>
      </c>
    </row>
    <row r="328" ht="14.25" customHeight="1">
      <c r="A328" s="32" t="s">
        <v>3999</v>
      </c>
    </row>
    <row r="329" ht="14.25" customHeight="1">
      <c r="A329" s="32" t="s">
        <v>4000</v>
      </c>
    </row>
    <row r="330" ht="14.25" customHeight="1">
      <c r="A330" s="32" t="s">
        <v>4001</v>
      </c>
    </row>
    <row r="331" ht="14.25" customHeight="1">
      <c r="A331" s="32" t="s">
        <v>4002</v>
      </c>
    </row>
    <row r="332" ht="14.25" customHeight="1">
      <c r="A332" s="32" t="s">
        <v>4003</v>
      </c>
    </row>
    <row r="333" ht="14.25" customHeight="1">
      <c r="A333" s="32" t="s">
        <v>4004</v>
      </c>
    </row>
    <row r="334" ht="14.25" customHeight="1">
      <c r="A334" s="32" t="s">
        <v>4005</v>
      </c>
    </row>
    <row r="335" ht="14.25" customHeight="1">
      <c r="A335" s="32" t="s">
        <v>4006</v>
      </c>
    </row>
    <row r="336" ht="14.25" customHeight="1">
      <c r="A336" s="32" t="s">
        <v>4007</v>
      </c>
    </row>
    <row r="337" ht="14.25" customHeight="1">
      <c r="A337" s="32" t="s">
        <v>4008</v>
      </c>
    </row>
    <row r="338" ht="14.25" customHeight="1">
      <c r="A338" s="32" t="s">
        <v>4009</v>
      </c>
    </row>
    <row r="339" ht="14.25" customHeight="1">
      <c r="A339" s="32" t="s">
        <v>4010</v>
      </c>
    </row>
    <row r="340" ht="14.25" customHeight="1">
      <c r="A340" s="32" t="s">
        <v>4011</v>
      </c>
    </row>
    <row r="341" ht="14.25" customHeight="1">
      <c r="A341" s="32" t="s">
        <v>4012</v>
      </c>
    </row>
    <row r="342" ht="14.25" customHeight="1">
      <c r="A342" s="32" t="s">
        <v>4013</v>
      </c>
    </row>
    <row r="343" ht="14.25" customHeight="1">
      <c r="A343" s="32" t="s">
        <v>4014</v>
      </c>
    </row>
    <row r="344" ht="14.25" customHeight="1">
      <c r="A344" s="32" t="s">
        <v>4015</v>
      </c>
    </row>
    <row r="345" ht="14.25" customHeight="1">
      <c r="A345" s="32" t="s">
        <v>4016</v>
      </c>
    </row>
    <row r="346" ht="14.25" customHeight="1">
      <c r="A346" s="32" t="s">
        <v>4017</v>
      </c>
    </row>
    <row r="347" ht="14.25" customHeight="1">
      <c r="A347" s="32" t="s">
        <v>4018</v>
      </c>
    </row>
    <row r="348" ht="14.25" customHeight="1">
      <c r="A348" s="32" t="s">
        <v>4019</v>
      </c>
    </row>
    <row r="349" ht="14.25" customHeight="1">
      <c r="A349" s="32" t="s">
        <v>4020</v>
      </c>
    </row>
    <row r="350" ht="14.25" customHeight="1">
      <c r="A350" s="32" t="s">
        <v>4021</v>
      </c>
    </row>
    <row r="351" ht="14.25" customHeight="1">
      <c r="A351" s="32" t="s">
        <v>4022</v>
      </c>
    </row>
    <row r="352" ht="14.25" customHeight="1">
      <c r="A352" s="32" t="s">
        <v>4023</v>
      </c>
    </row>
    <row r="353" ht="14.25" customHeight="1">
      <c r="A353" s="32" t="s">
        <v>4024</v>
      </c>
    </row>
    <row r="354" ht="14.25" customHeight="1">
      <c r="A354" s="32" t="s">
        <v>4025</v>
      </c>
    </row>
    <row r="355" ht="14.25" customHeight="1">
      <c r="A355" s="32" t="s">
        <v>4026</v>
      </c>
    </row>
    <row r="356" ht="14.25" customHeight="1">
      <c r="A356" s="32" t="s">
        <v>4027</v>
      </c>
    </row>
    <row r="357" ht="14.25" customHeight="1">
      <c r="A357" s="32" t="s">
        <v>4028</v>
      </c>
    </row>
    <row r="358" ht="14.25" customHeight="1">
      <c r="A358" s="32" t="s">
        <v>4029</v>
      </c>
    </row>
    <row r="359" ht="14.25" customHeight="1">
      <c r="A359" s="32" t="s">
        <v>4030</v>
      </c>
    </row>
    <row r="360" ht="14.25" customHeight="1">
      <c r="A360" s="32" t="s">
        <v>4031</v>
      </c>
    </row>
    <row r="361" ht="14.25" customHeight="1">
      <c r="A361" s="32" t="s">
        <v>4032</v>
      </c>
    </row>
    <row r="362" ht="14.25" customHeight="1">
      <c r="A362" s="32" t="s">
        <v>4033</v>
      </c>
    </row>
    <row r="363" ht="14.25" customHeight="1">
      <c r="A363" s="32" t="s">
        <v>4034</v>
      </c>
    </row>
    <row r="364" ht="14.25" customHeight="1">
      <c r="A364" s="32" t="s">
        <v>4035</v>
      </c>
    </row>
    <row r="365" ht="14.25" customHeight="1">
      <c r="A365" s="32" t="s">
        <v>4036</v>
      </c>
    </row>
    <row r="366" ht="14.25" customHeight="1">
      <c r="A366" s="32" t="s">
        <v>4037</v>
      </c>
    </row>
    <row r="367" ht="14.25" customHeight="1">
      <c r="A367" s="32" t="s">
        <v>4038</v>
      </c>
    </row>
    <row r="368" ht="14.25" customHeight="1">
      <c r="A368" s="32" t="s">
        <v>4039</v>
      </c>
    </row>
    <row r="369" ht="14.25" customHeight="1">
      <c r="A369" s="32" t="s">
        <v>4040</v>
      </c>
    </row>
    <row r="370" ht="14.25" customHeight="1">
      <c r="A370" s="32" t="s">
        <v>4041</v>
      </c>
    </row>
    <row r="371" ht="14.25" customHeight="1">
      <c r="A371" s="32" t="s">
        <v>4042</v>
      </c>
    </row>
    <row r="372" ht="14.25" customHeight="1">
      <c r="A372" s="32" t="s">
        <v>4043</v>
      </c>
    </row>
    <row r="373" ht="14.25" customHeight="1">
      <c r="A373" s="32" t="s">
        <v>4044</v>
      </c>
    </row>
    <row r="374" ht="14.25" customHeight="1">
      <c r="A374" s="32" t="s">
        <v>4045</v>
      </c>
    </row>
    <row r="375" ht="14.25" customHeight="1">
      <c r="A375" s="32" t="s">
        <v>4046</v>
      </c>
    </row>
    <row r="376" ht="14.25" customHeight="1">
      <c r="A376" s="32" t="s">
        <v>4047</v>
      </c>
    </row>
    <row r="377" ht="14.25" customHeight="1">
      <c r="A377" s="32" t="s">
        <v>4048</v>
      </c>
    </row>
    <row r="378" ht="14.25" customHeight="1">
      <c r="A378" s="32" t="s">
        <v>4049</v>
      </c>
    </row>
    <row r="379" ht="14.25" customHeight="1">
      <c r="A379" s="32" t="s">
        <v>4050</v>
      </c>
    </row>
    <row r="380" ht="14.25" customHeight="1">
      <c r="A380" s="32" t="s">
        <v>4051</v>
      </c>
    </row>
    <row r="381" ht="14.25" customHeight="1">
      <c r="A381" s="32" t="s">
        <v>4052</v>
      </c>
    </row>
    <row r="382" ht="14.25" customHeight="1">
      <c r="A382" s="32" t="s">
        <v>4053</v>
      </c>
    </row>
    <row r="383" ht="14.25" customHeight="1">
      <c r="A383" s="32" t="s">
        <v>4054</v>
      </c>
    </row>
    <row r="384" ht="14.25" customHeight="1">
      <c r="A384" s="32" t="s">
        <v>4055</v>
      </c>
    </row>
    <row r="385" ht="14.25" customHeight="1">
      <c r="A385" s="32" t="s">
        <v>4056</v>
      </c>
    </row>
    <row r="386" ht="14.25" customHeight="1">
      <c r="A386" s="32" t="s">
        <v>4057</v>
      </c>
    </row>
    <row r="387" ht="14.25" customHeight="1">
      <c r="A387" s="32" t="s">
        <v>4058</v>
      </c>
    </row>
    <row r="388" ht="14.25" customHeight="1">
      <c r="A388" s="32" t="s">
        <v>4059</v>
      </c>
    </row>
    <row r="389" ht="14.25" customHeight="1">
      <c r="A389" s="32" t="s">
        <v>4060</v>
      </c>
    </row>
    <row r="390" ht="14.25" customHeight="1">
      <c r="A390" s="32" t="s">
        <v>4061</v>
      </c>
    </row>
    <row r="391" ht="14.25" customHeight="1">
      <c r="A391" s="32" t="s">
        <v>4062</v>
      </c>
    </row>
    <row r="392" ht="14.25" customHeight="1">
      <c r="A392" s="32" t="s">
        <v>4063</v>
      </c>
    </row>
    <row r="393" ht="14.25" customHeight="1">
      <c r="A393" s="32" t="s">
        <v>4064</v>
      </c>
    </row>
    <row r="394" ht="14.25" customHeight="1">
      <c r="A394" s="32" t="s">
        <v>4065</v>
      </c>
    </row>
    <row r="395" ht="14.25" customHeight="1">
      <c r="A395" s="32" t="s">
        <v>4066</v>
      </c>
    </row>
    <row r="396" ht="14.25" customHeight="1">
      <c r="A396" s="32" t="s">
        <v>4067</v>
      </c>
    </row>
    <row r="397" ht="14.25" customHeight="1">
      <c r="A397" s="32" t="s">
        <v>4068</v>
      </c>
    </row>
    <row r="398" ht="14.25" customHeight="1">
      <c r="A398" s="32" t="s">
        <v>4069</v>
      </c>
    </row>
    <row r="399" ht="14.25" customHeight="1">
      <c r="A399" s="32" t="s">
        <v>4070</v>
      </c>
    </row>
    <row r="400" ht="14.25" customHeight="1">
      <c r="A400" s="32" t="s">
        <v>4071</v>
      </c>
    </row>
    <row r="401" ht="14.25" customHeight="1">
      <c r="A401" s="32" t="s">
        <v>4072</v>
      </c>
    </row>
    <row r="402" ht="14.25" customHeight="1">
      <c r="A402" s="32" t="s">
        <v>4073</v>
      </c>
    </row>
    <row r="403" ht="14.25" customHeight="1">
      <c r="A403" s="32" t="s">
        <v>4074</v>
      </c>
    </row>
    <row r="404" ht="14.25" customHeight="1">
      <c r="A404" s="32" t="s">
        <v>4075</v>
      </c>
    </row>
    <row r="405" ht="14.25" customHeight="1">
      <c r="A405" s="32" t="s">
        <v>4076</v>
      </c>
    </row>
    <row r="406" ht="14.25" customHeight="1">
      <c r="A406" s="32" t="s">
        <v>4077</v>
      </c>
    </row>
    <row r="407" ht="14.25" customHeight="1">
      <c r="A407" s="32" t="s">
        <v>4078</v>
      </c>
    </row>
    <row r="408" ht="14.25" customHeight="1">
      <c r="A408" s="32" t="s">
        <v>4079</v>
      </c>
    </row>
    <row r="409" ht="14.25" customHeight="1">
      <c r="A409" s="32" t="s">
        <v>4080</v>
      </c>
    </row>
    <row r="410" ht="14.25" customHeight="1">
      <c r="A410" s="32" t="s">
        <v>4081</v>
      </c>
    </row>
    <row r="411" ht="14.25" customHeight="1">
      <c r="A411" s="32" t="s">
        <v>4082</v>
      </c>
    </row>
    <row r="412" ht="14.25" customHeight="1">
      <c r="A412" s="32" t="s">
        <v>4083</v>
      </c>
    </row>
    <row r="413" ht="14.25" customHeight="1">
      <c r="A413" s="32" t="s">
        <v>4084</v>
      </c>
    </row>
    <row r="414" ht="14.25" customHeight="1">
      <c r="A414" s="32" t="s">
        <v>4085</v>
      </c>
    </row>
    <row r="415" ht="14.25" customHeight="1">
      <c r="A415" s="32" t="s">
        <v>4086</v>
      </c>
    </row>
    <row r="416" ht="14.25" customHeight="1">
      <c r="A416" s="32" t="s">
        <v>4087</v>
      </c>
    </row>
    <row r="417" ht="14.25" customHeight="1">
      <c r="A417" s="32" t="s">
        <v>4088</v>
      </c>
    </row>
    <row r="418" ht="14.25" customHeight="1">
      <c r="A418" s="32" t="s">
        <v>4089</v>
      </c>
    </row>
    <row r="419" ht="14.25" customHeight="1">
      <c r="A419" s="32" t="s">
        <v>4090</v>
      </c>
    </row>
    <row r="420" ht="14.25" customHeight="1">
      <c r="A420" s="32" t="s">
        <v>4091</v>
      </c>
    </row>
    <row r="421" ht="14.25" customHeight="1">
      <c r="A421" s="32" t="s">
        <v>4092</v>
      </c>
    </row>
    <row r="422" ht="14.25" customHeight="1">
      <c r="A422" s="32" t="s">
        <v>4093</v>
      </c>
    </row>
    <row r="423" ht="14.25" customHeight="1">
      <c r="A423" s="32" t="s">
        <v>4094</v>
      </c>
    </row>
    <row r="424" ht="14.25" customHeight="1">
      <c r="A424" s="32" t="s">
        <v>4095</v>
      </c>
    </row>
    <row r="425" ht="14.25" customHeight="1">
      <c r="A425" s="32" t="s">
        <v>4096</v>
      </c>
    </row>
    <row r="426" ht="14.25" customHeight="1">
      <c r="A426" s="32" t="s">
        <v>4097</v>
      </c>
    </row>
    <row r="427" ht="14.25" customHeight="1">
      <c r="A427" s="32" t="s">
        <v>4098</v>
      </c>
    </row>
    <row r="428" ht="14.25" customHeight="1">
      <c r="A428" s="32" t="s">
        <v>4099</v>
      </c>
    </row>
    <row r="429" ht="14.25" customHeight="1">
      <c r="A429" s="32" t="s">
        <v>4100</v>
      </c>
    </row>
    <row r="430" ht="14.25" customHeight="1">
      <c r="A430" s="32" t="s">
        <v>4101</v>
      </c>
    </row>
    <row r="431" ht="14.25" customHeight="1">
      <c r="A431" s="32" t="s">
        <v>4102</v>
      </c>
    </row>
    <row r="432" ht="14.25" customHeight="1">
      <c r="A432" s="32" t="s">
        <v>4103</v>
      </c>
    </row>
    <row r="433" ht="14.25" customHeight="1">
      <c r="A433" s="32" t="s">
        <v>4104</v>
      </c>
    </row>
    <row r="434" ht="14.25" customHeight="1">
      <c r="A434" s="32" t="s">
        <v>4105</v>
      </c>
    </row>
    <row r="435" ht="14.25" customHeight="1">
      <c r="A435" s="32" t="s">
        <v>4106</v>
      </c>
    </row>
    <row r="436" ht="14.25" customHeight="1">
      <c r="A436" s="32" t="s">
        <v>4107</v>
      </c>
    </row>
    <row r="437" ht="14.25" customHeight="1">
      <c r="A437" s="32" t="s">
        <v>4108</v>
      </c>
    </row>
    <row r="438" ht="14.25" customHeight="1">
      <c r="A438" s="32" t="s">
        <v>4109</v>
      </c>
    </row>
    <row r="439" ht="14.25" customHeight="1">
      <c r="A439" s="32" t="s">
        <v>4110</v>
      </c>
    </row>
    <row r="440" ht="14.25" customHeight="1">
      <c r="A440" s="32" t="s">
        <v>4111</v>
      </c>
    </row>
    <row r="441" ht="14.25" customHeight="1">
      <c r="A441" s="32" t="s">
        <v>4112</v>
      </c>
    </row>
    <row r="442" ht="14.25" customHeight="1">
      <c r="A442" s="32" t="s">
        <v>4113</v>
      </c>
    </row>
    <row r="443" ht="14.25" customHeight="1">
      <c r="A443" s="32" t="s">
        <v>4114</v>
      </c>
    </row>
    <row r="444" ht="14.25" customHeight="1">
      <c r="A444" s="32" t="s">
        <v>4115</v>
      </c>
    </row>
    <row r="445" ht="14.25" customHeight="1">
      <c r="A445" s="32" t="s">
        <v>4116</v>
      </c>
    </row>
    <row r="446" ht="14.25" customHeight="1">
      <c r="A446" s="32" t="s">
        <v>4117</v>
      </c>
    </row>
    <row r="447" ht="14.25" customHeight="1">
      <c r="A447" s="32" t="s">
        <v>4118</v>
      </c>
    </row>
    <row r="448" ht="14.25" customHeight="1">
      <c r="A448" s="32" t="s">
        <v>4119</v>
      </c>
    </row>
    <row r="449" ht="14.25" customHeight="1">
      <c r="A449" s="32" t="s">
        <v>4120</v>
      </c>
    </row>
    <row r="450" ht="14.25" customHeight="1">
      <c r="A450" s="32" t="s">
        <v>4121</v>
      </c>
    </row>
    <row r="451" ht="14.25" customHeight="1">
      <c r="A451" s="32" t="s">
        <v>4122</v>
      </c>
    </row>
    <row r="452" ht="14.25" customHeight="1">
      <c r="A452" s="32" t="s">
        <v>4123</v>
      </c>
    </row>
    <row r="453" ht="14.25" customHeight="1">
      <c r="A453" s="32" t="s">
        <v>4124</v>
      </c>
    </row>
    <row r="454" ht="14.25" customHeight="1">
      <c r="A454" s="32" t="s">
        <v>4125</v>
      </c>
    </row>
    <row r="455" ht="14.25" customHeight="1">
      <c r="A455" s="32" t="s">
        <v>4126</v>
      </c>
    </row>
    <row r="456" ht="14.25" customHeight="1">
      <c r="A456" s="32" t="s">
        <v>4127</v>
      </c>
    </row>
    <row r="457" ht="14.25" customHeight="1">
      <c r="A457" s="32" t="s">
        <v>4128</v>
      </c>
    </row>
    <row r="458" ht="14.25" customHeight="1">
      <c r="A458" s="32" t="s">
        <v>4129</v>
      </c>
    </row>
    <row r="459" ht="14.25" customHeight="1">
      <c r="A459" s="32" t="s">
        <v>4130</v>
      </c>
    </row>
    <row r="460" ht="14.25" customHeight="1">
      <c r="A460" s="32" t="s">
        <v>4131</v>
      </c>
    </row>
    <row r="461" ht="14.25" customHeight="1">
      <c r="A461" s="32" t="s">
        <v>4132</v>
      </c>
    </row>
    <row r="462" ht="14.25" customHeight="1">
      <c r="A462" s="32" t="s">
        <v>4133</v>
      </c>
    </row>
    <row r="463" ht="14.25" customHeight="1">
      <c r="A463" s="32" t="s">
        <v>4134</v>
      </c>
    </row>
    <row r="464" ht="14.25" customHeight="1">
      <c r="A464" s="32" t="s">
        <v>4135</v>
      </c>
    </row>
    <row r="465" ht="14.25" customHeight="1">
      <c r="A465" s="32" t="s">
        <v>4136</v>
      </c>
    </row>
    <row r="466" ht="14.25" customHeight="1">
      <c r="A466" s="32" t="s">
        <v>4137</v>
      </c>
    </row>
    <row r="467" ht="14.25" customHeight="1">
      <c r="A467" s="32" t="s">
        <v>4138</v>
      </c>
    </row>
    <row r="468" ht="14.25" customHeight="1">
      <c r="A468" s="32" t="s">
        <v>4139</v>
      </c>
    </row>
    <row r="469" ht="14.25" customHeight="1">
      <c r="A469" s="32" t="s">
        <v>4140</v>
      </c>
    </row>
    <row r="470" ht="14.25" customHeight="1">
      <c r="A470" s="32" t="s">
        <v>4141</v>
      </c>
    </row>
    <row r="471" ht="14.25" customHeight="1">
      <c r="A471" s="32" t="s">
        <v>4142</v>
      </c>
    </row>
    <row r="472" ht="14.25" customHeight="1">
      <c r="A472" s="32" t="s">
        <v>4143</v>
      </c>
    </row>
    <row r="473" ht="14.25" customHeight="1">
      <c r="A473" s="32" t="s">
        <v>4144</v>
      </c>
    </row>
    <row r="474" ht="14.25" customHeight="1">
      <c r="A474" s="32" t="s">
        <v>4145</v>
      </c>
    </row>
    <row r="475" ht="14.25" customHeight="1">
      <c r="A475" s="32" t="s">
        <v>4146</v>
      </c>
    </row>
    <row r="476" ht="14.25" customHeight="1">
      <c r="A476" s="32" t="s">
        <v>4147</v>
      </c>
    </row>
    <row r="477" ht="14.25" customHeight="1">
      <c r="A477" s="32" t="s">
        <v>4148</v>
      </c>
    </row>
    <row r="478" ht="14.25" customHeight="1">
      <c r="A478" s="32" t="s">
        <v>4149</v>
      </c>
    </row>
    <row r="479" ht="14.25" customHeight="1">
      <c r="A479" s="32" t="s">
        <v>4150</v>
      </c>
    </row>
    <row r="480" ht="14.25" customHeight="1">
      <c r="A480" s="32" t="s">
        <v>4151</v>
      </c>
    </row>
    <row r="481" ht="14.25" customHeight="1">
      <c r="A481" s="32" t="s">
        <v>4152</v>
      </c>
    </row>
    <row r="482" ht="14.25" customHeight="1">
      <c r="A482" s="32" t="s">
        <v>4153</v>
      </c>
    </row>
    <row r="483" ht="14.25" customHeight="1">
      <c r="A483" s="32" t="s">
        <v>4154</v>
      </c>
    </row>
    <row r="484" ht="14.25" customHeight="1">
      <c r="A484" s="32" t="s">
        <v>4155</v>
      </c>
    </row>
    <row r="485" ht="14.25" customHeight="1">
      <c r="A485" s="32" t="s">
        <v>4156</v>
      </c>
    </row>
    <row r="486" ht="14.25" customHeight="1">
      <c r="A486" s="32" t="s">
        <v>4157</v>
      </c>
    </row>
    <row r="487" ht="14.25" customHeight="1">
      <c r="A487" s="32" t="s">
        <v>4158</v>
      </c>
    </row>
    <row r="488" ht="14.25" customHeight="1">
      <c r="A488" s="32" t="s">
        <v>4159</v>
      </c>
    </row>
    <row r="489" ht="14.25" customHeight="1">
      <c r="A489" s="32" t="s">
        <v>4160</v>
      </c>
    </row>
    <row r="490" ht="14.25" customHeight="1">
      <c r="A490" s="32" t="s">
        <v>4161</v>
      </c>
    </row>
    <row r="491" ht="14.25" customHeight="1">
      <c r="A491" s="32" t="s">
        <v>4162</v>
      </c>
    </row>
    <row r="492" ht="14.25" customHeight="1">
      <c r="A492" s="32" t="s">
        <v>4163</v>
      </c>
    </row>
    <row r="493" ht="14.25" customHeight="1">
      <c r="A493" s="32" t="s">
        <v>4164</v>
      </c>
    </row>
    <row r="494" ht="14.25" customHeight="1">
      <c r="A494" s="32" t="s">
        <v>4165</v>
      </c>
    </row>
    <row r="495" ht="14.25" customHeight="1">
      <c r="A495" s="32" t="s">
        <v>4166</v>
      </c>
    </row>
    <row r="496" ht="14.25" customHeight="1">
      <c r="A496" s="32" t="s">
        <v>4167</v>
      </c>
    </row>
    <row r="497" ht="14.25" customHeight="1">
      <c r="A497" s="32" t="s">
        <v>4168</v>
      </c>
    </row>
    <row r="498" ht="14.25" customHeight="1">
      <c r="A498" s="32" t="s">
        <v>4169</v>
      </c>
    </row>
    <row r="499" ht="14.25" customHeight="1">
      <c r="A499" s="32" t="s">
        <v>4170</v>
      </c>
    </row>
    <row r="500" ht="14.25" customHeight="1">
      <c r="A500" s="32" t="s">
        <v>4171</v>
      </c>
    </row>
    <row r="501" ht="14.25" customHeight="1">
      <c r="A501" s="32" t="s">
        <v>4172</v>
      </c>
    </row>
    <row r="502" ht="14.25" customHeight="1">
      <c r="A502" s="32" t="s">
        <v>4173</v>
      </c>
    </row>
    <row r="503" ht="14.25" customHeight="1">
      <c r="A503" s="32" t="s">
        <v>4174</v>
      </c>
    </row>
    <row r="504" ht="14.25" customHeight="1">
      <c r="A504" s="32" t="s">
        <v>4175</v>
      </c>
    </row>
    <row r="505" ht="14.25" customHeight="1">
      <c r="A505" s="32" t="s">
        <v>4176</v>
      </c>
    </row>
    <row r="506" ht="14.25" customHeight="1">
      <c r="A506" s="32" t="s">
        <v>4177</v>
      </c>
    </row>
    <row r="507" ht="14.25" customHeight="1">
      <c r="A507" s="32" t="s">
        <v>4178</v>
      </c>
    </row>
    <row r="508" ht="14.25" customHeight="1">
      <c r="A508" s="32" t="s">
        <v>4179</v>
      </c>
    </row>
    <row r="509" ht="14.25" customHeight="1">
      <c r="A509" s="32" t="s">
        <v>4180</v>
      </c>
    </row>
    <row r="510" ht="14.25" customHeight="1">
      <c r="A510" s="32" t="s">
        <v>4181</v>
      </c>
    </row>
    <row r="511" ht="14.25" customHeight="1">
      <c r="A511" s="32" t="s">
        <v>4182</v>
      </c>
    </row>
    <row r="512" ht="14.25" customHeight="1">
      <c r="A512" s="32" t="s">
        <v>4183</v>
      </c>
    </row>
    <row r="513" ht="14.25" customHeight="1">
      <c r="A513" s="32" t="s">
        <v>4184</v>
      </c>
    </row>
    <row r="514" ht="14.25" customHeight="1">
      <c r="A514" s="32" t="s">
        <v>4185</v>
      </c>
    </row>
    <row r="515" ht="14.25" customHeight="1">
      <c r="A515" s="32" t="s">
        <v>4186</v>
      </c>
    </row>
    <row r="516" ht="14.25" customHeight="1">
      <c r="A516" s="32" t="s">
        <v>4187</v>
      </c>
    </row>
    <row r="517" ht="14.25" customHeight="1">
      <c r="A517" s="32" t="s">
        <v>4188</v>
      </c>
    </row>
    <row r="518" ht="14.25" customHeight="1">
      <c r="A518" s="32" t="s">
        <v>4189</v>
      </c>
    </row>
    <row r="519" ht="14.25" customHeight="1">
      <c r="A519" s="32" t="s">
        <v>4190</v>
      </c>
    </row>
    <row r="520" ht="14.25" customHeight="1">
      <c r="A520" s="32" t="s">
        <v>4191</v>
      </c>
    </row>
    <row r="521" ht="14.25" customHeight="1">
      <c r="A521" s="32" t="s">
        <v>4192</v>
      </c>
    </row>
    <row r="522" ht="14.25" customHeight="1">
      <c r="A522" s="32" t="s">
        <v>4193</v>
      </c>
    </row>
    <row r="523" ht="14.25" customHeight="1">
      <c r="A523" s="32" t="s">
        <v>4194</v>
      </c>
    </row>
    <row r="524" ht="14.25" customHeight="1">
      <c r="A524" s="32" t="s">
        <v>4195</v>
      </c>
    </row>
    <row r="525" ht="14.25" customHeight="1">
      <c r="A525" s="32" t="s">
        <v>4196</v>
      </c>
    </row>
    <row r="526" ht="14.25" customHeight="1">
      <c r="A526" s="32" t="s">
        <v>4197</v>
      </c>
    </row>
    <row r="527" ht="14.25" customHeight="1">
      <c r="A527" s="32" t="s">
        <v>4198</v>
      </c>
    </row>
    <row r="528" ht="14.25" customHeight="1">
      <c r="A528" s="32" t="s">
        <v>4199</v>
      </c>
    </row>
    <row r="529" ht="14.25" customHeight="1">
      <c r="A529" s="32" t="s">
        <v>4200</v>
      </c>
    </row>
    <row r="530" ht="14.25" customHeight="1">
      <c r="A530" s="32" t="s">
        <v>4201</v>
      </c>
    </row>
    <row r="531" ht="14.25" customHeight="1">
      <c r="A531" s="32" t="s">
        <v>4202</v>
      </c>
    </row>
    <row r="532" ht="14.25" customHeight="1">
      <c r="A532" s="32" t="s">
        <v>4203</v>
      </c>
    </row>
    <row r="533" ht="14.25" customHeight="1">
      <c r="A533" s="32" t="s">
        <v>4204</v>
      </c>
    </row>
    <row r="534" ht="14.25" customHeight="1">
      <c r="A534" s="32" t="s">
        <v>4205</v>
      </c>
    </row>
    <row r="535" ht="14.25" customHeight="1">
      <c r="A535" s="32" t="s">
        <v>4206</v>
      </c>
    </row>
    <row r="536" ht="14.25" customHeight="1">
      <c r="A536" s="32" t="s">
        <v>4207</v>
      </c>
    </row>
    <row r="537" ht="14.25" customHeight="1">
      <c r="A537" s="32" t="s">
        <v>4208</v>
      </c>
    </row>
    <row r="538" ht="14.25" customHeight="1">
      <c r="A538" s="32" t="s">
        <v>4209</v>
      </c>
    </row>
    <row r="539" ht="14.25" customHeight="1">
      <c r="A539" s="32" t="s">
        <v>4210</v>
      </c>
    </row>
    <row r="540" ht="14.25" customHeight="1">
      <c r="A540" s="32" t="s">
        <v>4211</v>
      </c>
    </row>
    <row r="541" ht="14.25" customHeight="1">
      <c r="A541" s="32" t="s">
        <v>4212</v>
      </c>
    </row>
    <row r="542" ht="14.25" customHeight="1">
      <c r="A542" s="32" t="s">
        <v>4213</v>
      </c>
    </row>
    <row r="543" ht="14.25" customHeight="1">
      <c r="A543" s="32" t="s">
        <v>4214</v>
      </c>
    </row>
    <row r="544" ht="14.25" customHeight="1">
      <c r="A544" s="32" t="s">
        <v>4215</v>
      </c>
    </row>
    <row r="545" ht="14.25" customHeight="1">
      <c r="A545" s="32" t="s">
        <v>4216</v>
      </c>
    </row>
    <row r="546" ht="14.25" customHeight="1">
      <c r="A546" s="32" t="s">
        <v>4217</v>
      </c>
    </row>
    <row r="547" ht="14.25" customHeight="1">
      <c r="A547" s="32" t="s">
        <v>4218</v>
      </c>
    </row>
    <row r="548" ht="14.25" customHeight="1">
      <c r="A548" s="32" t="s">
        <v>4219</v>
      </c>
    </row>
    <row r="549" ht="14.25" customHeight="1">
      <c r="A549" s="32" t="s">
        <v>4220</v>
      </c>
    </row>
    <row r="550" ht="14.25" customHeight="1">
      <c r="A550" s="32" t="s">
        <v>4221</v>
      </c>
    </row>
    <row r="551" ht="14.25" customHeight="1">
      <c r="A551" s="32" t="s">
        <v>4222</v>
      </c>
    </row>
    <row r="552" ht="14.25" customHeight="1">
      <c r="A552" s="32" t="s">
        <v>4223</v>
      </c>
    </row>
    <row r="553" ht="14.25" customHeight="1">
      <c r="A553" s="32" t="s">
        <v>4224</v>
      </c>
    </row>
    <row r="554" ht="14.25" customHeight="1">
      <c r="A554" s="32" t="s">
        <v>4225</v>
      </c>
    </row>
    <row r="555" ht="14.25" customHeight="1">
      <c r="A555" s="32" t="s">
        <v>4226</v>
      </c>
    </row>
    <row r="556" ht="14.25" customHeight="1">
      <c r="A556" s="32" t="s">
        <v>4227</v>
      </c>
    </row>
    <row r="557" ht="14.25" customHeight="1">
      <c r="A557" s="32" t="s">
        <v>4228</v>
      </c>
    </row>
    <row r="558" ht="14.25" customHeight="1">
      <c r="A558" s="32" t="s">
        <v>4229</v>
      </c>
    </row>
    <row r="559" ht="14.25" customHeight="1">
      <c r="A559" s="32" t="s">
        <v>4230</v>
      </c>
    </row>
    <row r="560" ht="14.25" customHeight="1">
      <c r="A560" s="32" t="s">
        <v>4231</v>
      </c>
    </row>
    <row r="561" ht="14.25" customHeight="1">
      <c r="A561" s="32" t="s">
        <v>4232</v>
      </c>
    </row>
    <row r="562" ht="14.25" customHeight="1">
      <c r="A562" s="32" t="s">
        <v>4233</v>
      </c>
    </row>
    <row r="563" ht="14.25" customHeight="1">
      <c r="A563" s="32" t="s">
        <v>4234</v>
      </c>
    </row>
    <row r="564" ht="14.25" customHeight="1">
      <c r="A564" s="32" t="s">
        <v>4235</v>
      </c>
    </row>
    <row r="565" ht="14.25" customHeight="1">
      <c r="A565" s="32" t="s">
        <v>4236</v>
      </c>
    </row>
    <row r="566" ht="14.25" customHeight="1">
      <c r="A566" s="32" t="s">
        <v>4237</v>
      </c>
    </row>
    <row r="567" ht="14.25" customHeight="1">
      <c r="A567" s="32" t="s">
        <v>4238</v>
      </c>
    </row>
    <row r="568" ht="14.25" customHeight="1">
      <c r="A568" s="32" t="s">
        <v>4239</v>
      </c>
    </row>
    <row r="569" ht="14.25" customHeight="1">
      <c r="A569" s="32" t="s">
        <v>4240</v>
      </c>
    </row>
    <row r="570" ht="14.25" customHeight="1">
      <c r="A570" s="32" t="s">
        <v>4241</v>
      </c>
    </row>
    <row r="571" ht="14.25" customHeight="1">
      <c r="A571" s="32" t="s">
        <v>4242</v>
      </c>
    </row>
    <row r="572" ht="14.25" customHeight="1">
      <c r="A572" s="32" t="s">
        <v>4243</v>
      </c>
    </row>
    <row r="573" ht="14.25" customHeight="1">
      <c r="A573" s="32" t="s">
        <v>4244</v>
      </c>
    </row>
    <row r="574" ht="14.25" customHeight="1">
      <c r="A574" s="32" t="s">
        <v>4245</v>
      </c>
    </row>
    <row r="575" ht="14.25" customHeight="1">
      <c r="A575" s="32" t="s">
        <v>4246</v>
      </c>
    </row>
    <row r="576" ht="14.25" customHeight="1">
      <c r="A576" s="32" t="s">
        <v>4247</v>
      </c>
    </row>
    <row r="577" ht="14.25" customHeight="1">
      <c r="A577" s="32" t="s">
        <v>4248</v>
      </c>
    </row>
    <row r="578" ht="14.25" customHeight="1">
      <c r="A578" s="32" t="s">
        <v>4249</v>
      </c>
    </row>
    <row r="579" ht="14.25" customHeight="1">
      <c r="A579" s="32" t="s">
        <v>4250</v>
      </c>
    </row>
    <row r="580" ht="14.25" customHeight="1">
      <c r="A580" s="32" t="s">
        <v>4251</v>
      </c>
    </row>
    <row r="581" ht="14.25" customHeight="1">
      <c r="A581" s="32" t="s">
        <v>4252</v>
      </c>
    </row>
    <row r="582" ht="14.25" customHeight="1">
      <c r="A582" s="32" t="s">
        <v>4253</v>
      </c>
    </row>
    <row r="583" ht="14.25" customHeight="1">
      <c r="A583" s="32" t="s">
        <v>4254</v>
      </c>
    </row>
    <row r="584" ht="14.25" customHeight="1">
      <c r="A584" s="32" t="s">
        <v>4255</v>
      </c>
    </row>
    <row r="585" ht="14.25" customHeight="1">
      <c r="A585" s="32" t="s">
        <v>4256</v>
      </c>
    </row>
    <row r="586" ht="14.25" customHeight="1">
      <c r="A586" s="32" t="s">
        <v>4257</v>
      </c>
    </row>
    <row r="587" ht="14.25" customHeight="1">
      <c r="A587" s="32" t="s">
        <v>4258</v>
      </c>
    </row>
    <row r="588" ht="14.25" customHeight="1">
      <c r="A588" s="32" t="s">
        <v>4259</v>
      </c>
    </row>
    <row r="589" ht="14.25" customHeight="1">
      <c r="A589" s="32" t="s">
        <v>4260</v>
      </c>
    </row>
    <row r="590" ht="14.25" customHeight="1">
      <c r="A590" s="32" t="s">
        <v>4261</v>
      </c>
    </row>
    <row r="591" ht="14.25" customHeight="1">
      <c r="A591" s="32" t="s">
        <v>4262</v>
      </c>
    </row>
    <row r="592" ht="14.25" customHeight="1">
      <c r="A592" s="32" t="s">
        <v>4263</v>
      </c>
    </row>
    <row r="593" ht="14.25" customHeight="1">
      <c r="A593" s="32" t="s">
        <v>4264</v>
      </c>
    </row>
    <row r="594" ht="14.25" customHeight="1">
      <c r="A594" s="32" t="s">
        <v>4265</v>
      </c>
    </row>
    <row r="595" ht="14.25" customHeight="1">
      <c r="A595" s="32" t="s">
        <v>4266</v>
      </c>
    </row>
    <row r="596" ht="14.25" customHeight="1">
      <c r="A596" s="32" t="s">
        <v>4267</v>
      </c>
    </row>
    <row r="597" ht="14.25" customHeight="1">
      <c r="A597" s="32" t="s">
        <v>4268</v>
      </c>
    </row>
    <row r="598" ht="14.25" customHeight="1">
      <c r="A598" s="32" t="s">
        <v>4269</v>
      </c>
    </row>
    <row r="599" ht="14.25" customHeight="1">
      <c r="A599" s="32" t="s">
        <v>4270</v>
      </c>
    </row>
    <row r="600" ht="14.25" customHeight="1">
      <c r="A600" s="32" t="s">
        <v>4271</v>
      </c>
    </row>
    <row r="601" ht="14.25" customHeight="1">
      <c r="A601" s="32" t="s">
        <v>4272</v>
      </c>
    </row>
    <row r="602" ht="14.25" customHeight="1">
      <c r="A602" s="32" t="s">
        <v>4273</v>
      </c>
    </row>
    <row r="603" ht="14.25" customHeight="1">
      <c r="A603" s="32" t="s">
        <v>4274</v>
      </c>
    </row>
    <row r="604" ht="14.25" customHeight="1">
      <c r="A604" s="32" t="s">
        <v>4275</v>
      </c>
    </row>
    <row r="605" ht="14.25" customHeight="1">
      <c r="A605" s="32" t="s">
        <v>4276</v>
      </c>
    </row>
    <row r="606" ht="14.25" customHeight="1">
      <c r="A606" s="32" t="s">
        <v>4277</v>
      </c>
    </row>
    <row r="607" ht="14.25" customHeight="1">
      <c r="A607" s="32" t="s">
        <v>4278</v>
      </c>
    </row>
    <row r="608" ht="14.25" customHeight="1">
      <c r="A608" s="32" t="s">
        <v>4279</v>
      </c>
    </row>
    <row r="609" ht="14.25" customHeight="1">
      <c r="A609" s="32" t="s">
        <v>4280</v>
      </c>
    </row>
    <row r="610" ht="14.25" customHeight="1">
      <c r="A610" s="32" t="s">
        <v>4281</v>
      </c>
    </row>
    <row r="611" ht="14.25" customHeight="1">
      <c r="A611" s="32" t="s">
        <v>4282</v>
      </c>
    </row>
    <row r="612" ht="14.25" customHeight="1">
      <c r="A612" s="32" t="s">
        <v>4283</v>
      </c>
    </row>
    <row r="613" ht="14.25" customHeight="1">
      <c r="A613" s="32" t="s">
        <v>4284</v>
      </c>
    </row>
    <row r="614" ht="14.25" customHeight="1">
      <c r="A614" s="32" t="s">
        <v>4285</v>
      </c>
    </row>
    <row r="615" ht="14.25" customHeight="1">
      <c r="A615" s="32" t="s">
        <v>4286</v>
      </c>
    </row>
    <row r="616" ht="14.25" customHeight="1">
      <c r="A616" s="32" t="s">
        <v>4287</v>
      </c>
    </row>
    <row r="617" ht="14.25" customHeight="1">
      <c r="A617" s="32" t="s">
        <v>4288</v>
      </c>
    </row>
    <row r="618" ht="14.25" customHeight="1">
      <c r="A618" s="32" t="s">
        <v>4289</v>
      </c>
    </row>
    <row r="619" ht="14.25" customHeight="1">
      <c r="A619" s="32" t="s">
        <v>4290</v>
      </c>
    </row>
    <row r="620" ht="14.25" customHeight="1">
      <c r="A620" s="32" t="s">
        <v>4291</v>
      </c>
    </row>
    <row r="621" ht="14.25" customHeight="1">
      <c r="A621" s="32" t="s">
        <v>4292</v>
      </c>
    </row>
    <row r="622" ht="14.25" customHeight="1">
      <c r="A622" s="32" t="s">
        <v>4293</v>
      </c>
    </row>
    <row r="623" ht="14.25" customHeight="1">
      <c r="A623" s="32" t="s">
        <v>4294</v>
      </c>
    </row>
    <row r="624" ht="14.25" customHeight="1">
      <c r="A624" s="32" t="s">
        <v>4295</v>
      </c>
    </row>
    <row r="625" ht="14.25" customHeight="1">
      <c r="A625" s="32" t="s">
        <v>4296</v>
      </c>
    </row>
    <row r="626" ht="14.25" customHeight="1">
      <c r="A626" s="32" t="s">
        <v>4297</v>
      </c>
    </row>
    <row r="627" ht="14.25" customHeight="1">
      <c r="A627" s="32" t="s">
        <v>4298</v>
      </c>
    </row>
    <row r="628" ht="14.25" customHeight="1">
      <c r="A628" s="32" t="s">
        <v>4299</v>
      </c>
    </row>
    <row r="629" ht="14.25" customHeight="1">
      <c r="A629" s="32" t="s">
        <v>4300</v>
      </c>
    </row>
    <row r="630" ht="14.25" customHeight="1">
      <c r="A630" s="32" t="s">
        <v>4301</v>
      </c>
    </row>
    <row r="631" ht="14.25" customHeight="1">
      <c r="A631" s="32" t="s">
        <v>4302</v>
      </c>
    </row>
    <row r="632" ht="14.25" customHeight="1">
      <c r="A632" s="32" t="s">
        <v>4303</v>
      </c>
    </row>
    <row r="633" ht="14.25" customHeight="1">
      <c r="A633" s="32" t="s">
        <v>4304</v>
      </c>
    </row>
    <row r="634" ht="14.25" customHeight="1">
      <c r="A634" s="32" t="s">
        <v>4305</v>
      </c>
    </row>
    <row r="635" ht="14.25" customHeight="1">
      <c r="A635" s="32" t="s">
        <v>4306</v>
      </c>
    </row>
    <row r="636" ht="14.25" customHeight="1">
      <c r="A636" s="32" t="s">
        <v>4307</v>
      </c>
    </row>
    <row r="637" ht="14.25" customHeight="1">
      <c r="A637" s="32" t="s">
        <v>4308</v>
      </c>
    </row>
    <row r="638" ht="14.25" customHeight="1">
      <c r="A638" s="32" t="s">
        <v>4309</v>
      </c>
    </row>
    <row r="639" ht="14.25" customHeight="1">
      <c r="A639" s="32" t="s">
        <v>4310</v>
      </c>
    </row>
    <row r="640" ht="14.25" customHeight="1">
      <c r="A640" s="32" t="s">
        <v>4311</v>
      </c>
    </row>
    <row r="641" ht="14.25" customHeight="1">
      <c r="A641" s="32" t="s">
        <v>4312</v>
      </c>
    </row>
    <row r="642" ht="14.25" customHeight="1">
      <c r="A642" s="32" t="s">
        <v>4313</v>
      </c>
    </row>
    <row r="643" ht="14.25" customHeight="1">
      <c r="A643" s="32" t="s">
        <v>4314</v>
      </c>
    </row>
    <row r="644" ht="14.25" customHeight="1">
      <c r="A644" s="32" t="s">
        <v>4315</v>
      </c>
    </row>
    <row r="645" ht="14.25" customHeight="1">
      <c r="A645" s="32" t="s">
        <v>4316</v>
      </c>
    </row>
    <row r="646" ht="14.25" customHeight="1">
      <c r="A646" s="32" t="s">
        <v>4317</v>
      </c>
    </row>
    <row r="647" ht="14.25" customHeight="1">
      <c r="A647" s="32" t="s">
        <v>4318</v>
      </c>
    </row>
    <row r="648" ht="14.25" customHeight="1">
      <c r="A648" s="32" t="s">
        <v>4319</v>
      </c>
    </row>
    <row r="649" ht="14.25" customHeight="1">
      <c r="A649" s="32" t="s">
        <v>4320</v>
      </c>
    </row>
    <row r="650" ht="14.25" customHeight="1">
      <c r="A650" s="32" t="s">
        <v>4321</v>
      </c>
    </row>
    <row r="651" ht="14.25" customHeight="1">
      <c r="A651" s="32" t="s">
        <v>4322</v>
      </c>
    </row>
    <row r="652" ht="14.25" customHeight="1">
      <c r="A652" s="32" t="s">
        <v>4323</v>
      </c>
    </row>
    <row r="653" ht="14.25" customHeight="1">
      <c r="A653" s="32" t="s">
        <v>4324</v>
      </c>
    </row>
    <row r="654" ht="14.25" customHeight="1">
      <c r="A654" s="32" t="s">
        <v>4325</v>
      </c>
    </row>
    <row r="655" ht="14.25" customHeight="1">
      <c r="A655" s="32" t="s">
        <v>4326</v>
      </c>
    </row>
    <row r="656" ht="14.25" customHeight="1">
      <c r="A656" s="32" t="s">
        <v>4327</v>
      </c>
    </row>
    <row r="657" ht="14.25" customHeight="1">
      <c r="A657" s="32" t="s">
        <v>4328</v>
      </c>
    </row>
    <row r="658" ht="14.25" customHeight="1">
      <c r="A658" s="32" t="s">
        <v>4329</v>
      </c>
    </row>
    <row r="659" ht="14.25" customHeight="1">
      <c r="A659" s="32" t="s">
        <v>4330</v>
      </c>
    </row>
    <row r="660" ht="14.25" customHeight="1">
      <c r="A660" s="32" t="s">
        <v>4331</v>
      </c>
    </row>
    <row r="661" ht="14.25" customHeight="1">
      <c r="A661" s="32" t="s">
        <v>4332</v>
      </c>
    </row>
    <row r="662" ht="14.25" customHeight="1">
      <c r="A662" s="32" t="s">
        <v>4333</v>
      </c>
    </row>
    <row r="663" ht="14.25" customHeight="1">
      <c r="A663" s="32" t="s">
        <v>4334</v>
      </c>
    </row>
    <row r="664" ht="14.25" customHeight="1">
      <c r="A664" s="32" t="s">
        <v>4335</v>
      </c>
    </row>
    <row r="665" ht="14.25" customHeight="1">
      <c r="A665" s="32" t="s">
        <v>4336</v>
      </c>
    </row>
    <row r="666" ht="14.25" customHeight="1">
      <c r="A666" s="32" t="s">
        <v>4337</v>
      </c>
    </row>
    <row r="667" ht="14.25" customHeight="1">
      <c r="A667" s="32" t="s">
        <v>4338</v>
      </c>
    </row>
    <row r="668" ht="14.25" customHeight="1">
      <c r="A668" s="32" t="s">
        <v>4339</v>
      </c>
    </row>
    <row r="669" ht="14.25" customHeight="1">
      <c r="A669" s="32" t="s">
        <v>4340</v>
      </c>
    </row>
    <row r="670" ht="14.25" customHeight="1">
      <c r="A670" s="32" t="s">
        <v>4341</v>
      </c>
    </row>
    <row r="671" ht="14.25" customHeight="1">
      <c r="A671" s="32" t="s">
        <v>4342</v>
      </c>
    </row>
    <row r="672" ht="14.25" customHeight="1">
      <c r="A672" s="32" t="s">
        <v>4343</v>
      </c>
    </row>
    <row r="673" ht="14.25" customHeight="1">
      <c r="A673" s="32" t="s">
        <v>4344</v>
      </c>
    </row>
    <row r="674" ht="14.25" customHeight="1">
      <c r="A674" s="32" t="s">
        <v>4345</v>
      </c>
    </row>
    <row r="675" ht="14.25" customHeight="1">
      <c r="A675" s="32" t="s">
        <v>4346</v>
      </c>
    </row>
    <row r="676" ht="14.25" customHeight="1">
      <c r="A676" s="32" t="s">
        <v>4347</v>
      </c>
    </row>
    <row r="677" ht="14.25" customHeight="1">
      <c r="A677" s="32" t="s">
        <v>4348</v>
      </c>
    </row>
    <row r="678" ht="14.25" customHeight="1">
      <c r="A678" s="32" t="s">
        <v>4349</v>
      </c>
    </row>
    <row r="679" ht="14.25" customHeight="1">
      <c r="A679" s="32" t="s">
        <v>4350</v>
      </c>
    </row>
    <row r="680" ht="14.25" customHeight="1">
      <c r="A680" s="32" t="s">
        <v>4351</v>
      </c>
    </row>
    <row r="681" ht="14.25" customHeight="1">
      <c r="A681" s="32" t="s">
        <v>4352</v>
      </c>
    </row>
    <row r="682" ht="14.25" customHeight="1">
      <c r="A682" s="32" t="s">
        <v>4353</v>
      </c>
    </row>
    <row r="683" ht="14.25" customHeight="1">
      <c r="A683" s="32" t="s">
        <v>4354</v>
      </c>
    </row>
    <row r="684" ht="14.25" customHeight="1">
      <c r="A684" s="32" t="s">
        <v>4355</v>
      </c>
    </row>
    <row r="685" ht="14.25" customHeight="1">
      <c r="A685" s="32" t="s">
        <v>4356</v>
      </c>
    </row>
    <row r="686" ht="14.25" customHeight="1">
      <c r="A686" s="32" t="s">
        <v>4357</v>
      </c>
    </row>
    <row r="687" ht="14.25" customHeight="1">
      <c r="A687" s="32" t="s">
        <v>4358</v>
      </c>
    </row>
    <row r="688" ht="14.25" customHeight="1">
      <c r="A688" s="32" t="s">
        <v>4359</v>
      </c>
    </row>
    <row r="689" ht="14.25" customHeight="1">
      <c r="A689" s="32" t="s">
        <v>4360</v>
      </c>
    </row>
    <row r="690" ht="14.25" customHeight="1">
      <c r="A690" s="32" t="s">
        <v>4361</v>
      </c>
    </row>
    <row r="691" ht="14.25" customHeight="1">
      <c r="A691" s="32" t="s">
        <v>4362</v>
      </c>
    </row>
    <row r="692" ht="14.25" customHeight="1">
      <c r="A692" s="32" t="s">
        <v>4363</v>
      </c>
    </row>
    <row r="693" ht="14.25" customHeight="1">
      <c r="A693" s="32" t="s">
        <v>4364</v>
      </c>
    </row>
    <row r="694" ht="14.25" customHeight="1">
      <c r="A694" s="32" t="s">
        <v>4365</v>
      </c>
    </row>
    <row r="695" ht="14.25" customHeight="1">
      <c r="A695" s="32" t="s">
        <v>4366</v>
      </c>
    </row>
    <row r="696" ht="14.25" customHeight="1">
      <c r="A696" s="32" t="s">
        <v>4367</v>
      </c>
    </row>
    <row r="697" ht="14.25" customHeight="1">
      <c r="A697" s="32" t="s">
        <v>4368</v>
      </c>
    </row>
    <row r="698" ht="14.25" customHeight="1">
      <c r="A698" s="32" t="s">
        <v>4369</v>
      </c>
    </row>
    <row r="699" ht="14.25" customHeight="1">
      <c r="A699" s="32" t="s">
        <v>4370</v>
      </c>
    </row>
    <row r="700" ht="14.25" customHeight="1">
      <c r="A700" s="32" t="s">
        <v>4371</v>
      </c>
    </row>
    <row r="701" ht="14.25" customHeight="1">
      <c r="A701" s="32" t="s">
        <v>4372</v>
      </c>
    </row>
    <row r="702" ht="14.25" customHeight="1">
      <c r="A702" s="32" t="s">
        <v>4373</v>
      </c>
    </row>
    <row r="703" ht="14.25" customHeight="1">
      <c r="A703" s="32" t="s">
        <v>4374</v>
      </c>
    </row>
    <row r="704" ht="14.25" customHeight="1">
      <c r="A704" s="32" t="s">
        <v>4375</v>
      </c>
    </row>
    <row r="705" ht="14.25" customHeight="1">
      <c r="A705" s="32" t="s">
        <v>4376</v>
      </c>
    </row>
    <row r="706" ht="14.25" customHeight="1">
      <c r="A706" s="32" t="s">
        <v>4377</v>
      </c>
    </row>
    <row r="707" ht="14.25" customHeight="1">
      <c r="A707" s="32" t="s">
        <v>4378</v>
      </c>
    </row>
    <row r="708" ht="14.25" customHeight="1">
      <c r="A708" s="32" t="s">
        <v>4379</v>
      </c>
    </row>
    <row r="709" ht="14.25" customHeight="1">
      <c r="A709" s="32" t="s">
        <v>4380</v>
      </c>
    </row>
    <row r="710" ht="14.25" customHeight="1">
      <c r="A710" s="32" t="s">
        <v>4381</v>
      </c>
    </row>
    <row r="711" ht="14.25" customHeight="1">
      <c r="A711" s="32" t="s">
        <v>4382</v>
      </c>
    </row>
    <row r="712" ht="14.25" customHeight="1">
      <c r="A712" s="32" t="s">
        <v>4383</v>
      </c>
    </row>
    <row r="713" ht="14.25" customHeight="1">
      <c r="A713" s="32" t="s">
        <v>4384</v>
      </c>
    </row>
    <row r="714" ht="14.25" customHeight="1">
      <c r="A714" s="32" t="s">
        <v>4385</v>
      </c>
    </row>
    <row r="715" ht="14.25" customHeight="1">
      <c r="A715" s="32" t="s">
        <v>4386</v>
      </c>
    </row>
    <row r="716" ht="14.25" customHeight="1">
      <c r="A716" s="32" t="s">
        <v>4387</v>
      </c>
    </row>
    <row r="717" ht="14.25" customHeight="1">
      <c r="A717" s="32" t="s">
        <v>4388</v>
      </c>
    </row>
    <row r="718" ht="14.25" customHeight="1">
      <c r="A718" s="32" t="s">
        <v>4389</v>
      </c>
    </row>
    <row r="719" ht="14.25" customHeight="1">
      <c r="A719" s="32" t="s">
        <v>4390</v>
      </c>
    </row>
    <row r="720" ht="14.25" customHeight="1">
      <c r="A720" s="32" t="s">
        <v>4391</v>
      </c>
    </row>
    <row r="721" ht="14.25" customHeight="1">
      <c r="A721" s="32" t="s">
        <v>4392</v>
      </c>
    </row>
    <row r="722" ht="14.25" customHeight="1">
      <c r="A722" s="32" t="s">
        <v>4393</v>
      </c>
    </row>
    <row r="723" ht="14.25" customHeight="1">
      <c r="A723" s="32" t="s">
        <v>4394</v>
      </c>
    </row>
    <row r="724" ht="14.25" customHeight="1">
      <c r="A724" s="32" t="s">
        <v>4395</v>
      </c>
    </row>
    <row r="725" ht="14.25" customHeight="1">
      <c r="A725" s="32" t="s">
        <v>4396</v>
      </c>
    </row>
    <row r="726" ht="14.25" customHeight="1">
      <c r="A726" s="32" t="s">
        <v>4397</v>
      </c>
    </row>
    <row r="727" ht="14.25" customHeight="1">
      <c r="A727" s="32" t="s">
        <v>4398</v>
      </c>
    </row>
    <row r="728" ht="14.25" customHeight="1">
      <c r="A728" s="32" t="s">
        <v>4399</v>
      </c>
    </row>
    <row r="729" ht="14.25" customHeight="1">
      <c r="A729" s="32" t="s">
        <v>4400</v>
      </c>
    </row>
    <row r="730" ht="14.25" customHeight="1">
      <c r="A730" s="32" t="s">
        <v>4401</v>
      </c>
    </row>
    <row r="731" ht="14.25" customHeight="1">
      <c r="A731" s="32" t="s">
        <v>4402</v>
      </c>
    </row>
    <row r="732" ht="14.25" customHeight="1">
      <c r="A732" s="32" t="s">
        <v>4403</v>
      </c>
    </row>
    <row r="733" ht="14.25" customHeight="1">
      <c r="A733" s="32" t="s">
        <v>4404</v>
      </c>
    </row>
    <row r="734" ht="14.25" customHeight="1">
      <c r="A734" s="32" t="s">
        <v>4405</v>
      </c>
    </row>
    <row r="735" ht="14.25" customHeight="1">
      <c r="A735" s="32" t="s">
        <v>4406</v>
      </c>
    </row>
    <row r="736" ht="14.25" customHeight="1">
      <c r="A736" s="32" t="s">
        <v>4407</v>
      </c>
    </row>
    <row r="737" ht="14.25" customHeight="1">
      <c r="A737" s="32" t="s">
        <v>4408</v>
      </c>
    </row>
    <row r="738" ht="14.25" customHeight="1">
      <c r="A738" s="32" t="s">
        <v>4409</v>
      </c>
    </row>
    <row r="739" ht="14.25" customHeight="1">
      <c r="A739" s="32" t="s">
        <v>4410</v>
      </c>
    </row>
    <row r="740" ht="14.25" customHeight="1">
      <c r="A740" s="32" t="s">
        <v>4411</v>
      </c>
    </row>
    <row r="741" ht="14.25" customHeight="1">
      <c r="A741" s="32" t="s">
        <v>4412</v>
      </c>
    </row>
    <row r="742" ht="14.25" customHeight="1">
      <c r="A742" s="32" t="s">
        <v>4413</v>
      </c>
    </row>
    <row r="743" ht="14.25" customHeight="1">
      <c r="A743" s="32" t="s">
        <v>4414</v>
      </c>
    </row>
    <row r="744" ht="14.25" customHeight="1">
      <c r="A744" s="32" t="s">
        <v>4415</v>
      </c>
    </row>
    <row r="745" ht="14.25" customHeight="1">
      <c r="A745" s="32" t="s">
        <v>4416</v>
      </c>
    </row>
    <row r="746" ht="14.25" customHeight="1">
      <c r="A746" s="32" t="s">
        <v>4417</v>
      </c>
    </row>
    <row r="747" ht="14.25" customHeight="1">
      <c r="A747" s="32" t="s">
        <v>4418</v>
      </c>
    </row>
    <row r="748" ht="14.25" customHeight="1">
      <c r="A748" s="32" t="s">
        <v>4419</v>
      </c>
    </row>
    <row r="749" ht="14.25" customHeight="1">
      <c r="A749" s="32" t="s">
        <v>4420</v>
      </c>
    </row>
    <row r="750" ht="14.25" customHeight="1">
      <c r="A750" s="32" t="s">
        <v>4421</v>
      </c>
    </row>
    <row r="751" ht="14.25" customHeight="1">
      <c r="A751" s="32" t="s">
        <v>4422</v>
      </c>
    </row>
    <row r="752" ht="14.25" customHeight="1">
      <c r="A752" s="32" t="s">
        <v>4423</v>
      </c>
    </row>
    <row r="753" ht="14.25" customHeight="1">
      <c r="A753" s="32" t="s">
        <v>4424</v>
      </c>
    </row>
    <row r="754" ht="14.25" customHeight="1">
      <c r="A754" s="32" t="s">
        <v>4425</v>
      </c>
    </row>
    <row r="755" ht="14.25" customHeight="1">
      <c r="A755" s="32" t="s">
        <v>4426</v>
      </c>
    </row>
    <row r="756" ht="14.25" customHeight="1">
      <c r="A756" s="32" t="s">
        <v>4427</v>
      </c>
    </row>
    <row r="757" ht="14.25" customHeight="1">
      <c r="A757" s="32" t="s">
        <v>4428</v>
      </c>
    </row>
    <row r="758" ht="14.25" customHeight="1">
      <c r="A758" s="32" t="s">
        <v>4429</v>
      </c>
    </row>
    <row r="759" ht="14.25" customHeight="1">
      <c r="A759" s="32" t="s">
        <v>4430</v>
      </c>
    </row>
    <row r="760" ht="14.25" customHeight="1">
      <c r="A760" s="32" t="s">
        <v>4431</v>
      </c>
    </row>
    <row r="761" ht="14.25" customHeight="1">
      <c r="A761" s="32" t="s">
        <v>4432</v>
      </c>
    </row>
    <row r="762" ht="14.25" customHeight="1">
      <c r="A762" s="32" t="s">
        <v>4433</v>
      </c>
    </row>
    <row r="763" ht="14.25" customHeight="1">
      <c r="A763" s="32" t="s">
        <v>4434</v>
      </c>
    </row>
    <row r="764" ht="14.25" customHeight="1">
      <c r="A764" s="32" t="s">
        <v>4435</v>
      </c>
    </row>
    <row r="765" ht="14.25" customHeight="1">
      <c r="A765" s="32" t="s">
        <v>4436</v>
      </c>
    </row>
    <row r="766" ht="14.25" customHeight="1">
      <c r="A766" s="32" t="s">
        <v>4437</v>
      </c>
    </row>
    <row r="767" ht="14.25" customHeight="1">
      <c r="A767" s="32" t="s">
        <v>4438</v>
      </c>
    </row>
    <row r="768" ht="14.25" customHeight="1">
      <c r="A768" s="32" t="s">
        <v>4439</v>
      </c>
    </row>
    <row r="769" ht="14.25" customHeight="1">
      <c r="A769" s="32" t="s">
        <v>4440</v>
      </c>
    </row>
    <row r="770" ht="14.25" customHeight="1">
      <c r="A770" s="32" t="s">
        <v>4441</v>
      </c>
    </row>
    <row r="771" ht="14.25" customHeight="1">
      <c r="A771" s="32" t="s">
        <v>4442</v>
      </c>
    </row>
    <row r="772" ht="14.25" customHeight="1">
      <c r="A772" s="32" t="s">
        <v>4443</v>
      </c>
    </row>
    <row r="773" ht="14.25" customHeight="1">
      <c r="A773" s="32" t="s">
        <v>4444</v>
      </c>
    </row>
    <row r="774" ht="14.25" customHeight="1">
      <c r="A774" s="32" t="s">
        <v>4445</v>
      </c>
    </row>
    <row r="775" ht="14.25" customHeight="1">
      <c r="A775" s="32" t="s">
        <v>4446</v>
      </c>
    </row>
    <row r="776" ht="14.25" customHeight="1">
      <c r="A776" s="32" t="s">
        <v>4447</v>
      </c>
    </row>
    <row r="777" ht="14.25" customHeight="1">
      <c r="A777" s="32" t="s">
        <v>4448</v>
      </c>
    </row>
    <row r="778" ht="14.25" customHeight="1">
      <c r="A778" s="32" t="s">
        <v>4449</v>
      </c>
    </row>
    <row r="779" ht="14.25" customHeight="1">
      <c r="A779" s="32" t="s">
        <v>4450</v>
      </c>
    </row>
    <row r="780" ht="14.25" customHeight="1">
      <c r="A780" s="32" t="s">
        <v>4451</v>
      </c>
    </row>
    <row r="781" ht="14.25" customHeight="1">
      <c r="A781" s="32" t="s">
        <v>4452</v>
      </c>
    </row>
    <row r="782" ht="14.25" customHeight="1">
      <c r="A782" s="32" t="s">
        <v>4453</v>
      </c>
    </row>
    <row r="783" ht="14.25" customHeight="1">
      <c r="A783" s="32" t="s">
        <v>4454</v>
      </c>
    </row>
    <row r="784" ht="14.25" customHeight="1">
      <c r="A784" s="32" t="s">
        <v>4455</v>
      </c>
    </row>
    <row r="785" ht="14.25" customHeight="1">
      <c r="A785" s="32" t="s">
        <v>4456</v>
      </c>
    </row>
    <row r="786" ht="14.25" customHeight="1">
      <c r="A786" s="32" t="s">
        <v>4457</v>
      </c>
    </row>
    <row r="787" ht="14.25" customHeight="1">
      <c r="A787" s="32" t="s">
        <v>4458</v>
      </c>
    </row>
    <row r="788" ht="14.25" customHeight="1">
      <c r="A788" s="32" t="s">
        <v>4459</v>
      </c>
    </row>
    <row r="789" ht="14.25" customHeight="1">
      <c r="A789" s="32" t="s">
        <v>4460</v>
      </c>
    </row>
    <row r="790" ht="14.25" customHeight="1">
      <c r="A790" s="32" t="s">
        <v>4461</v>
      </c>
    </row>
    <row r="791" ht="14.25" customHeight="1">
      <c r="A791" s="32" t="s">
        <v>4462</v>
      </c>
    </row>
    <row r="792" ht="14.25" customHeight="1">
      <c r="A792" s="32" t="s">
        <v>4463</v>
      </c>
    </row>
    <row r="793" ht="14.25" customHeight="1">
      <c r="A793" s="32" t="s">
        <v>4464</v>
      </c>
    </row>
    <row r="794" ht="14.25" customHeight="1">
      <c r="A794" s="32" t="s">
        <v>4465</v>
      </c>
    </row>
    <row r="795" ht="14.25" customHeight="1">
      <c r="A795" s="32" t="s">
        <v>4466</v>
      </c>
    </row>
    <row r="796" ht="14.25" customHeight="1">
      <c r="A796" s="32" t="s">
        <v>4467</v>
      </c>
    </row>
    <row r="797" ht="14.25" customHeight="1">
      <c r="A797" s="32" t="s">
        <v>4468</v>
      </c>
    </row>
    <row r="798" ht="14.25" customHeight="1">
      <c r="A798" s="32" t="s">
        <v>4469</v>
      </c>
    </row>
    <row r="799" ht="14.25" customHeight="1">
      <c r="A799" s="32" t="s">
        <v>4470</v>
      </c>
    </row>
    <row r="800" ht="14.25" customHeight="1">
      <c r="A800" s="32" t="s">
        <v>4471</v>
      </c>
    </row>
    <row r="801" ht="14.25" customHeight="1">
      <c r="A801" s="32" t="s">
        <v>4472</v>
      </c>
    </row>
    <row r="802" ht="14.25" customHeight="1">
      <c r="A802" s="32" t="s">
        <v>4473</v>
      </c>
    </row>
    <row r="803" ht="14.25" customHeight="1">
      <c r="A803" s="32" t="s">
        <v>4474</v>
      </c>
    </row>
    <row r="804" ht="14.25" customHeight="1">
      <c r="A804" s="32" t="s">
        <v>4475</v>
      </c>
    </row>
    <row r="805" ht="14.25" customHeight="1">
      <c r="A805" s="32" t="s">
        <v>4476</v>
      </c>
    </row>
    <row r="806" ht="14.25" customHeight="1">
      <c r="A806" s="32" t="s">
        <v>4477</v>
      </c>
    </row>
    <row r="807" ht="14.25" customHeight="1">
      <c r="A807" s="32" t="s">
        <v>4478</v>
      </c>
    </row>
    <row r="808" ht="14.25" customHeight="1">
      <c r="A808" s="32" t="s">
        <v>4479</v>
      </c>
    </row>
    <row r="809" ht="14.25" customHeight="1">
      <c r="A809" s="32" t="s">
        <v>4480</v>
      </c>
    </row>
    <row r="810" ht="14.25" customHeight="1">
      <c r="A810" s="32" t="s">
        <v>4481</v>
      </c>
    </row>
    <row r="811" ht="14.25" customHeight="1">
      <c r="A811" s="32" t="s">
        <v>4482</v>
      </c>
    </row>
    <row r="812" ht="14.25" customHeight="1">
      <c r="A812" s="32" t="s">
        <v>4483</v>
      </c>
    </row>
    <row r="813" ht="14.25" customHeight="1">
      <c r="A813" s="32" t="s">
        <v>4484</v>
      </c>
    </row>
    <row r="814" ht="14.25" customHeight="1">
      <c r="A814" s="32" t="s">
        <v>4485</v>
      </c>
    </row>
    <row r="815" ht="14.25" customHeight="1">
      <c r="A815" s="32" t="s">
        <v>4486</v>
      </c>
    </row>
    <row r="816" ht="14.25" customHeight="1">
      <c r="A816" s="32" t="s">
        <v>4487</v>
      </c>
    </row>
    <row r="817" ht="14.25" customHeight="1">
      <c r="A817" s="32" t="s">
        <v>4488</v>
      </c>
    </row>
    <row r="818" ht="14.25" customHeight="1">
      <c r="A818" s="32" t="s">
        <v>4489</v>
      </c>
    </row>
    <row r="819" ht="14.25" customHeight="1">
      <c r="A819" s="32" t="s">
        <v>4490</v>
      </c>
    </row>
    <row r="820" ht="14.25" customHeight="1">
      <c r="A820" s="32" t="s">
        <v>4491</v>
      </c>
    </row>
    <row r="821" ht="14.25" customHeight="1">
      <c r="A821" s="32" t="s">
        <v>4492</v>
      </c>
    </row>
    <row r="822" ht="14.25" customHeight="1">
      <c r="A822" s="32" t="s">
        <v>4493</v>
      </c>
    </row>
    <row r="823" ht="14.25" customHeight="1">
      <c r="A823" s="32" t="s">
        <v>4494</v>
      </c>
    </row>
    <row r="824" ht="14.25" customHeight="1">
      <c r="A824" s="32" t="s">
        <v>4495</v>
      </c>
    </row>
    <row r="825" ht="14.25" customHeight="1">
      <c r="A825" s="32" t="s">
        <v>4496</v>
      </c>
    </row>
    <row r="826" ht="14.25" customHeight="1">
      <c r="A826" s="32" t="s">
        <v>4497</v>
      </c>
    </row>
    <row r="827" ht="14.25" customHeight="1">
      <c r="A827" s="32" t="s">
        <v>4498</v>
      </c>
    </row>
    <row r="828" ht="14.25" customHeight="1">
      <c r="A828" s="32" t="s">
        <v>4499</v>
      </c>
    </row>
    <row r="829" ht="14.25" customHeight="1">
      <c r="A829" s="32" t="s">
        <v>4500</v>
      </c>
    </row>
    <row r="830" ht="14.25" customHeight="1">
      <c r="A830" s="32" t="s">
        <v>4501</v>
      </c>
    </row>
    <row r="831" ht="14.25" customHeight="1">
      <c r="A831" s="32" t="s">
        <v>4502</v>
      </c>
    </row>
    <row r="832" ht="14.25" customHeight="1">
      <c r="A832" s="32" t="s">
        <v>4503</v>
      </c>
    </row>
    <row r="833" ht="14.25" customHeight="1">
      <c r="A833" s="32" t="s">
        <v>4504</v>
      </c>
    </row>
    <row r="834" ht="14.25" customHeight="1">
      <c r="A834" s="32" t="s">
        <v>4505</v>
      </c>
    </row>
    <row r="835" ht="14.25" customHeight="1">
      <c r="A835" s="32" t="s">
        <v>4506</v>
      </c>
    </row>
    <row r="836" ht="14.25" customHeight="1">
      <c r="A836" s="32" t="s">
        <v>4507</v>
      </c>
    </row>
    <row r="837" ht="14.25" customHeight="1">
      <c r="A837" s="32" t="s">
        <v>4508</v>
      </c>
    </row>
    <row r="838" ht="14.25" customHeight="1">
      <c r="A838" s="32" t="s">
        <v>4509</v>
      </c>
    </row>
    <row r="839" ht="14.25" customHeight="1">
      <c r="A839" s="32" t="s">
        <v>4510</v>
      </c>
    </row>
    <row r="840" ht="14.25" customHeight="1">
      <c r="A840" s="32" t="s">
        <v>4511</v>
      </c>
    </row>
    <row r="841" ht="14.25" customHeight="1">
      <c r="A841" s="32" t="s">
        <v>4512</v>
      </c>
    </row>
    <row r="842" ht="14.25" customHeight="1">
      <c r="A842" s="32" t="s">
        <v>4513</v>
      </c>
    </row>
    <row r="843" ht="14.25" customHeight="1">
      <c r="A843" s="32" t="s">
        <v>4514</v>
      </c>
    </row>
    <row r="844" ht="14.25" customHeight="1">
      <c r="A844" s="32" t="s">
        <v>4515</v>
      </c>
    </row>
    <row r="845" ht="14.25" customHeight="1">
      <c r="A845" s="32" t="s">
        <v>4516</v>
      </c>
    </row>
    <row r="846" ht="14.25" customHeight="1">
      <c r="A846" s="32" t="s">
        <v>4517</v>
      </c>
    </row>
    <row r="847" ht="14.25" customHeight="1">
      <c r="A847" s="32" t="s">
        <v>4518</v>
      </c>
    </row>
    <row r="848" ht="14.25" customHeight="1">
      <c r="A848" s="32" t="s">
        <v>4519</v>
      </c>
    </row>
    <row r="849" ht="14.25" customHeight="1">
      <c r="A849" s="32" t="s">
        <v>4520</v>
      </c>
    </row>
    <row r="850" ht="14.25" customHeight="1">
      <c r="A850" s="32" t="s">
        <v>4521</v>
      </c>
    </row>
    <row r="851" ht="14.25" customHeight="1">
      <c r="A851" s="32" t="s">
        <v>4522</v>
      </c>
    </row>
    <row r="852" ht="14.25" customHeight="1">
      <c r="A852" s="32" t="s">
        <v>4523</v>
      </c>
    </row>
    <row r="853" ht="14.25" customHeight="1">
      <c r="A853" s="32" t="s">
        <v>4524</v>
      </c>
    </row>
    <row r="854" ht="14.25" customHeight="1">
      <c r="A854" s="32" t="s">
        <v>4525</v>
      </c>
    </row>
    <row r="855" ht="14.25" customHeight="1">
      <c r="A855" s="32" t="s">
        <v>4526</v>
      </c>
    </row>
    <row r="856" ht="14.25" customHeight="1">
      <c r="A856" s="32" t="s">
        <v>4527</v>
      </c>
    </row>
    <row r="857" ht="14.25" customHeight="1">
      <c r="A857" s="32" t="s">
        <v>4528</v>
      </c>
    </row>
    <row r="858" ht="14.25" customHeight="1">
      <c r="A858" s="32" t="s">
        <v>4529</v>
      </c>
    </row>
    <row r="859" ht="14.25" customHeight="1">
      <c r="A859" s="32" t="s">
        <v>4530</v>
      </c>
    </row>
    <row r="860" ht="14.25" customHeight="1">
      <c r="A860" s="32" t="s">
        <v>4531</v>
      </c>
    </row>
    <row r="861" ht="14.25" customHeight="1">
      <c r="A861" s="32" t="s">
        <v>4532</v>
      </c>
    </row>
    <row r="862" ht="14.25" customHeight="1">
      <c r="A862" s="32" t="s">
        <v>4533</v>
      </c>
    </row>
    <row r="863" ht="14.25" customHeight="1">
      <c r="A863" s="32" t="s">
        <v>4534</v>
      </c>
    </row>
    <row r="864" ht="14.25" customHeight="1">
      <c r="A864" s="32" t="s">
        <v>4535</v>
      </c>
    </row>
    <row r="865" ht="14.25" customHeight="1">
      <c r="A865" s="32" t="s">
        <v>4536</v>
      </c>
    </row>
    <row r="866" ht="14.25" customHeight="1">
      <c r="A866" s="32" t="s">
        <v>4537</v>
      </c>
    </row>
    <row r="867" ht="14.25" customHeight="1">
      <c r="A867" s="32" t="s">
        <v>4538</v>
      </c>
    </row>
    <row r="868" ht="14.25" customHeight="1">
      <c r="A868" s="32" t="s">
        <v>4539</v>
      </c>
    </row>
    <row r="869" ht="14.25" customHeight="1">
      <c r="A869" s="32" t="s">
        <v>4540</v>
      </c>
    </row>
    <row r="870" ht="14.25" customHeight="1">
      <c r="A870" s="32" t="s">
        <v>4541</v>
      </c>
    </row>
    <row r="871" ht="14.25" customHeight="1">
      <c r="A871" s="32" t="s">
        <v>4542</v>
      </c>
    </row>
    <row r="872" ht="14.25" customHeight="1">
      <c r="A872" s="32" t="s">
        <v>4543</v>
      </c>
    </row>
    <row r="873" ht="14.25" customHeight="1">
      <c r="A873" s="32" t="s">
        <v>4544</v>
      </c>
    </row>
    <row r="874" ht="14.25" customHeight="1">
      <c r="A874" s="32" t="s">
        <v>4545</v>
      </c>
    </row>
    <row r="875" ht="14.25" customHeight="1">
      <c r="A875" s="32" t="s">
        <v>4546</v>
      </c>
    </row>
    <row r="876" ht="14.25" customHeight="1">
      <c r="A876" s="32" t="s">
        <v>4547</v>
      </c>
    </row>
    <row r="877" ht="14.25" customHeight="1">
      <c r="A877" s="32" t="s">
        <v>4548</v>
      </c>
    </row>
    <row r="878" ht="14.25" customHeight="1">
      <c r="A878" s="32" t="s">
        <v>4549</v>
      </c>
    </row>
    <row r="879" ht="14.25" customHeight="1">
      <c r="A879" s="32" t="s">
        <v>4550</v>
      </c>
    </row>
    <row r="880" ht="14.25" customHeight="1">
      <c r="A880" s="32" t="s">
        <v>4551</v>
      </c>
    </row>
    <row r="881" ht="14.25" customHeight="1">
      <c r="A881" s="32" t="s">
        <v>4552</v>
      </c>
    </row>
    <row r="882" ht="14.25" customHeight="1">
      <c r="A882" s="32" t="s">
        <v>4553</v>
      </c>
    </row>
    <row r="883" ht="14.25" customHeight="1">
      <c r="A883" s="32" t="s">
        <v>4554</v>
      </c>
    </row>
    <row r="884" ht="14.25" customHeight="1">
      <c r="A884" s="32" t="s">
        <v>4555</v>
      </c>
    </row>
    <row r="885" ht="14.25" customHeight="1">
      <c r="A885" s="32" t="s">
        <v>4556</v>
      </c>
    </row>
    <row r="886" ht="14.25" customHeight="1">
      <c r="A886" s="32" t="s">
        <v>4557</v>
      </c>
    </row>
    <row r="887" ht="14.25" customHeight="1">
      <c r="A887" s="32" t="s">
        <v>4558</v>
      </c>
    </row>
    <row r="888" ht="14.25" customHeight="1">
      <c r="A888" s="32" t="s">
        <v>4559</v>
      </c>
    </row>
    <row r="889" ht="14.25" customHeight="1">
      <c r="A889" s="32" t="s">
        <v>4560</v>
      </c>
    </row>
    <row r="890" ht="14.25" customHeight="1">
      <c r="A890" s="32" t="s">
        <v>4561</v>
      </c>
    </row>
    <row r="891" ht="14.25" customHeight="1">
      <c r="A891" s="32" t="s">
        <v>4562</v>
      </c>
    </row>
    <row r="892" ht="14.25" customHeight="1">
      <c r="A892" s="32" t="s">
        <v>4563</v>
      </c>
    </row>
    <row r="893" ht="14.25" customHeight="1">
      <c r="A893" s="32" t="s">
        <v>4564</v>
      </c>
    </row>
    <row r="894" ht="14.25" customHeight="1">
      <c r="A894" s="32" t="s">
        <v>4565</v>
      </c>
    </row>
    <row r="895" ht="14.25" customHeight="1">
      <c r="A895" s="32" t="s">
        <v>4566</v>
      </c>
    </row>
    <row r="896" ht="14.25" customHeight="1">
      <c r="A896" s="32" t="s">
        <v>4567</v>
      </c>
    </row>
    <row r="897" ht="14.25" customHeight="1">
      <c r="A897" s="32" t="s">
        <v>4568</v>
      </c>
    </row>
    <row r="898" ht="14.25" customHeight="1">
      <c r="A898" s="32" t="s">
        <v>4569</v>
      </c>
    </row>
    <row r="899" ht="14.25" customHeight="1">
      <c r="A899" s="32" t="s">
        <v>4570</v>
      </c>
    </row>
    <row r="900" ht="14.25" customHeight="1">
      <c r="A900" s="32" t="s">
        <v>4571</v>
      </c>
    </row>
    <row r="901" ht="14.25" customHeight="1">
      <c r="A901" s="32" t="s">
        <v>4572</v>
      </c>
    </row>
    <row r="902" ht="14.25" customHeight="1">
      <c r="A902" s="32" t="s">
        <v>4573</v>
      </c>
    </row>
    <row r="903" ht="14.25" customHeight="1">
      <c r="A903" s="32" t="s">
        <v>4574</v>
      </c>
    </row>
    <row r="904" ht="14.25" customHeight="1">
      <c r="A904" s="32" t="s">
        <v>4575</v>
      </c>
    </row>
    <row r="905" ht="14.25" customHeight="1">
      <c r="A905" s="32" t="s">
        <v>4576</v>
      </c>
    </row>
    <row r="906" ht="14.25" customHeight="1">
      <c r="A906" s="32" t="s">
        <v>4577</v>
      </c>
    </row>
    <row r="907" ht="14.25" customHeight="1">
      <c r="A907" s="32" t="s">
        <v>4578</v>
      </c>
    </row>
    <row r="908" ht="14.25" customHeight="1">
      <c r="A908" s="32" t="s">
        <v>4579</v>
      </c>
    </row>
    <row r="909" ht="14.25" customHeight="1">
      <c r="A909" s="32" t="s">
        <v>4580</v>
      </c>
    </row>
    <row r="910" ht="14.25" customHeight="1">
      <c r="A910" s="32" t="s">
        <v>4581</v>
      </c>
    </row>
    <row r="911" ht="14.25" customHeight="1">
      <c r="A911" s="32" t="s">
        <v>4582</v>
      </c>
    </row>
    <row r="912" ht="14.25" customHeight="1">
      <c r="A912" s="32" t="s">
        <v>4583</v>
      </c>
    </row>
    <row r="913" ht="14.25" customHeight="1">
      <c r="A913" s="32" t="s">
        <v>4584</v>
      </c>
    </row>
    <row r="914" ht="14.25" customHeight="1">
      <c r="A914" s="32" t="s">
        <v>4585</v>
      </c>
    </row>
    <row r="915" ht="14.25" customHeight="1">
      <c r="A915" s="32" t="s">
        <v>4586</v>
      </c>
    </row>
    <row r="916" ht="14.25" customHeight="1">
      <c r="A916" s="32" t="s">
        <v>4587</v>
      </c>
    </row>
    <row r="917" ht="14.25" customHeight="1">
      <c r="A917" s="32" t="s">
        <v>4588</v>
      </c>
    </row>
    <row r="918" ht="14.25" customHeight="1">
      <c r="A918" s="32" t="s">
        <v>4589</v>
      </c>
    </row>
    <row r="919" ht="14.25" customHeight="1">
      <c r="A919" s="32" t="s">
        <v>4590</v>
      </c>
    </row>
    <row r="920" ht="14.25" customHeight="1">
      <c r="A920" s="32" t="s">
        <v>4591</v>
      </c>
    </row>
    <row r="921" ht="14.25" customHeight="1">
      <c r="A921" s="32" t="s">
        <v>4592</v>
      </c>
    </row>
    <row r="922" ht="14.25" customHeight="1">
      <c r="A922" s="32" t="s">
        <v>4593</v>
      </c>
    </row>
    <row r="923" ht="14.25" customHeight="1">
      <c r="A923" s="32" t="s">
        <v>4594</v>
      </c>
    </row>
    <row r="924" ht="14.25" customHeight="1">
      <c r="A924" s="32" t="s">
        <v>4595</v>
      </c>
    </row>
    <row r="925" ht="14.25" customHeight="1">
      <c r="A925" s="32" t="s">
        <v>4596</v>
      </c>
    </row>
    <row r="926" ht="14.25" customHeight="1">
      <c r="A926" s="32" t="s">
        <v>4597</v>
      </c>
    </row>
    <row r="927" ht="14.25" customHeight="1">
      <c r="A927" s="32" t="s">
        <v>4598</v>
      </c>
    </row>
    <row r="928" ht="14.25" customHeight="1">
      <c r="A928" s="32" t="s">
        <v>4599</v>
      </c>
    </row>
    <row r="929" ht="14.25" customHeight="1">
      <c r="A929" s="32" t="s">
        <v>4600</v>
      </c>
    </row>
    <row r="930" ht="14.25" customHeight="1">
      <c r="A930" s="32" t="s">
        <v>4601</v>
      </c>
    </row>
    <row r="931" ht="14.25" customHeight="1">
      <c r="A931" s="32" t="s">
        <v>4602</v>
      </c>
    </row>
    <row r="932" ht="14.25" customHeight="1">
      <c r="A932" s="32" t="s">
        <v>4603</v>
      </c>
    </row>
    <row r="933" ht="14.25" customHeight="1">
      <c r="A933" s="32" t="s">
        <v>4604</v>
      </c>
    </row>
    <row r="934" ht="14.25" customHeight="1">
      <c r="A934" s="32" t="s">
        <v>4605</v>
      </c>
    </row>
    <row r="935" ht="14.25" customHeight="1">
      <c r="A935" s="32" t="s">
        <v>4606</v>
      </c>
    </row>
    <row r="936" ht="14.25" customHeight="1">
      <c r="A936" s="32" t="s">
        <v>4607</v>
      </c>
    </row>
    <row r="937" ht="14.25" customHeight="1">
      <c r="A937" s="32" t="s">
        <v>4608</v>
      </c>
    </row>
    <row r="938" ht="14.25" customHeight="1">
      <c r="A938" s="32" t="s">
        <v>4609</v>
      </c>
    </row>
    <row r="939" ht="14.25" customHeight="1">
      <c r="A939" s="32" t="s">
        <v>4610</v>
      </c>
    </row>
    <row r="940" ht="14.25" customHeight="1">
      <c r="A940" s="32" t="s">
        <v>4611</v>
      </c>
    </row>
    <row r="941" ht="14.25" customHeight="1">
      <c r="A941" s="32" t="s">
        <v>4612</v>
      </c>
    </row>
    <row r="942" ht="14.25" customHeight="1">
      <c r="A942" s="32" t="s">
        <v>4613</v>
      </c>
    </row>
    <row r="943" ht="14.25" customHeight="1">
      <c r="A943" s="32" t="s">
        <v>4614</v>
      </c>
    </row>
    <row r="944" ht="14.25" customHeight="1">
      <c r="A944" s="32" t="s">
        <v>4615</v>
      </c>
    </row>
    <row r="945" ht="14.25" customHeight="1">
      <c r="A945" s="32" t="s">
        <v>4616</v>
      </c>
    </row>
    <row r="946" ht="14.25" customHeight="1">
      <c r="A946" s="32" t="s">
        <v>4617</v>
      </c>
    </row>
    <row r="947" ht="14.25" customHeight="1">
      <c r="A947" s="32" t="s">
        <v>4618</v>
      </c>
    </row>
    <row r="948" ht="14.25" customHeight="1">
      <c r="A948" s="32" t="s">
        <v>4619</v>
      </c>
    </row>
    <row r="949" ht="14.25" customHeight="1">
      <c r="A949" s="32" t="s">
        <v>4620</v>
      </c>
    </row>
    <row r="950" ht="14.25" customHeight="1">
      <c r="A950" s="32" t="s">
        <v>4621</v>
      </c>
    </row>
    <row r="951" ht="14.25" customHeight="1">
      <c r="A951" s="32" t="s">
        <v>4622</v>
      </c>
    </row>
    <row r="952" ht="14.25" customHeight="1">
      <c r="A952" s="32" t="s">
        <v>4623</v>
      </c>
    </row>
    <row r="953" ht="14.25" customHeight="1">
      <c r="A953" s="32" t="s">
        <v>4624</v>
      </c>
    </row>
    <row r="954" ht="14.25" customHeight="1">
      <c r="A954" s="32" t="s">
        <v>4625</v>
      </c>
    </row>
    <row r="955" ht="14.25" customHeight="1">
      <c r="A955" s="32" t="s">
        <v>4626</v>
      </c>
    </row>
    <row r="956" ht="14.25" customHeight="1">
      <c r="A956" s="32" t="s">
        <v>4627</v>
      </c>
    </row>
    <row r="957" ht="14.25" customHeight="1">
      <c r="A957" s="32" t="s">
        <v>4628</v>
      </c>
    </row>
    <row r="958" ht="14.25" customHeight="1">
      <c r="A958" s="32" t="s">
        <v>4629</v>
      </c>
    </row>
    <row r="959" ht="14.25" customHeight="1">
      <c r="A959" s="32" t="s">
        <v>4630</v>
      </c>
    </row>
    <row r="960" ht="14.25" customHeight="1">
      <c r="A960" s="32" t="s">
        <v>4631</v>
      </c>
    </row>
    <row r="961" ht="14.25" customHeight="1">
      <c r="A961" s="32" t="s">
        <v>4632</v>
      </c>
    </row>
    <row r="962" ht="14.25" customHeight="1">
      <c r="A962" s="32" t="s">
        <v>4633</v>
      </c>
    </row>
    <row r="963" ht="14.25" customHeight="1">
      <c r="A963" s="32" t="s">
        <v>4634</v>
      </c>
    </row>
    <row r="964" ht="14.25" customHeight="1">
      <c r="A964" s="32" t="s">
        <v>4635</v>
      </c>
    </row>
    <row r="965" ht="14.25" customHeight="1">
      <c r="A965" s="32" t="s">
        <v>4636</v>
      </c>
    </row>
    <row r="966" ht="14.25" customHeight="1">
      <c r="A966" s="32" t="s">
        <v>4637</v>
      </c>
    </row>
    <row r="967" ht="14.25" customHeight="1">
      <c r="A967" s="32" t="s">
        <v>4638</v>
      </c>
    </row>
    <row r="968" ht="14.25" customHeight="1">
      <c r="A968" s="32" t="s">
        <v>4639</v>
      </c>
    </row>
    <row r="969" ht="14.25" customHeight="1">
      <c r="A969" s="32" t="s">
        <v>4640</v>
      </c>
    </row>
    <row r="970" ht="14.25" customHeight="1">
      <c r="A970" s="32" t="s">
        <v>4641</v>
      </c>
    </row>
    <row r="971" ht="14.25" customHeight="1">
      <c r="A971" s="32" t="s">
        <v>4642</v>
      </c>
    </row>
    <row r="972" ht="14.25" customHeight="1">
      <c r="A972" s="32" t="s">
        <v>4643</v>
      </c>
    </row>
    <row r="973" ht="14.25" customHeight="1">
      <c r="A973" s="32" t="s">
        <v>4644</v>
      </c>
    </row>
    <row r="974" ht="14.25" customHeight="1">
      <c r="A974" s="32" t="s">
        <v>4645</v>
      </c>
    </row>
    <row r="975" ht="14.25" customHeight="1">
      <c r="A975" s="32" t="s">
        <v>4646</v>
      </c>
    </row>
    <row r="976" ht="14.25" customHeight="1">
      <c r="A976" s="32" t="s">
        <v>4647</v>
      </c>
    </row>
    <row r="977" ht="14.25" customHeight="1">
      <c r="A977" s="32" t="s">
        <v>4648</v>
      </c>
    </row>
    <row r="978" ht="14.25" customHeight="1">
      <c r="A978" s="32" t="s">
        <v>4649</v>
      </c>
    </row>
    <row r="979" ht="14.25" customHeight="1">
      <c r="A979" s="32" t="s">
        <v>4650</v>
      </c>
    </row>
    <row r="980" ht="14.25" customHeight="1">
      <c r="A980" s="32" t="s">
        <v>4651</v>
      </c>
    </row>
    <row r="981" ht="14.25" customHeight="1">
      <c r="A981" s="32" t="s">
        <v>4652</v>
      </c>
    </row>
    <row r="982" ht="14.25" customHeight="1">
      <c r="A982" s="32" t="s">
        <v>4653</v>
      </c>
    </row>
    <row r="983" ht="14.25" customHeight="1">
      <c r="A983" s="32" t="s">
        <v>4654</v>
      </c>
    </row>
    <row r="984" ht="14.25" customHeight="1">
      <c r="A984" s="32" t="s">
        <v>4655</v>
      </c>
    </row>
    <row r="985" ht="14.25" customHeight="1">
      <c r="A985" s="32" t="s">
        <v>4656</v>
      </c>
    </row>
    <row r="986" ht="14.25" customHeight="1">
      <c r="A986" s="32" t="s">
        <v>4657</v>
      </c>
    </row>
    <row r="987" ht="14.25" customHeight="1">
      <c r="A987" s="32" t="s">
        <v>4658</v>
      </c>
    </row>
    <row r="988" ht="14.25" customHeight="1">
      <c r="A988" s="32" t="s">
        <v>4659</v>
      </c>
    </row>
    <row r="989" ht="14.25" customHeight="1">
      <c r="A989" s="32" t="s">
        <v>4660</v>
      </c>
    </row>
    <row r="990" ht="14.25" customHeight="1">
      <c r="A990" s="32" t="s">
        <v>4661</v>
      </c>
    </row>
    <row r="991" ht="14.25" customHeight="1">
      <c r="A991" s="32" t="s">
        <v>4662</v>
      </c>
    </row>
    <row r="992" ht="14.25" customHeight="1">
      <c r="A992" s="32" t="s">
        <v>4663</v>
      </c>
    </row>
    <row r="993" ht="14.25" customHeight="1">
      <c r="A993" s="32" t="s">
        <v>4664</v>
      </c>
    </row>
    <row r="994" ht="14.25" customHeight="1">
      <c r="A994" s="32" t="s">
        <v>4665</v>
      </c>
    </row>
    <row r="995" ht="14.25" customHeight="1">
      <c r="A995" s="32" t="s">
        <v>4666</v>
      </c>
    </row>
    <row r="996" ht="14.25" customHeight="1">
      <c r="A996" s="32" t="s">
        <v>4667</v>
      </c>
    </row>
    <row r="997" ht="14.25" customHeight="1">
      <c r="A997" s="32" t="s">
        <v>4668</v>
      </c>
    </row>
    <row r="998" ht="14.25" customHeight="1">
      <c r="A998" s="32" t="s">
        <v>4669</v>
      </c>
    </row>
    <row r="999" ht="14.25" customHeight="1">
      <c r="A999" s="32" t="s">
        <v>4670</v>
      </c>
    </row>
    <row r="1000" ht="14.25" customHeight="1">
      <c r="A1000" s="32" t="s">
        <v>4671</v>
      </c>
    </row>
    <row r="1001" ht="14.25" customHeight="1">
      <c r="A1001" s="32" t="s">
        <v>4672</v>
      </c>
    </row>
    <row r="1002" ht="14.25" customHeight="1">
      <c r="A1002" s="32" t="s">
        <v>4673</v>
      </c>
    </row>
    <row r="1003" ht="14.25" customHeight="1">
      <c r="A1003" s="32" t="s">
        <v>4674</v>
      </c>
    </row>
    <row r="1004" ht="14.25" customHeight="1">
      <c r="A1004" s="32" t="s">
        <v>4675</v>
      </c>
    </row>
    <row r="1005" ht="14.25" customHeight="1">
      <c r="A1005" s="32" t="s">
        <v>4676</v>
      </c>
    </row>
    <row r="1006" ht="14.25" customHeight="1">
      <c r="A1006" s="32" t="s">
        <v>4677</v>
      </c>
    </row>
    <row r="1007" ht="14.25" customHeight="1">
      <c r="A1007" s="32" t="s">
        <v>4678</v>
      </c>
    </row>
    <row r="1008" ht="14.25" customHeight="1">
      <c r="A1008" s="32" t="s">
        <v>4679</v>
      </c>
    </row>
    <row r="1009" ht="14.25" customHeight="1">
      <c r="A1009" s="32" t="s">
        <v>4680</v>
      </c>
    </row>
    <row r="1010" ht="14.25" customHeight="1">
      <c r="A1010" s="32" t="s">
        <v>4681</v>
      </c>
    </row>
    <row r="1011" ht="14.25" customHeight="1">
      <c r="A1011" s="32" t="s">
        <v>4682</v>
      </c>
    </row>
    <row r="1012" ht="14.25" customHeight="1">
      <c r="A1012" s="32" t="s">
        <v>4683</v>
      </c>
    </row>
    <row r="1013" ht="14.25" customHeight="1">
      <c r="A1013" s="32" t="s">
        <v>4684</v>
      </c>
    </row>
    <row r="1014" ht="14.25" customHeight="1">
      <c r="A1014" s="32" t="s">
        <v>4685</v>
      </c>
    </row>
    <row r="1015" ht="14.25" customHeight="1">
      <c r="A1015" s="32" t="s">
        <v>4686</v>
      </c>
    </row>
    <row r="1016" ht="14.25" customHeight="1">
      <c r="A1016" s="32" t="s">
        <v>4687</v>
      </c>
    </row>
    <row r="1017" ht="14.25" customHeight="1">
      <c r="A1017" s="32" t="s">
        <v>4688</v>
      </c>
    </row>
    <row r="1018" ht="14.25" customHeight="1">
      <c r="A1018" s="32" t="s">
        <v>4689</v>
      </c>
    </row>
    <row r="1019" ht="14.25" customHeight="1">
      <c r="A1019" s="32" t="s">
        <v>4690</v>
      </c>
    </row>
    <row r="1020" ht="14.25" customHeight="1">
      <c r="A1020" s="32" t="s">
        <v>4691</v>
      </c>
    </row>
    <row r="1021" ht="14.25" customHeight="1">
      <c r="A1021" s="32" t="s">
        <v>4692</v>
      </c>
    </row>
    <row r="1022" ht="14.25" customHeight="1">
      <c r="A1022" s="32" t="s">
        <v>4693</v>
      </c>
    </row>
    <row r="1023" ht="14.25" customHeight="1">
      <c r="A1023" s="32" t="s">
        <v>4694</v>
      </c>
    </row>
    <row r="1024" ht="14.25" customHeight="1">
      <c r="A1024" s="32" t="s">
        <v>4695</v>
      </c>
    </row>
    <row r="1025" ht="14.25" customHeight="1">
      <c r="A1025" s="32" t="s">
        <v>4696</v>
      </c>
    </row>
    <row r="1026" ht="14.25" customHeight="1">
      <c r="A1026" s="32" t="s">
        <v>4697</v>
      </c>
    </row>
    <row r="1027" ht="14.25" customHeight="1">
      <c r="A1027" s="32" t="s">
        <v>4698</v>
      </c>
    </row>
    <row r="1028" ht="14.25" customHeight="1">
      <c r="A1028" s="32" t="s">
        <v>4699</v>
      </c>
    </row>
    <row r="1029" ht="14.25" customHeight="1">
      <c r="A1029" s="32" t="s">
        <v>4700</v>
      </c>
    </row>
    <row r="1030" ht="14.25" customHeight="1">
      <c r="A1030" s="32" t="s">
        <v>4701</v>
      </c>
    </row>
    <row r="1031" ht="14.25" customHeight="1">
      <c r="A1031" s="32" t="s">
        <v>4702</v>
      </c>
    </row>
    <row r="1032" ht="14.25" customHeight="1">
      <c r="A1032" s="32" t="s">
        <v>4703</v>
      </c>
    </row>
    <row r="1033" ht="14.25" customHeight="1">
      <c r="A1033" s="32" t="s">
        <v>4704</v>
      </c>
    </row>
    <row r="1034" ht="14.25" customHeight="1">
      <c r="A1034" s="32" t="s">
        <v>4705</v>
      </c>
    </row>
    <row r="1035" ht="14.25" customHeight="1">
      <c r="A1035" s="32" t="s">
        <v>4706</v>
      </c>
    </row>
    <row r="1036" ht="14.25" customHeight="1">
      <c r="A1036" s="32" t="s">
        <v>4707</v>
      </c>
    </row>
    <row r="1037" ht="14.25" customHeight="1">
      <c r="A1037" s="32" t="s">
        <v>4708</v>
      </c>
    </row>
    <row r="1038" ht="14.25" customHeight="1">
      <c r="A1038" s="32" t="s">
        <v>4709</v>
      </c>
    </row>
    <row r="1039" ht="14.25" customHeight="1">
      <c r="A1039" s="32" t="s">
        <v>4710</v>
      </c>
    </row>
    <row r="1040" ht="14.25" customHeight="1">
      <c r="A1040" s="32" t="s">
        <v>4711</v>
      </c>
    </row>
    <row r="1041" ht="14.25" customHeight="1">
      <c r="A1041" s="32" t="s">
        <v>4712</v>
      </c>
    </row>
    <row r="1042" ht="14.25" customHeight="1">
      <c r="A1042" s="32" t="s">
        <v>4713</v>
      </c>
    </row>
    <row r="1043" ht="14.25" customHeight="1">
      <c r="A1043" s="32" t="s">
        <v>4714</v>
      </c>
    </row>
    <row r="1044" ht="14.25" customHeight="1">
      <c r="A1044" s="32" t="s">
        <v>4715</v>
      </c>
    </row>
    <row r="1045" ht="14.25" customHeight="1">
      <c r="A1045" s="32" t="s">
        <v>4716</v>
      </c>
    </row>
    <row r="1046" ht="14.25" customHeight="1">
      <c r="A1046" s="32" t="s">
        <v>4717</v>
      </c>
    </row>
    <row r="1047" ht="14.25" customHeight="1">
      <c r="A1047" s="32" t="s">
        <v>4718</v>
      </c>
    </row>
    <row r="1048" ht="14.25" customHeight="1">
      <c r="A1048" s="32" t="s">
        <v>4719</v>
      </c>
    </row>
    <row r="1049" ht="14.25" customHeight="1">
      <c r="A1049" s="32" t="s">
        <v>4720</v>
      </c>
    </row>
    <row r="1050" ht="14.25" customHeight="1">
      <c r="A1050" s="32" t="s">
        <v>4721</v>
      </c>
    </row>
    <row r="1051" ht="14.25" customHeight="1">
      <c r="A1051" s="32" t="s">
        <v>4722</v>
      </c>
    </row>
    <row r="1052" ht="14.25" customHeight="1">
      <c r="A1052" s="32" t="s">
        <v>4723</v>
      </c>
    </row>
    <row r="1053" ht="14.25" customHeight="1">
      <c r="A1053" s="32" t="s">
        <v>4724</v>
      </c>
    </row>
    <row r="1054" ht="14.25" customHeight="1">
      <c r="A1054" s="32" t="s">
        <v>4725</v>
      </c>
    </row>
    <row r="1055" ht="14.25" customHeight="1">
      <c r="A1055" s="32" t="s">
        <v>4726</v>
      </c>
    </row>
    <row r="1056" ht="14.25" customHeight="1">
      <c r="A1056" s="32" t="s">
        <v>4727</v>
      </c>
    </row>
    <row r="1057" ht="14.25" customHeight="1">
      <c r="A1057" s="32" t="s">
        <v>4728</v>
      </c>
    </row>
    <row r="1058" ht="14.25" customHeight="1">
      <c r="A1058" s="32" t="s">
        <v>4729</v>
      </c>
    </row>
    <row r="1059" ht="14.25" customHeight="1">
      <c r="A1059" s="32" t="s">
        <v>4730</v>
      </c>
    </row>
    <row r="1060" ht="14.25" customHeight="1">
      <c r="A1060" s="32" t="s">
        <v>4731</v>
      </c>
    </row>
    <row r="1061" ht="14.25" customHeight="1">
      <c r="A1061" s="32" t="s">
        <v>4732</v>
      </c>
    </row>
    <row r="1062" ht="14.25" customHeight="1">
      <c r="A1062" s="32" t="s">
        <v>4733</v>
      </c>
    </row>
    <row r="1063" ht="14.25" customHeight="1">
      <c r="A1063" s="32" t="s">
        <v>4734</v>
      </c>
    </row>
    <row r="1064" ht="14.25" customHeight="1">
      <c r="A1064" s="32" t="s">
        <v>4735</v>
      </c>
    </row>
    <row r="1065" ht="14.25" customHeight="1">
      <c r="A1065" s="32" t="s">
        <v>4736</v>
      </c>
    </row>
    <row r="1066" ht="14.25" customHeight="1">
      <c r="A1066" s="32" t="s">
        <v>4737</v>
      </c>
    </row>
    <row r="1067" ht="14.25" customHeight="1">
      <c r="A1067" s="32" t="s">
        <v>4738</v>
      </c>
    </row>
    <row r="1068" ht="14.25" customHeight="1">
      <c r="A1068" s="32" t="s">
        <v>4739</v>
      </c>
    </row>
    <row r="1069" ht="14.25" customHeight="1">
      <c r="A1069" s="32" t="s">
        <v>4740</v>
      </c>
    </row>
    <row r="1070" ht="14.25" customHeight="1">
      <c r="A1070" s="32" t="s">
        <v>4741</v>
      </c>
    </row>
    <row r="1071" ht="14.25" customHeight="1">
      <c r="A1071" s="32" t="s">
        <v>4742</v>
      </c>
    </row>
    <row r="1072" ht="14.25" customHeight="1">
      <c r="A1072" s="32" t="s">
        <v>4743</v>
      </c>
    </row>
    <row r="1073" ht="14.25" customHeight="1">
      <c r="A1073" s="32" t="s">
        <v>4744</v>
      </c>
    </row>
    <row r="1074" ht="14.25" customHeight="1">
      <c r="A1074" s="32" t="s">
        <v>4745</v>
      </c>
    </row>
    <row r="1075" ht="14.25" customHeight="1">
      <c r="A1075" s="32" t="s">
        <v>4746</v>
      </c>
    </row>
    <row r="1076" ht="14.25" customHeight="1">
      <c r="A1076" s="32" t="s">
        <v>4747</v>
      </c>
    </row>
    <row r="1077" ht="14.25" customHeight="1">
      <c r="A1077" s="32" t="s">
        <v>4748</v>
      </c>
    </row>
    <row r="1078" ht="14.25" customHeight="1">
      <c r="A1078" s="32" t="s">
        <v>4749</v>
      </c>
    </row>
    <row r="1079" ht="14.25" customHeight="1">
      <c r="A1079" s="32" t="s">
        <v>4750</v>
      </c>
    </row>
    <row r="1080" ht="14.25" customHeight="1">
      <c r="A1080" s="32" t="s">
        <v>4751</v>
      </c>
    </row>
    <row r="1081" ht="14.25" customHeight="1">
      <c r="A1081" s="32" t="s">
        <v>4752</v>
      </c>
    </row>
    <row r="1082" ht="14.25" customHeight="1">
      <c r="A1082" s="32" t="s">
        <v>4753</v>
      </c>
    </row>
    <row r="1083" ht="14.25" customHeight="1">
      <c r="A1083" s="32" t="s">
        <v>4754</v>
      </c>
    </row>
    <row r="1084" ht="14.25" customHeight="1">
      <c r="A1084" s="32" t="s">
        <v>4755</v>
      </c>
    </row>
    <row r="1085" ht="14.25" customHeight="1">
      <c r="A1085" s="32" t="s">
        <v>4756</v>
      </c>
    </row>
    <row r="1086" ht="14.25" customHeight="1">
      <c r="A1086" s="32" t="s">
        <v>4757</v>
      </c>
    </row>
    <row r="1087" ht="14.25" customHeight="1">
      <c r="A1087" s="32" t="s">
        <v>4758</v>
      </c>
    </row>
    <row r="1088" ht="14.25" customHeight="1">
      <c r="A1088" s="32" t="s">
        <v>4759</v>
      </c>
    </row>
    <row r="1089" ht="14.25" customHeight="1">
      <c r="A1089" s="32" t="s">
        <v>4760</v>
      </c>
    </row>
    <row r="1090" ht="14.25" customHeight="1">
      <c r="A1090" s="32" t="s">
        <v>4761</v>
      </c>
    </row>
    <row r="1091" ht="14.25" customHeight="1">
      <c r="A1091" s="32" t="s">
        <v>4762</v>
      </c>
    </row>
    <row r="1092" ht="14.25" customHeight="1">
      <c r="A1092" s="32" t="s">
        <v>4763</v>
      </c>
    </row>
    <row r="1093" ht="14.25" customHeight="1">
      <c r="A1093" s="32" t="s">
        <v>4764</v>
      </c>
    </row>
    <row r="1094" ht="14.25" customHeight="1">
      <c r="A1094" s="32" t="s">
        <v>4765</v>
      </c>
    </row>
    <row r="1095" ht="14.25" customHeight="1">
      <c r="A1095" s="32" t="s">
        <v>4766</v>
      </c>
    </row>
    <row r="1096" ht="14.25" customHeight="1">
      <c r="A1096" s="32" t="s">
        <v>4767</v>
      </c>
    </row>
    <row r="1097" ht="14.25" customHeight="1">
      <c r="A1097" s="32" t="s">
        <v>4768</v>
      </c>
    </row>
    <row r="1098" ht="14.25" customHeight="1">
      <c r="A1098" s="32" t="s">
        <v>4769</v>
      </c>
    </row>
    <row r="1099" ht="14.25" customHeight="1">
      <c r="A1099" s="32" t="s">
        <v>4770</v>
      </c>
    </row>
    <row r="1100" ht="14.25" customHeight="1">
      <c r="A1100" s="32" t="s">
        <v>4771</v>
      </c>
    </row>
    <row r="1101" ht="14.25" customHeight="1">
      <c r="A1101" s="32" t="s">
        <v>4772</v>
      </c>
    </row>
    <row r="1102" ht="14.25" customHeight="1">
      <c r="A1102" s="32" t="s">
        <v>4773</v>
      </c>
    </row>
    <row r="1103" ht="14.25" customHeight="1">
      <c r="A1103" s="32" t="s">
        <v>4774</v>
      </c>
    </row>
    <row r="1104" ht="14.25" customHeight="1">
      <c r="A1104" s="32" t="s">
        <v>4775</v>
      </c>
    </row>
    <row r="1105" ht="14.25" customHeight="1">
      <c r="A1105" s="32" t="s">
        <v>4776</v>
      </c>
    </row>
    <row r="1106" ht="14.25" customHeight="1">
      <c r="A1106" s="32" t="s">
        <v>4777</v>
      </c>
    </row>
    <row r="1107" ht="14.25" customHeight="1">
      <c r="A1107" s="32" t="s">
        <v>4778</v>
      </c>
    </row>
    <row r="1108" ht="14.25" customHeight="1">
      <c r="A1108" s="32" t="s">
        <v>4779</v>
      </c>
    </row>
    <row r="1109" ht="14.25" customHeight="1">
      <c r="A1109" s="32" t="s">
        <v>4780</v>
      </c>
    </row>
    <row r="1110" ht="14.25" customHeight="1">
      <c r="A1110" s="32" t="s">
        <v>4781</v>
      </c>
    </row>
    <row r="1111" ht="14.25" customHeight="1">
      <c r="A1111" s="32" t="s">
        <v>4782</v>
      </c>
    </row>
    <row r="1112" ht="14.25" customHeight="1">
      <c r="A1112" s="32" t="s">
        <v>4783</v>
      </c>
    </row>
    <row r="1113" ht="14.25" customHeight="1">
      <c r="A1113" s="32" t="s">
        <v>4784</v>
      </c>
    </row>
    <row r="1114" ht="14.25" customHeight="1">
      <c r="A1114" s="32" t="s">
        <v>4785</v>
      </c>
    </row>
    <row r="1115" ht="14.25" customHeight="1">
      <c r="A1115" s="32" t="s">
        <v>4786</v>
      </c>
    </row>
    <row r="1116" ht="14.25" customHeight="1">
      <c r="A1116" s="32" t="s">
        <v>4787</v>
      </c>
    </row>
    <row r="1117" ht="14.25" customHeight="1">
      <c r="A1117" s="32" t="s">
        <v>4788</v>
      </c>
    </row>
    <row r="1118" ht="14.25" customHeight="1">
      <c r="A1118" s="32" t="s">
        <v>4789</v>
      </c>
    </row>
    <row r="1119" ht="14.25" customHeight="1">
      <c r="A1119" s="32" t="s">
        <v>4790</v>
      </c>
    </row>
    <row r="1120" ht="14.25" customHeight="1">
      <c r="A1120" s="32" t="s">
        <v>4791</v>
      </c>
    </row>
    <row r="1121" ht="14.25" customHeight="1">
      <c r="A1121" s="32" t="s">
        <v>4792</v>
      </c>
    </row>
    <row r="1122" ht="14.25" customHeight="1">
      <c r="A1122" s="32" t="s">
        <v>4793</v>
      </c>
    </row>
    <row r="1123" ht="14.25" customHeight="1">
      <c r="A1123" s="32" t="s">
        <v>4794</v>
      </c>
    </row>
    <row r="1124" ht="14.25" customHeight="1">
      <c r="A1124" s="32" t="s">
        <v>4795</v>
      </c>
    </row>
    <row r="1125" ht="14.25" customHeight="1">
      <c r="A1125" s="32" t="s">
        <v>4796</v>
      </c>
    </row>
    <row r="1126" ht="14.25" customHeight="1">
      <c r="A1126" s="32" t="s">
        <v>4797</v>
      </c>
    </row>
    <row r="1127" ht="14.25" customHeight="1">
      <c r="A1127" s="32" t="s">
        <v>4798</v>
      </c>
    </row>
    <row r="1128" ht="14.25" customHeight="1">
      <c r="A1128" s="32" t="s">
        <v>4799</v>
      </c>
    </row>
    <row r="1129" ht="14.25" customHeight="1">
      <c r="A1129" s="32" t="s">
        <v>4800</v>
      </c>
    </row>
    <row r="1130" ht="14.25" customHeight="1">
      <c r="A1130" s="32" t="s">
        <v>4801</v>
      </c>
    </row>
    <row r="1131" ht="14.25" customHeight="1">
      <c r="A1131" s="32" t="s">
        <v>4802</v>
      </c>
    </row>
    <row r="1132" ht="14.25" customHeight="1">
      <c r="A1132" s="32" t="s">
        <v>4803</v>
      </c>
    </row>
    <row r="1133" ht="14.25" customHeight="1">
      <c r="A1133" s="32" t="s">
        <v>4804</v>
      </c>
    </row>
    <row r="1134" ht="14.25" customHeight="1">
      <c r="A1134" s="32" t="s">
        <v>4805</v>
      </c>
    </row>
    <row r="1135" ht="14.25" customHeight="1">
      <c r="A1135" s="32" t="s">
        <v>4806</v>
      </c>
    </row>
    <row r="1136" ht="14.25" customHeight="1">
      <c r="A1136" s="32" t="s">
        <v>4807</v>
      </c>
    </row>
    <row r="1137" ht="14.25" customHeight="1">
      <c r="A1137" s="32" t="s">
        <v>4808</v>
      </c>
    </row>
    <row r="1138" ht="14.25" customHeight="1">
      <c r="A1138" s="32" t="s">
        <v>4809</v>
      </c>
    </row>
    <row r="1139" ht="14.25" customHeight="1">
      <c r="A1139" s="32" t="s">
        <v>4810</v>
      </c>
    </row>
    <row r="1140" ht="14.25" customHeight="1">
      <c r="A1140" s="32" t="s">
        <v>4811</v>
      </c>
    </row>
    <row r="1141" ht="14.25" customHeight="1">
      <c r="A1141" s="32" t="s">
        <v>4812</v>
      </c>
    </row>
    <row r="1142" ht="14.25" customHeight="1">
      <c r="A1142" s="32" t="s">
        <v>4813</v>
      </c>
    </row>
    <row r="1143" ht="14.25" customHeight="1">
      <c r="A1143" s="32" t="s">
        <v>4814</v>
      </c>
    </row>
    <row r="1144" ht="14.25" customHeight="1">
      <c r="A1144" s="32" t="s">
        <v>4815</v>
      </c>
    </row>
    <row r="1145" ht="14.25" customHeight="1">
      <c r="A1145" s="32" t="s">
        <v>4816</v>
      </c>
    </row>
    <row r="1146" ht="14.25" customHeight="1">
      <c r="A1146" s="32" t="s">
        <v>4817</v>
      </c>
    </row>
    <row r="1147" ht="14.25" customHeight="1">
      <c r="A1147" s="32" t="s">
        <v>4818</v>
      </c>
    </row>
    <row r="1148" ht="14.25" customHeight="1">
      <c r="A1148" s="32" t="s">
        <v>4819</v>
      </c>
    </row>
    <row r="1149" ht="14.25" customHeight="1">
      <c r="A1149" s="32" t="s">
        <v>4820</v>
      </c>
    </row>
    <row r="1150" ht="14.25" customHeight="1">
      <c r="A1150" s="32" t="s">
        <v>4821</v>
      </c>
    </row>
    <row r="1151" ht="14.25" customHeight="1">
      <c r="A1151" s="32" t="s">
        <v>4822</v>
      </c>
    </row>
    <row r="1152" ht="14.25" customHeight="1">
      <c r="A1152" s="32" t="s">
        <v>4823</v>
      </c>
    </row>
    <row r="1153" ht="14.25" customHeight="1">
      <c r="A1153" s="32" t="s">
        <v>4824</v>
      </c>
    </row>
    <row r="1154" ht="14.25" customHeight="1">
      <c r="A1154" s="32" t="s">
        <v>4825</v>
      </c>
    </row>
    <row r="1155" ht="14.25" customHeight="1">
      <c r="A1155" s="32" t="s">
        <v>4826</v>
      </c>
    </row>
    <row r="1156" ht="14.25" customHeight="1">
      <c r="A1156" s="32" t="s">
        <v>4827</v>
      </c>
    </row>
    <row r="1157" ht="14.25" customHeight="1">
      <c r="A1157" s="32" t="s">
        <v>4828</v>
      </c>
    </row>
    <row r="1158" ht="14.25" customHeight="1">
      <c r="A1158" s="32" t="s">
        <v>4829</v>
      </c>
    </row>
    <row r="1159" ht="14.25" customHeight="1">
      <c r="A1159" s="32" t="s">
        <v>4830</v>
      </c>
    </row>
    <row r="1160" ht="14.25" customHeight="1">
      <c r="A1160" s="32" t="s">
        <v>4831</v>
      </c>
    </row>
    <row r="1161" ht="14.25" customHeight="1">
      <c r="A1161" s="32" t="s">
        <v>4832</v>
      </c>
    </row>
    <row r="1162" ht="14.25" customHeight="1">
      <c r="A1162" s="32" t="s">
        <v>4833</v>
      </c>
    </row>
    <row r="1163" ht="14.25" customHeight="1">
      <c r="A1163" s="32" t="s">
        <v>4834</v>
      </c>
    </row>
    <row r="1164" ht="14.25" customHeight="1">
      <c r="A1164" s="32" t="s">
        <v>4835</v>
      </c>
    </row>
    <row r="1165" ht="14.25" customHeight="1">
      <c r="A1165" s="32" t="s">
        <v>4836</v>
      </c>
    </row>
    <row r="1166" ht="14.25" customHeight="1">
      <c r="A1166" s="32" t="s">
        <v>4837</v>
      </c>
    </row>
    <row r="1167" ht="14.25" customHeight="1">
      <c r="A1167" s="32" t="s">
        <v>4838</v>
      </c>
    </row>
    <row r="1168" ht="14.25" customHeight="1">
      <c r="A1168" s="32" t="s">
        <v>4839</v>
      </c>
    </row>
    <row r="1169" ht="14.25" customHeight="1">
      <c r="A1169" s="32" t="s">
        <v>4840</v>
      </c>
    </row>
    <row r="1170" ht="14.25" customHeight="1">
      <c r="A1170" s="32" t="s">
        <v>4841</v>
      </c>
    </row>
    <row r="1171" ht="14.25" customHeight="1">
      <c r="A1171" s="32" t="s">
        <v>4842</v>
      </c>
    </row>
    <row r="1172" ht="14.25" customHeight="1">
      <c r="A1172" s="32" t="s">
        <v>4843</v>
      </c>
    </row>
    <row r="1173" ht="14.25" customHeight="1">
      <c r="A1173" s="32" t="s">
        <v>4844</v>
      </c>
    </row>
    <row r="1174" ht="14.25" customHeight="1">
      <c r="A1174" s="32" t="s">
        <v>4845</v>
      </c>
    </row>
    <row r="1175" ht="14.25" customHeight="1">
      <c r="A1175" s="32" t="s">
        <v>4846</v>
      </c>
    </row>
    <row r="1176" ht="14.25" customHeight="1">
      <c r="A1176" s="32" t="s">
        <v>4847</v>
      </c>
    </row>
    <row r="1177" ht="14.25" customHeight="1">
      <c r="A1177" s="32" t="s">
        <v>4848</v>
      </c>
    </row>
    <row r="1178" ht="14.25" customHeight="1">
      <c r="A1178" s="32" t="s">
        <v>4849</v>
      </c>
    </row>
    <row r="1179" ht="14.25" customHeight="1">
      <c r="A1179" s="32" t="s">
        <v>4850</v>
      </c>
    </row>
    <row r="1180" ht="14.25" customHeight="1">
      <c r="A1180" s="32" t="s">
        <v>4851</v>
      </c>
    </row>
    <row r="1181" ht="14.25" customHeight="1">
      <c r="A1181" s="32" t="s">
        <v>4852</v>
      </c>
    </row>
    <row r="1182" ht="14.25" customHeight="1">
      <c r="A1182" s="32" t="s">
        <v>4853</v>
      </c>
    </row>
    <row r="1183" ht="14.25" customHeight="1">
      <c r="A1183" s="32" t="s">
        <v>4854</v>
      </c>
    </row>
    <row r="1184" ht="14.25" customHeight="1">
      <c r="A1184" s="32" t="s">
        <v>4855</v>
      </c>
    </row>
    <row r="1185" ht="14.25" customHeight="1">
      <c r="A1185" s="32" t="s">
        <v>4856</v>
      </c>
    </row>
    <row r="1186" ht="14.25" customHeight="1">
      <c r="A1186" s="32" t="s">
        <v>4857</v>
      </c>
    </row>
    <row r="1187" ht="14.25" customHeight="1">
      <c r="A1187" s="32" t="s">
        <v>4858</v>
      </c>
    </row>
    <row r="1188" ht="14.25" customHeight="1">
      <c r="A1188" s="32" t="s">
        <v>4859</v>
      </c>
    </row>
    <row r="1189" ht="14.25" customHeight="1">
      <c r="A1189" s="32" t="s">
        <v>4860</v>
      </c>
    </row>
    <row r="1190" ht="14.25" customHeight="1">
      <c r="A1190" s="32" t="s">
        <v>4861</v>
      </c>
    </row>
    <row r="1191" ht="14.25" customHeight="1">
      <c r="A1191" s="32" t="s">
        <v>4862</v>
      </c>
    </row>
    <row r="1192" ht="14.25" customHeight="1">
      <c r="A1192" s="32" t="s">
        <v>4863</v>
      </c>
    </row>
    <row r="1193" ht="14.25" customHeight="1">
      <c r="A1193" s="32" t="s">
        <v>4864</v>
      </c>
    </row>
    <row r="1194" ht="14.25" customHeight="1">
      <c r="A1194" s="32" t="s">
        <v>4865</v>
      </c>
    </row>
    <row r="1195" ht="14.25" customHeight="1">
      <c r="A1195" s="32" t="s">
        <v>4866</v>
      </c>
    </row>
    <row r="1196" ht="14.25" customHeight="1">
      <c r="A1196" s="32" t="s">
        <v>4867</v>
      </c>
    </row>
    <row r="1197" ht="14.25" customHeight="1">
      <c r="A1197" s="32" t="s">
        <v>4868</v>
      </c>
    </row>
    <row r="1198" ht="14.25" customHeight="1">
      <c r="A1198" s="32" t="s">
        <v>4869</v>
      </c>
    </row>
    <row r="1199" ht="14.25" customHeight="1">
      <c r="A1199" s="32" t="s">
        <v>4870</v>
      </c>
    </row>
    <row r="1200" ht="14.25" customHeight="1">
      <c r="A1200" s="32" t="s">
        <v>4871</v>
      </c>
    </row>
    <row r="1201" ht="14.25" customHeight="1">
      <c r="A1201" s="32" t="s">
        <v>4872</v>
      </c>
    </row>
    <row r="1202" ht="14.25" customHeight="1">
      <c r="A1202" s="32" t="s">
        <v>4873</v>
      </c>
    </row>
    <row r="1203" ht="14.25" customHeight="1">
      <c r="A1203" s="32" t="s">
        <v>4874</v>
      </c>
    </row>
    <row r="1204" ht="14.25" customHeight="1">
      <c r="A1204" s="32" t="s">
        <v>4875</v>
      </c>
    </row>
    <row r="1205" ht="14.25" customHeight="1">
      <c r="A1205" s="32" t="s">
        <v>4876</v>
      </c>
    </row>
    <row r="1206" ht="14.25" customHeight="1">
      <c r="A1206" s="32" t="s">
        <v>4877</v>
      </c>
    </row>
    <row r="1207" ht="14.25" customHeight="1">
      <c r="A1207" s="32" t="s">
        <v>4878</v>
      </c>
    </row>
    <row r="1208" ht="14.25" customHeight="1">
      <c r="A1208" s="32" t="s">
        <v>4879</v>
      </c>
    </row>
    <row r="1209" ht="14.25" customHeight="1">
      <c r="A1209" s="32" t="s">
        <v>4880</v>
      </c>
    </row>
    <row r="1210" ht="14.25" customHeight="1">
      <c r="A1210" s="32" t="s">
        <v>4881</v>
      </c>
    </row>
    <row r="1211" ht="14.25" customHeight="1">
      <c r="A1211" s="32" t="s">
        <v>4882</v>
      </c>
    </row>
    <row r="1212" ht="14.25" customHeight="1">
      <c r="A1212" s="32" t="s">
        <v>4883</v>
      </c>
    </row>
    <row r="1213" ht="14.25" customHeight="1">
      <c r="A1213" s="32" t="s">
        <v>4884</v>
      </c>
    </row>
    <row r="1214" ht="14.25" customHeight="1">
      <c r="A1214" s="32" t="s">
        <v>4885</v>
      </c>
    </row>
    <row r="1215" ht="14.25" customHeight="1">
      <c r="A1215" s="32" t="s">
        <v>4886</v>
      </c>
    </row>
    <row r="1216" ht="14.25" customHeight="1">
      <c r="A1216" s="32" t="s">
        <v>4887</v>
      </c>
    </row>
    <row r="1217" ht="14.25" customHeight="1">
      <c r="A1217" s="32" t="s">
        <v>4888</v>
      </c>
    </row>
    <row r="1218" ht="14.25" customHeight="1">
      <c r="A1218" s="32" t="s">
        <v>4889</v>
      </c>
    </row>
    <row r="1219" ht="14.25" customHeight="1">
      <c r="A1219" s="32" t="s">
        <v>4890</v>
      </c>
    </row>
    <row r="1220" ht="14.25" customHeight="1">
      <c r="A1220" s="32" t="s">
        <v>4891</v>
      </c>
    </row>
    <row r="1221" ht="14.25" customHeight="1">
      <c r="A1221" s="32" t="s">
        <v>4892</v>
      </c>
    </row>
    <row r="1222" ht="14.25" customHeight="1">
      <c r="A1222" s="32" t="s">
        <v>4893</v>
      </c>
    </row>
    <row r="1223" ht="14.25" customHeight="1">
      <c r="A1223" s="32" t="s">
        <v>4894</v>
      </c>
    </row>
    <row r="1224" ht="14.25" customHeight="1">
      <c r="A1224" s="32" t="s">
        <v>4895</v>
      </c>
    </row>
    <row r="1225" ht="14.25" customHeight="1">
      <c r="A1225" s="32" t="s">
        <v>4896</v>
      </c>
    </row>
    <row r="1226" ht="14.25" customHeight="1">
      <c r="A1226" s="32" t="s">
        <v>4897</v>
      </c>
    </row>
    <row r="1227" ht="14.25" customHeight="1">
      <c r="A1227" s="32" t="s">
        <v>4898</v>
      </c>
    </row>
    <row r="1228" ht="14.25" customHeight="1">
      <c r="A1228" s="32" t="s">
        <v>4899</v>
      </c>
    </row>
    <row r="1229" ht="14.25" customHeight="1">
      <c r="A1229" s="32" t="s">
        <v>4900</v>
      </c>
    </row>
    <row r="1230" ht="14.25" customHeight="1">
      <c r="A1230" s="32" t="s">
        <v>4901</v>
      </c>
    </row>
    <row r="1231" ht="14.25" customHeight="1">
      <c r="A1231" s="32" t="s">
        <v>4902</v>
      </c>
    </row>
    <row r="1232" ht="14.25" customHeight="1">
      <c r="A1232" s="32" t="s">
        <v>4903</v>
      </c>
    </row>
    <row r="1233" ht="14.25" customHeight="1">
      <c r="A1233" s="32" t="s">
        <v>4904</v>
      </c>
    </row>
    <row r="1234" ht="14.25" customHeight="1">
      <c r="A1234" s="32" t="s">
        <v>4905</v>
      </c>
    </row>
    <row r="1235" ht="14.25" customHeight="1">
      <c r="A1235" s="32" t="s">
        <v>4906</v>
      </c>
    </row>
    <row r="1236" ht="14.25" customHeight="1">
      <c r="A1236" s="32" t="s">
        <v>4907</v>
      </c>
    </row>
    <row r="1237" ht="14.25" customHeight="1">
      <c r="A1237" s="32" t="s">
        <v>4908</v>
      </c>
    </row>
    <row r="1238" ht="14.25" customHeight="1">
      <c r="A1238" s="32" t="s">
        <v>4909</v>
      </c>
    </row>
    <row r="1239" ht="14.25" customHeight="1">
      <c r="A1239" s="32" t="s">
        <v>4910</v>
      </c>
    </row>
    <row r="1240" ht="14.25" customHeight="1">
      <c r="A1240" s="32" t="s">
        <v>4911</v>
      </c>
    </row>
    <row r="1241" ht="14.25" customHeight="1">
      <c r="A1241" s="32" t="s">
        <v>4912</v>
      </c>
    </row>
    <row r="1242" ht="14.25" customHeight="1">
      <c r="A1242" s="32" t="s">
        <v>4913</v>
      </c>
    </row>
    <row r="1243" ht="14.25" customHeight="1">
      <c r="A1243" s="32" t="s">
        <v>4914</v>
      </c>
    </row>
    <row r="1244" ht="14.25" customHeight="1">
      <c r="A1244" s="32" t="s">
        <v>4915</v>
      </c>
    </row>
    <row r="1245" ht="14.25" customHeight="1">
      <c r="A1245" s="32" t="s">
        <v>4916</v>
      </c>
    </row>
    <row r="1246" ht="14.25" customHeight="1">
      <c r="A1246" s="32" t="s">
        <v>4917</v>
      </c>
    </row>
    <row r="1247" ht="14.25" customHeight="1">
      <c r="A1247" s="32" t="s">
        <v>4918</v>
      </c>
    </row>
    <row r="1248" ht="14.25" customHeight="1">
      <c r="A1248" s="32" t="s">
        <v>4919</v>
      </c>
    </row>
    <row r="1249" ht="14.25" customHeight="1">
      <c r="A1249" s="32" t="s">
        <v>4920</v>
      </c>
    </row>
    <row r="1250" ht="14.25" customHeight="1">
      <c r="A1250" s="32" t="s">
        <v>4921</v>
      </c>
    </row>
    <row r="1251" ht="14.25" customHeight="1">
      <c r="A1251" s="32" t="s">
        <v>4922</v>
      </c>
    </row>
    <row r="1252" ht="14.25" customHeight="1">
      <c r="A1252" s="32" t="s">
        <v>4923</v>
      </c>
    </row>
    <row r="1253" ht="14.25" customHeight="1">
      <c r="A1253" s="32" t="s">
        <v>4924</v>
      </c>
    </row>
    <row r="1254" ht="14.25" customHeight="1">
      <c r="A1254" s="32" t="s">
        <v>4925</v>
      </c>
    </row>
    <row r="1255" ht="14.25" customHeight="1">
      <c r="A1255" s="32" t="s">
        <v>4926</v>
      </c>
    </row>
    <row r="1256" ht="14.25" customHeight="1">
      <c r="A1256" s="32" t="s">
        <v>4927</v>
      </c>
    </row>
    <row r="1257" ht="14.25" customHeight="1">
      <c r="A1257" s="32" t="s">
        <v>4928</v>
      </c>
    </row>
    <row r="1258" ht="14.25" customHeight="1">
      <c r="A1258" s="32" t="s">
        <v>4929</v>
      </c>
    </row>
    <row r="1259" ht="14.25" customHeight="1">
      <c r="A1259" s="32" t="s">
        <v>4930</v>
      </c>
    </row>
    <row r="1260" ht="14.25" customHeight="1">
      <c r="A1260" s="32" t="s">
        <v>4931</v>
      </c>
    </row>
    <row r="1261" ht="14.25" customHeight="1">
      <c r="A1261" s="32" t="s">
        <v>4932</v>
      </c>
    </row>
    <row r="1262" ht="14.25" customHeight="1">
      <c r="A1262" s="32" t="s">
        <v>4933</v>
      </c>
    </row>
    <row r="1263" ht="14.25" customHeight="1">
      <c r="A1263" s="32" t="s">
        <v>4934</v>
      </c>
    </row>
    <row r="1264" ht="14.25" customHeight="1">
      <c r="A1264" s="32" t="s">
        <v>4935</v>
      </c>
    </row>
    <row r="1265" ht="14.25" customHeight="1">
      <c r="A1265" s="32" t="s">
        <v>4936</v>
      </c>
    </row>
    <row r="1266" ht="14.25" customHeight="1">
      <c r="A1266" s="32" t="s">
        <v>4937</v>
      </c>
    </row>
    <row r="1267" ht="14.25" customHeight="1">
      <c r="A1267" s="32" t="s">
        <v>4938</v>
      </c>
    </row>
    <row r="1268" ht="14.25" customHeight="1">
      <c r="A1268" s="32" t="s">
        <v>4939</v>
      </c>
    </row>
    <row r="1269" ht="14.25" customHeight="1">
      <c r="A1269" s="32" t="s">
        <v>4940</v>
      </c>
    </row>
    <row r="1270" ht="14.25" customHeight="1">
      <c r="A1270" s="32" t="s">
        <v>4941</v>
      </c>
    </row>
    <row r="1271" ht="14.25" customHeight="1">
      <c r="A1271" s="32" t="s">
        <v>4942</v>
      </c>
    </row>
    <row r="1272" ht="14.25" customHeight="1">
      <c r="A1272" s="32" t="s">
        <v>4943</v>
      </c>
    </row>
    <row r="1273" ht="14.25" customHeight="1">
      <c r="A1273" s="32" t="s">
        <v>4944</v>
      </c>
    </row>
    <row r="1274" ht="14.25" customHeight="1">
      <c r="A1274" s="32" t="s">
        <v>4945</v>
      </c>
    </row>
    <row r="1275" ht="14.25" customHeight="1">
      <c r="A1275" s="32" t="s">
        <v>4946</v>
      </c>
    </row>
    <row r="1276" ht="14.25" customHeight="1">
      <c r="A1276" s="32" t="s">
        <v>4947</v>
      </c>
    </row>
    <row r="1277" ht="14.25" customHeight="1">
      <c r="A1277" s="32" t="s">
        <v>4948</v>
      </c>
    </row>
    <row r="1278" ht="14.25" customHeight="1">
      <c r="A1278" s="32" t="s">
        <v>4949</v>
      </c>
    </row>
    <row r="1279" ht="14.25" customHeight="1">
      <c r="A1279" s="32" t="s">
        <v>4950</v>
      </c>
    </row>
    <row r="1280" ht="14.25" customHeight="1">
      <c r="A1280" s="32" t="s">
        <v>4951</v>
      </c>
    </row>
    <row r="1281" ht="14.25" customHeight="1">
      <c r="A1281" s="32" t="s">
        <v>4952</v>
      </c>
    </row>
    <row r="1282" ht="14.25" customHeight="1">
      <c r="A1282" s="32" t="s">
        <v>4953</v>
      </c>
    </row>
    <row r="1283" ht="14.25" customHeight="1">
      <c r="A1283" s="32" t="s">
        <v>4954</v>
      </c>
    </row>
    <row r="1284" ht="14.25" customHeight="1">
      <c r="A1284" s="32" t="s">
        <v>4955</v>
      </c>
    </row>
    <row r="1285" ht="14.25" customHeight="1">
      <c r="A1285" s="32" t="s">
        <v>4956</v>
      </c>
    </row>
    <row r="1286" ht="14.25" customHeight="1">
      <c r="A1286" s="32" t="s">
        <v>4957</v>
      </c>
    </row>
    <row r="1287" ht="14.25" customHeight="1">
      <c r="A1287" s="32" t="s">
        <v>4958</v>
      </c>
    </row>
    <row r="1288" ht="14.25" customHeight="1">
      <c r="A1288" s="32" t="s">
        <v>4959</v>
      </c>
    </row>
    <row r="1289" ht="14.25" customHeight="1">
      <c r="A1289" s="32" t="s">
        <v>4960</v>
      </c>
    </row>
    <row r="1290" ht="14.25" customHeight="1">
      <c r="A1290" s="32" t="s">
        <v>4961</v>
      </c>
    </row>
    <row r="1291" ht="14.25" customHeight="1">
      <c r="A1291" s="32" t="s">
        <v>4962</v>
      </c>
    </row>
    <row r="1292" ht="14.25" customHeight="1">
      <c r="A1292" s="32" t="s">
        <v>4963</v>
      </c>
    </row>
    <row r="1293" ht="14.25" customHeight="1">
      <c r="A1293" s="32" t="s">
        <v>4964</v>
      </c>
    </row>
    <row r="1294" ht="14.25" customHeight="1">
      <c r="A1294" s="32" t="s">
        <v>4965</v>
      </c>
    </row>
    <row r="1295" ht="14.25" customHeight="1">
      <c r="A1295" s="32" t="s">
        <v>4966</v>
      </c>
    </row>
    <row r="1296" ht="14.25" customHeight="1">
      <c r="A1296" s="32" t="s">
        <v>4967</v>
      </c>
    </row>
    <row r="1297" ht="14.25" customHeight="1">
      <c r="A1297" s="32" t="s">
        <v>4968</v>
      </c>
    </row>
    <row r="1298" ht="14.25" customHeight="1">
      <c r="A1298" s="32" t="s">
        <v>4969</v>
      </c>
    </row>
    <row r="1299" ht="14.25" customHeight="1">
      <c r="A1299" s="32" t="s">
        <v>4970</v>
      </c>
    </row>
    <row r="1300" ht="14.25" customHeight="1">
      <c r="A1300" s="32" t="s">
        <v>4971</v>
      </c>
    </row>
    <row r="1301" ht="14.25" customHeight="1">
      <c r="A1301" s="32" t="s">
        <v>4972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43"/>
    <col customWidth="1" min="2" max="6" width="10.71"/>
  </cols>
  <sheetData>
    <row r="1" ht="14.25" customHeight="1">
      <c r="A1" s="32" t="s">
        <v>27</v>
      </c>
    </row>
    <row r="2" ht="14.25" customHeight="1">
      <c r="A2" s="32" t="s">
        <v>4973</v>
      </c>
    </row>
    <row r="3" ht="14.25" customHeight="1">
      <c r="A3" s="32" t="s">
        <v>4974</v>
      </c>
    </row>
    <row r="4" ht="14.25" customHeight="1">
      <c r="A4" s="32" t="s">
        <v>4975</v>
      </c>
    </row>
    <row r="5" ht="14.25" customHeight="1">
      <c r="A5" s="32" t="s">
        <v>4976</v>
      </c>
    </row>
    <row r="6" ht="14.25" customHeight="1">
      <c r="A6" s="32" t="s">
        <v>4977</v>
      </c>
    </row>
    <row r="7" ht="14.25" customHeight="1">
      <c r="A7" s="32" t="s">
        <v>4978</v>
      </c>
    </row>
    <row r="8" ht="14.25" customHeight="1">
      <c r="A8" s="32" t="s">
        <v>4979</v>
      </c>
    </row>
    <row r="9" ht="14.25" customHeight="1">
      <c r="A9" s="32" t="s">
        <v>4980</v>
      </c>
    </row>
    <row r="10" ht="14.25" customHeight="1">
      <c r="A10" s="32" t="s">
        <v>4981</v>
      </c>
    </row>
    <row r="11" ht="14.25" customHeight="1">
      <c r="A11" s="32" t="s">
        <v>4982</v>
      </c>
    </row>
    <row r="12" ht="14.25" customHeight="1">
      <c r="A12" s="32" t="s">
        <v>4983</v>
      </c>
    </row>
    <row r="13" ht="14.25" customHeight="1">
      <c r="A13" s="32" t="s">
        <v>4984</v>
      </c>
    </row>
    <row r="14" ht="14.25" customHeight="1">
      <c r="A14" s="32" t="s">
        <v>4985</v>
      </c>
    </row>
    <row r="15" ht="14.25" customHeight="1">
      <c r="A15" s="32" t="s">
        <v>4986</v>
      </c>
    </row>
    <row r="16" ht="14.25" customHeight="1">
      <c r="A16" s="32" t="s">
        <v>4987</v>
      </c>
    </row>
    <row r="17" ht="14.25" customHeight="1">
      <c r="A17" s="32" t="s">
        <v>4988</v>
      </c>
    </row>
    <row r="18" ht="14.25" customHeight="1">
      <c r="A18" s="32" t="s">
        <v>4989</v>
      </c>
    </row>
    <row r="19" ht="14.25" customHeight="1">
      <c r="A19" s="32" t="s">
        <v>4990</v>
      </c>
    </row>
    <row r="20" ht="14.25" customHeight="1">
      <c r="A20" s="32" t="s">
        <v>4991</v>
      </c>
    </row>
    <row r="21" ht="14.25" customHeight="1">
      <c r="A21" s="32" t="s">
        <v>4992</v>
      </c>
    </row>
    <row r="22" ht="14.25" customHeight="1">
      <c r="A22" s="32" t="s">
        <v>4993</v>
      </c>
    </row>
    <row r="23" ht="14.25" customHeight="1">
      <c r="A23" s="32" t="s">
        <v>4994</v>
      </c>
    </row>
    <row r="24" ht="14.25" customHeight="1">
      <c r="A24" s="32" t="s">
        <v>4995</v>
      </c>
    </row>
    <row r="25" ht="14.25" customHeight="1">
      <c r="A25" s="32" t="s">
        <v>4996</v>
      </c>
    </row>
    <row r="26" ht="14.25" customHeight="1">
      <c r="A26" s="32" t="s">
        <v>4997</v>
      </c>
    </row>
    <row r="27" ht="14.25" customHeight="1">
      <c r="A27" s="32" t="s">
        <v>4998</v>
      </c>
    </row>
    <row r="28" ht="14.25" customHeight="1">
      <c r="A28" s="32" t="s">
        <v>4999</v>
      </c>
    </row>
    <row r="29" ht="14.25" customHeight="1">
      <c r="A29" s="32" t="s">
        <v>5000</v>
      </c>
    </row>
    <row r="30" ht="14.25" customHeight="1">
      <c r="A30" s="32" t="s">
        <v>5001</v>
      </c>
    </row>
    <row r="31" ht="14.25" customHeight="1">
      <c r="A31" s="32" t="s">
        <v>5002</v>
      </c>
    </row>
    <row r="32" ht="14.25" customHeight="1">
      <c r="A32" s="32" t="s">
        <v>5003</v>
      </c>
    </row>
    <row r="33" ht="14.25" customHeight="1">
      <c r="A33" s="32" t="s">
        <v>5004</v>
      </c>
    </row>
    <row r="34" ht="14.25" customHeight="1">
      <c r="A34" s="32" t="s">
        <v>5005</v>
      </c>
    </row>
    <row r="35" ht="14.25" customHeight="1">
      <c r="A35" s="32" t="s">
        <v>5006</v>
      </c>
    </row>
    <row r="36" ht="14.25" customHeight="1">
      <c r="A36" s="32" t="s">
        <v>5007</v>
      </c>
    </row>
    <row r="37" ht="14.25" customHeight="1">
      <c r="A37" s="32" t="s">
        <v>5008</v>
      </c>
    </row>
    <row r="38" ht="14.25" customHeight="1">
      <c r="A38" s="32" t="s">
        <v>5009</v>
      </c>
    </row>
    <row r="39" ht="14.25" customHeight="1">
      <c r="A39" s="32" t="s">
        <v>5010</v>
      </c>
    </row>
    <row r="40" ht="14.25" customHeight="1">
      <c r="A40" s="32" t="s">
        <v>5011</v>
      </c>
    </row>
    <row r="41" ht="14.25" customHeight="1">
      <c r="A41" s="32" t="s">
        <v>5012</v>
      </c>
    </row>
    <row r="42" ht="14.25" customHeight="1">
      <c r="A42" s="32" t="s">
        <v>5013</v>
      </c>
    </row>
    <row r="43" ht="14.25" customHeight="1">
      <c r="A43" s="32" t="s">
        <v>5014</v>
      </c>
    </row>
    <row r="44" ht="14.25" customHeight="1">
      <c r="A44" s="32" t="s">
        <v>5015</v>
      </c>
    </row>
    <row r="45" ht="14.25" customHeight="1">
      <c r="A45" s="32" t="s">
        <v>5016</v>
      </c>
    </row>
    <row r="46" ht="14.25" customHeight="1">
      <c r="A46" s="32" t="s">
        <v>5017</v>
      </c>
    </row>
    <row r="47" ht="14.25" customHeight="1">
      <c r="A47" s="32" t="s">
        <v>5018</v>
      </c>
    </row>
    <row r="48" ht="14.25" customHeight="1">
      <c r="A48" s="32" t="s">
        <v>5019</v>
      </c>
    </row>
    <row r="49" ht="14.25" customHeight="1">
      <c r="A49" s="32" t="s">
        <v>5020</v>
      </c>
    </row>
    <row r="50" ht="14.25" customHeight="1">
      <c r="A50" s="32" t="s">
        <v>5021</v>
      </c>
    </row>
    <row r="51" ht="14.25" customHeight="1">
      <c r="A51" s="32" t="s">
        <v>5022</v>
      </c>
    </row>
    <row r="52" ht="14.25" customHeight="1">
      <c r="A52" s="32" t="s">
        <v>5023</v>
      </c>
    </row>
    <row r="53" ht="14.25" customHeight="1">
      <c r="A53" s="32" t="s">
        <v>5024</v>
      </c>
    </row>
    <row r="54" ht="14.25" customHeight="1">
      <c r="A54" s="32" t="s">
        <v>5025</v>
      </c>
    </row>
    <row r="55" ht="14.25" customHeight="1">
      <c r="A55" s="32" t="s">
        <v>5026</v>
      </c>
    </row>
    <row r="56" ht="14.25" customHeight="1">
      <c r="A56" s="32" t="s">
        <v>5027</v>
      </c>
    </row>
    <row r="57" ht="14.25" customHeight="1">
      <c r="A57" s="32" t="s">
        <v>5028</v>
      </c>
    </row>
    <row r="58" ht="14.25" customHeight="1">
      <c r="A58" s="32" t="s">
        <v>5029</v>
      </c>
    </row>
    <row r="59" ht="14.25" customHeight="1">
      <c r="A59" s="32" t="s">
        <v>5030</v>
      </c>
    </row>
    <row r="60" ht="14.25" customHeight="1">
      <c r="A60" s="32" t="s">
        <v>5031</v>
      </c>
    </row>
    <row r="61" ht="14.25" customHeight="1">
      <c r="A61" s="32" t="s">
        <v>5032</v>
      </c>
    </row>
    <row r="62" ht="14.25" customHeight="1">
      <c r="A62" s="32" t="s">
        <v>5033</v>
      </c>
    </row>
    <row r="63" ht="14.25" customHeight="1">
      <c r="A63" s="32" t="s">
        <v>5034</v>
      </c>
    </row>
    <row r="64" ht="14.25" customHeight="1">
      <c r="A64" s="32" t="s">
        <v>5035</v>
      </c>
    </row>
    <row r="65" ht="14.25" customHeight="1">
      <c r="A65" s="32" t="s">
        <v>5036</v>
      </c>
    </row>
    <row r="66" ht="14.25" customHeight="1">
      <c r="A66" s="32" t="s">
        <v>5037</v>
      </c>
    </row>
    <row r="67" ht="14.25" customHeight="1">
      <c r="A67" s="32" t="s">
        <v>5038</v>
      </c>
    </row>
    <row r="68" ht="14.25" customHeight="1">
      <c r="A68" s="32" t="s">
        <v>5039</v>
      </c>
    </row>
    <row r="69" ht="14.25" customHeight="1">
      <c r="A69" s="32" t="s">
        <v>5040</v>
      </c>
    </row>
    <row r="70" ht="14.25" customHeight="1">
      <c r="A70" s="32" t="s">
        <v>5041</v>
      </c>
    </row>
    <row r="71" ht="14.25" customHeight="1">
      <c r="A71" s="32" t="s">
        <v>5042</v>
      </c>
    </row>
    <row r="72" ht="14.25" customHeight="1">
      <c r="A72" s="32" t="s">
        <v>5043</v>
      </c>
    </row>
    <row r="73" ht="14.25" customHeight="1">
      <c r="A73" s="32" t="s">
        <v>5044</v>
      </c>
    </row>
    <row r="74" ht="14.25" customHeight="1">
      <c r="A74" s="32" t="s">
        <v>5045</v>
      </c>
    </row>
    <row r="75" ht="14.25" customHeight="1">
      <c r="A75" s="32" t="s">
        <v>5046</v>
      </c>
    </row>
    <row r="76" ht="14.25" customHeight="1">
      <c r="A76" s="32" t="s">
        <v>5047</v>
      </c>
    </row>
    <row r="77" ht="14.25" customHeight="1">
      <c r="A77" s="32" t="s">
        <v>5048</v>
      </c>
    </row>
    <row r="78" ht="14.25" customHeight="1">
      <c r="A78" s="32" t="s">
        <v>5049</v>
      </c>
    </row>
    <row r="79" ht="14.25" customHeight="1">
      <c r="A79" s="32" t="s">
        <v>5050</v>
      </c>
    </row>
    <row r="80" ht="14.25" customHeight="1">
      <c r="A80" s="32" t="s">
        <v>5051</v>
      </c>
    </row>
    <row r="81" ht="14.25" customHeight="1">
      <c r="A81" s="32" t="s">
        <v>5052</v>
      </c>
    </row>
    <row r="82" ht="14.25" customHeight="1">
      <c r="A82" s="32" t="s">
        <v>5053</v>
      </c>
    </row>
    <row r="83" ht="14.25" customHeight="1">
      <c r="A83" s="32" t="s">
        <v>5054</v>
      </c>
    </row>
    <row r="84" ht="14.25" customHeight="1">
      <c r="A84" s="32" t="s">
        <v>5055</v>
      </c>
    </row>
    <row r="85" ht="14.25" customHeight="1">
      <c r="A85" s="32" t="s">
        <v>5056</v>
      </c>
    </row>
    <row r="86" ht="14.25" customHeight="1">
      <c r="A86" s="32" t="s">
        <v>5057</v>
      </c>
    </row>
    <row r="87" ht="14.25" customHeight="1">
      <c r="A87" s="32" t="s">
        <v>5058</v>
      </c>
    </row>
    <row r="88" ht="14.25" customHeight="1">
      <c r="A88" s="32" t="s">
        <v>5059</v>
      </c>
    </row>
    <row r="89" ht="14.25" customHeight="1">
      <c r="A89" s="32" t="s">
        <v>5060</v>
      </c>
    </row>
    <row r="90" ht="14.25" customHeight="1">
      <c r="A90" s="32" t="s">
        <v>5061</v>
      </c>
    </row>
    <row r="91" ht="14.25" customHeight="1">
      <c r="A91" s="32" t="s">
        <v>5062</v>
      </c>
    </row>
    <row r="92" ht="14.25" customHeight="1">
      <c r="A92" s="32" t="s">
        <v>5063</v>
      </c>
    </row>
    <row r="93" ht="14.25" customHeight="1">
      <c r="A93" s="32" t="s">
        <v>5064</v>
      </c>
    </row>
    <row r="94" ht="14.25" customHeight="1">
      <c r="A94" s="32" t="s">
        <v>5065</v>
      </c>
    </row>
    <row r="95" ht="14.25" customHeight="1">
      <c r="A95" s="32" t="s">
        <v>5066</v>
      </c>
    </row>
    <row r="96" ht="14.25" customHeight="1">
      <c r="A96" s="32" t="s">
        <v>5067</v>
      </c>
    </row>
    <row r="97" ht="14.25" customHeight="1">
      <c r="A97" s="32" t="s">
        <v>5068</v>
      </c>
    </row>
    <row r="98" ht="14.25" customHeight="1">
      <c r="A98" s="32" t="s">
        <v>5069</v>
      </c>
    </row>
    <row r="99" ht="14.25" customHeight="1">
      <c r="A99" s="32" t="s">
        <v>5070</v>
      </c>
    </row>
    <row r="100" ht="14.25" customHeight="1">
      <c r="A100" s="32" t="s">
        <v>5071</v>
      </c>
    </row>
    <row r="101" ht="14.25" customHeight="1">
      <c r="A101" s="32" t="s">
        <v>5072</v>
      </c>
    </row>
    <row r="102" ht="14.25" customHeight="1">
      <c r="A102" s="32" t="s">
        <v>5073</v>
      </c>
    </row>
    <row r="103" ht="14.25" customHeight="1">
      <c r="A103" s="32" t="s">
        <v>5074</v>
      </c>
    </row>
    <row r="104" ht="14.25" customHeight="1">
      <c r="A104" s="32" t="s">
        <v>5075</v>
      </c>
    </row>
    <row r="105" ht="14.25" customHeight="1">
      <c r="A105" s="32" t="s">
        <v>5076</v>
      </c>
    </row>
    <row r="106" ht="14.25" customHeight="1">
      <c r="A106" s="32" t="s">
        <v>5077</v>
      </c>
    </row>
    <row r="107" ht="14.25" customHeight="1">
      <c r="A107" s="32" t="s">
        <v>5078</v>
      </c>
    </row>
    <row r="108" ht="14.25" customHeight="1">
      <c r="A108" s="32" t="s">
        <v>5079</v>
      </c>
    </row>
    <row r="109" ht="14.25" customHeight="1">
      <c r="A109" s="32" t="s">
        <v>5080</v>
      </c>
    </row>
    <row r="110" ht="14.25" customHeight="1">
      <c r="A110" s="32" t="s">
        <v>5081</v>
      </c>
    </row>
    <row r="111" ht="14.25" customHeight="1">
      <c r="A111" s="32" t="s">
        <v>5082</v>
      </c>
    </row>
    <row r="112" ht="14.25" customHeight="1">
      <c r="A112" s="32" t="s">
        <v>5083</v>
      </c>
    </row>
    <row r="113" ht="14.25" customHeight="1">
      <c r="A113" s="32" t="s">
        <v>5084</v>
      </c>
    </row>
    <row r="114" ht="14.25" customHeight="1">
      <c r="A114" s="32" t="s">
        <v>5085</v>
      </c>
    </row>
    <row r="115" ht="14.25" customHeight="1">
      <c r="A115" s="32" t="s">
        <v>5086</v>
      </c>
    </row>
    <row r="116" ht="14.25" customHeight="1">
      <c r="A116" s="32" t="s">
        <v>5087</v>
      </c>
    </row>
    <row r="117" ht="14.25" customHeight="1">
      <c r="A117" s="32" t="s">
        <v>5088</v>
      </c>
    </row>
    <row r="118" ht="14.25" customHeight="1">
      <c r="A118" s="32" t="s">
        <v>5089</v>
      </c>
    </row>
    <row r="119" ht="14.25" customHeight="1">
      <c r="A119" s="32" t="s">
        <v>5090</v>
      </c>
    </row>
    <row r="120" ht="14.25" customHeight="1">
      <c r="A120" s="32" t="s">
        <v>5091</v>
      </c>
    </row>
    <row r="121" ht="14.25" customHeight="1">
      <c r="A121" s="32" t="s">
        <v>5092</v>
      </c>
    </row>
    <row r="122" ht="14.25" customHeight="1">
      <c r="A122" s="32" t="s">
        <v>5093</v>
      </c>
    </row>
    <row r="123" ht="14.25" customHeight="1">
      <c r="A123" s="32" t="s">
        <v>5094</v>
      </c>
    </row>
    <row r="124" ht="14.25" customHeight="1">
      <c r="A124" s="32" t="s">
        <v>5095</v>
      </c>
    </row>
    <row r="125" ht="14.25" customHeight="1">
      <c r="A125" s="32" t="s">
        <v>5096</v>
      </c>
    </row>
    <row r="126" ht="14.25" customHeight="1">
      <c r="A126" s="32" t="s">
        <v>5097</v>
      </c>
    </row>
    <row r="127" ht="14.25" customHeight="1">
      <c r="A127" s="32" t="s">
        <v>5098</v>
      </c>
    </row>
    <row r="128" ht="14.25" customHeight="1">
      <c r="A128" s="32" t="s">
        <v>5099</v>
      </c>
    </row>
    <row r="129" ht="14.25" customHeight="1">
      <c r="A129" s="32" t="s">
        <v>5100</v>
      </c>
    </row>
    <row r="130" ht="14.25" customHeight="1">
      <c r="A130" s="32" t="s">
        <v>5101</v>
      </c>
    </row>
    <row r="131" ht="14.25" customHeight="1">
      <c r="A131" s="32" t="s">
        <v>5102</v>
      </c>
    </row>
    <row r="132" ht="14.25" customHeight="1">
      <c r="A132" s="32" t="s">
        <v>5103</v>
      </c>
    </row>
    <row r="133" ht="14.25" customHeight="1">
      <c r="A133" s="32" t="s">
        <v>5104</v>
      </c>
    </row>
    <row r="134" ht="14.25" customHeight="1">
      <c r="A134" s="32" t="s">
        <v>5105</v>
      </c>
    </row>
    <row r="135" ht="14.25" customHeight="1">
      <c r="A135" s="32" t="s">
        <v>5106</v>
      </c>
    </row>
    <row r="136" ht="14.25" customHeight="1">
      <c r="A136" s="32" t="s">
        <v>5107</v>
      </c>
    </row>
    <row r="137" ht="14.25" customHeight="1">
      <c r="A137" s="32" t="s">
        <v>5108</v>
      </c>
    </row>
    <row r="138" ht="14.25" customHeight="1">
      <c r="A138" s="32" t="s">
        <v>5109</v>
      </c>
    </row>
    <row r="139" ht="14.25" customHeight="1">
      <c r="A139" s="32" t="s">
        <v>5110</v>
      </c>
    </row>
    <row r="140" ht="14.25" customHeight="1">
      <c r="A140" s="32" t="s">
        <v>5111</v>
      </c>
    </row>
    <row r="141" ht="14.25" customHeight="1">
      <c r="A141" s="32" t="s">
        <v>5112</v>
      </c>
    </row>
    <row r="142" ht="14.25" customHeight="1">
      <c r="A142" s="32" t="s">
        <v>5113</v>
      </c>
    </row>
    <row r="143" ht="14.25" customHeight="1">
      <c r="A143" s="32" t="s">
        <v>5114</v>
      </c>
    </row>
    <row r="144" ht="14.25" customHeight="1">
      <c r="A144" s="32" t="s">
        <v>5115</v>
      </c>
    </row>
    <row r="145" ht="14.25" customHeight="1">
      <c r="A145" s="32" t="s">
        <v>5116</v>
      </c>
    </row>
    <row r="146" ht="14.25" customHeight="1">
      <c r="A146" s="32" t="s">
        <v>5117</v>
      </c>
    </row>
    <row r="147" ht="14.25" customHeight="1">
      <c r="A147" s="32" t="s">
        <v>5118</v>
      </c>
    </row>
    <row r="148" ht="14.25" customHeight="1">
      <c r="A148" s="32" t="s">
        <v>3819</v>
      </c>
    </row>
    <row r="149" ht="14.25" customHeight="1">
      <c r="A149" s="32" t="s">
        <v>5119</v>
      </c>
    </row>
    <row r="150" ht="14.25" customHeight="1">
      <c r="A150" s="32" t="s">
        <v>5120</v>
      </c>
    </row>
    <row r="151" ht="14.25" customHeight="1">
      <c r="A151" s="32" t="s">
        <v>5121</v>
      </c>
    </row>
    <row r="152" ht="14.25" customHeight="1">
      <c r="A152" s="32" t="s">
        <v>5122</v>
      </c>
    </row>
    <row r="153" ht="14.25" customHeight="1">
      <c r="A153" s="32" t="s">
        <v>5123</v>
      </c>
    </row>
    <row r="154" ht="14.25" customHeight="1">
      <c r="A154" s="32" t="s">
        <v>5124</v>
      </c>
    </row>
    <row r="155" ht="14.25" customHeight="1">
      <c r="A155" s="32" t="s">
        <v>5125</v>
      </c>
    </row>
    <row r="156" ht="14.25" customHeight="1">
      <c r="A156" s="32" t="s">
        <v>5126</v>
      </c>
    </row>
    <row r="157" ht="14.25" customHeight="1">
      <c r="A157" s="32" t="s">
        <v>5127</v>
      </c>
    </row>
    <row r="158" ht="14.25" customHeight="1">
      <c r="A158" s="32" t="s">
        <v>5128</v>
      </c>
    </row>
    <row r="159" ht="14.25" customHeight="1">
      <c r="A159" s="32" t="s">
        <v>5129</v>
      </c>
    </row>
    <row r="160" ht="14.25" customHeight="1">
      <c r="A160" s="32" t="s">
        <v>5130</v>
      </c>
    </row>
    <row r="161" ht="14.25" customHeight="1">
      <c r="A161" s="32" t="s">
        <v>3832</v>
      </c>
    </row>
    <row r="162" ht="14.25" customHeight="1">
      <c r="A162" s="32" t="s">
        <v>5131</v>
      </c>
    </row>
    <row r="163" ht="14.25" customHeight="1">
      <c r="A163" s="32" t="s">
        <v>5132</v>
      </c>
    </row>
    <row r="164" ht="14.25" customHeight="1">
      <c r="A164" s="32" t="s">
        <v>5133</v>
      </c>
    </row>
    <row r="165" ht="14.25" customHeight="1">
      <c r="A165" s="32" t="s">
        <v>5134</v>
      </c>
    </row>
    <row r="166" ht="14.25" customHeight="1">
      <c r="A166" s="32" t="s">
        <v>5135</v>
      </c>
    </row>
    <row r="167" ht="14.25" customHeight="1">
      <c r="A167" s="32" t="s">
        <v>5136</v>
      </c>
    </row>
    <row r="168" ht="14.25" customHeight="1">
      <c r="A168" s="32" t="s">
        <v>5137</v>
      </c>
    </row>
    <row r="169" ht="14.25" customHeight="1">
      <c r="A169" s="32" t="s">
        <v>5138</v>
      </c>
    </row>
    <row r="170" ht="14.25" customHeight="1">
      <c r="A170" s="32" t="s">
        <v>5139</v>
      </c>
    </row>
    <row r="171" ht="14.25" customHeight="1">
      <c r="A171" s="32" t="s">
        <v>5140</v>
      </c>
    </row>
    <row r="172" ht="14.25" customHeight="1">
      <c r="A172" s="32" t="s">
        <v>5141</v>
      </c>
    </row>
    <row r="173" ht="14.25" customHeight="1">
      <c r="A173" s="32" t="s">
        <v>5142</v>
      </c>
    </row>
    <row r="174" ht="14.25" customHeight="1">
      <c r="A174" s="32" t="s">
        <v>5143</v>
      </c>
    </row>
    <row r="175" ht="14.25" customHeight="1">
      <c r="A175" s="32" t="s">
        <v>5144</v>
      </c>
    </row>
    <row r="176" ht="14.25" customHeight="1">
      <c r="A176" s="32" t="s">
        <v>5145</v>
      </c>
    </row>
    <row r="177" ht="14.25" customHeight="1">
      <c r="A177" s="32" t="s">
        <v>5146</v>
      </c>
    </row>
    <row r="178" ht="14.25" customHeight="1">
      <c r="A178" s="32" t="s">
        <v>5147</v>
      </c>
    </row>
    <row r="179" ht="14.25" customHeight="1">
      <c r="A179" s="32" t="s">
        <v>5148</v>
      </c>
    </row>
    <row r="180" ht="14.25" customHeight="1">
      <c r="A180" s="32" t="s">
        <v>5149</v>
      </c>
    </row>
    <row r="181" ht="14.25" customHeight="1">
      <c r="A181" s="32" t="s">
        <v>5150</v>
      </c>
    </row>
    <row r="182" ht="14.25" customHeight="1">
      <c r="A182" s="32" t="s">
        <v>5151</v>
      </c>
    </row>
    <row r="183" ht="14.25" customHeight="1">
      <c r="A183" s="32" t="s">
        <v>5152</v>
      </c>
    </row>
    <row r="184" ht="14.25" customHeight="1">
      <c r="A184" s="32" t="s">
        <v>5153</v>
      </c>
    </row>
    <row r="185" ht="14.25" customHeight="1">
      <c r="A185" s="32" t="s">
        <v>5154</v>
      </c>
    </row>
    <row r="186" ht="14.25" customHeight="1">
      <c r="A186" s="32" t="s">
        <v>5155</v>
      </c>
    </row>
    <row r="187" ht="14.25" customHeight="1">
      <c r="A187" s="32" t="s">
        <v>5156</v>
      </c>
    </row>
    <row r="188" ht="14.25" customHeight="1">
      <c r="A188" s="32" t="s">
        <v>5157</v>
      </c>
    </row>
    <row r="189" ht="14.25" customHeight="1">
      <c r="A189" s="32" t="s">
        <v>5158</v>
      </c>
    </row>
    <row r="190" ht="14.25" customHeight="1">
      <c r="A190" s="32" t="s">
        <v>5159</v>
      </c>
    </row>
    <row r="191" ht="14.25" customHeight="1">
      <c r="A191" s="32" t="s">
        <v>5160</v>
      </c>
    </row>
    <row r="192" ht="14.25" customHeight="1">
      <c r="A192" s="32" t="s">
        <v>5161</v>
      </c>
    </row>
    <row r="193" ht="14.25" customHeight="1">
      <c r="A193" s="32" t="s">
        <v>5162</v>
      </c>
    </row>
    <row r="194" ht="14.25" customHeight="1">
      <c r="A194" s="32" t="s">
        <v>5163</v>
      </c>
    </row>
    <row r="195" ht="14.25" customHeight="1">
      <c r="A195" s="32" t="s">
        <v>5164</v>
      </c>
    </row>
    <row r="196" ht="14.25" customHeight="1">
      <c r="A196" s="32" t="s">
        <v>5165</v>
      </c>
    </row>
    <row r="197" ht="14.25" customHeight="1">
      <c r="A197" s="32" t="s">
        <v>5166</v>
      </c>
    </row>
    <row r="198" ht="14.25" customHeight="1">
      <c r="A198" s="32" t="s">
        <v>5167</v>
      </c>
    </row>
    <row r="199" ht="14.25" customHeight="1">
      <c r="A199" s="32" t="s">
        <v>5168</v>
      </c>
    </row>
    <row r="200" ht="14.25" customHeight="1">
      <c r="A200" s="32" t="s">
        <v>5169</v>
      </c>
    </row>
    <row r="201" ht="14.25" customHeight="1">
      <c r="A201" s="32" t="s">
        <v>5170</v>
      </c>
    </row>
    <row r="202" ht="14.25" customHeight="1">
      <c r="A202" s="32" t="s">
        <v>5171</v>
      </c>
    </row>
    <row r="203" ht="14.25" customHeight="1">
      <c r="A203" s="32" t="s">
        <v>5172</v>
      </c>
    </row>
    <row r="204" ht="14.25" customHeight="1">
      <c r="A204" s="32" t="s">
        <v>5173</v>
      </c>
    </row>
    <row r="205" ht="14.25" customHeight="1">
      <c r="A205" s="32" t="s">
        <v>5174</v>
      </c>
    </row>
    <row r="206" ht="14.25" customHeight="1">
      <c r="A206" s="32" t="s">
        <v>5175</v>
      </c>
    </row>
    <row r="207" ht="14.25" customHeight="1">
      <c r="A207" s="32" t="s">
        <v>5176</v>
      </c>
    </row>
    <row r="208" ht="14.25" customHeight="1">
      <c r="A208" s="32" t="s">
        <v>5177</v>
      </c>
    </row>
    <row r="209" ht="14.25" customHeight="1">
      <c r="A209" s="32" t="s">
        <v>5178</v>
      </c>
    </row>
    <row r="210" ht="14.25" customHeight="1">
      <c r="A210" s="32" t="s">
        <v>5179</v>
      </c>
    </row>
    <row r="211" ht="14.25" customHeight="1">
      <c r="A211" s="32" t="s">
        <v>5180</v>
      </c>
    </row>
    <row r="212" ht="14.25" customHeight="1">
      <c r="A212" s="32" t="s">
        <v>5181</v>
      </c>
    </row>
    <row r="213" ht="14.25" customHeight="1">
      <c r="A213" s="32" t="s">
        <v>5182</v>
      </c>
    </row>
    <row r="214" ht="14.25" customHeight="1">
      <c r="A214" s="32" t="s">
        <v>5183</v>
      </c>
    </row>
    <row r="215" ht="14.25" customHeight="1">
      <c r="A215" s="32" t="s">
        <v>5184</v>
      </c>
    </row>
    <row r="216" ht="14.25" customHeight="1">
      <c r="A216" s="32" t="s">
        <v>5185</v>
      </c>
    </row>
    <row r="217" ht="14.25" customHeight="1">
      <c r="A217" s="32" t="s">
        <v>5186</v>
      </c>
    </row>
    <row r="218" ht="14.25" customHeight="1">
      <c r="A218" s="32" t="s">
        <v>5187</v>
      </c>
    </row>
    <row r="219" ht="14.25" customHeight="1">
      <c r="A219" s="32" t="s">
        <v>5188</v>
      </c>
    </row>
    <row r="220" ht="14.25" customHeight="1">
      <c r="A220" s="32" t="s">
        <v>5189</v>
      </c>
    </row>
    <row r="221" ht="14.25" customHeight="1">
      <c r="A221" s="32" t="s">
        <v>5190</v>
      </c>
    </row>
    <row r="222" ht="14.25" customHeight="1">
      <c r="A222" s="32" t="s">
        <v>5191</v>
      </c>
    </row>
    <row r="223" ht="14.25" customHeight="1">
      <c r="A223" s="32" t="s">
        <v>5192</v>
      </c>
    </row>
    <row r="224" ht="14.25" customHeight="1">
      <c r="A224" s="32" t="s">
        <v>5193</v>
      </c>
    </row>
    <row r="225" ht="14.25" customHeight="1">
      <c r="A225" s="32" t="s">
        <v>5194</v>
      </c>
    </row>
    <row r="226" ht="14.25" customHeight="1">
      <c r="A226" s="32" t="s">
        <v>5195</v>
      </c>
    </row>
    <row r="227" ht="14.25" customHeight="1">
      <c r="A227" s="32" t="s">
        <v>5196</v>
      </c>
    </row>
    <row r="228" ht="14.25" customHeight="1">
      <c r="A228" s="32" t="s">
        <v>5197</v>
      </c>
    </row>
    <row r="229" ht="14.25" customHeight="1">
      <c r="A229" s="32" t="s">
        <v>5198</v>
      </c>
    </row>
    <row r="230" ht="14.25" customHeight="1">
      <c r="A230" s="32" t="s">
        <v>5199</v>
      </c>
    </row>
    <row r="231" ht="14.25" customHeight="1">
      <c r="A231" s="32" t="s">
        <v>5200</v>
      </c>
    </row>
    <row r="232" ht="14.25" customHeight="1">
      <c r="A232" s="32" t="s">
        <v>5201</v>
      </c>
    </row>
    <row r="233" ht="14.25" customHeight="1">
      <c r="A233" s="32" t="s">
        <v>5202</v>
      </c>
    </row>
    <row r="234" ht="14.25" customHeight="1">
      <c r="A234" s="32" t="s">
        <v>5203</v>
      </c>
    </row>
    <row r="235" ht="14.25" customHeight="1">
      <c r="A235" s="32" t="s">
        <v>5204</v>
      </c>
    </row>
    <row r="236" ht="14.25" customHeight="1">
      <c r="A236" s="32" t="s">
        <v>5205</v>
      </c>
    </row>
    <row r="237" ht="14.25" customHeight="1">
      <c r="A237" s="32" t="s">
        <v>5206</v>
      </c>
    </row>
    <row r="238" ht="14.25" customHeight="1">
      <c r="A238" s="32" t="s">
        <v>5207</v>
      </c>
    </row>
    <row r="239" ht="14.25" customHeight="1">
      <c r="A239" s="32" t="s">
        <v>5208</v>
      </c>
    </row>
    <row r="240" ht="14.25" customHeight="1">
      <c r="A240" s="32" t="s">
        <v>5209</v>
      </c>
    </row>
    <row r="241" ht="14.25" customHeight="1">
      <c r="A241" s="32" t="s">
        <v>5210</v>
      </c>
    </row>
    <row r="242" ht="14.25" customHeight="1">
      <c r="A242" s="32" t="s">
        <v>5211</v>
      </c>
    </row>
    <row r="243" ht="14.25" customHeight="1">
      <c r="A243" s="32" t="s">
        <v>5212</v>
      </c>
    </row>
    <row r="244" ht="14.25" customHeight="1">
      <c r="A244" s="32" t="s">
        <v>5213</v>
      </c>
    </row>
    <row r="245" ht="14.25" customHeight="1">
      <c r="A245" s="32" t="s">
        <v>5214</v>
      </c>
    </row>
    <row r="246" ht="14.25" customHeight="1">
      <c r="A246" s="32" t="s">
        <v>5215</v>
      </c>
    </row>
    <row r="247" ht="14.25" customHeight="1">
      <c r="A247" s="32" t="s">
        <v>3918</v>
      </c>
    </row>
    <row r="248" ht="14.25" customHeight="1">
      <c r="A248" s="32" t="s">
        <v>5216</v>
      </c>
    </row>
    <row r="249" ht="14.25" customHeight="1">
      <c r="A249" s="32" t="s">
        <v>5217</v>
      </c>
    </row>
    <row r="250" ht="14.25" customHeight="1">
      <c r="A250" s="32" t="s">
        <v>5218</v>
      </c>
    </row>
    <row r="251" ht="14.25" customHeight="1">
      <c r="A251" s="32" t="s">
        <v>5219</v>
      </c>
    </row>
    <row r="252" ht="14.25" customHeight="1">
      <c r="A252" s="32" t="s">
        <v>5220</v>
      </c>
    </row>
    <row r="253" ht="14.25" customHeight="1">
      <c r="A253" s="32" t="s">
        <v>5221</v>
      </c>
    </row>
    <row r="254" ht="14.25" customHeight="1">
      <c r="A254" s="32" t="s">
        <v>5222</v>
      </c>
    </row>
    <row r="255" ht="14.25" customHeight="1">
      <c r="A255" s="32" t="s">
        <v>5223</v>
      </c>
    </row>
    <row r="256" ht="14.25" customHeight="1">
      <c r="A256" s="32" t="s">
        <v>5224</v>
      </c>
    </row>
    <row r="257" ht="14.25" customHeight="1">
      <c r="A257" s="32" t="s">
        <v>5225</v>
      </c>
    </row>
    <row r="258" ht="14.25" customHeight="1">
      <c r="A258" s="32" t="s">
        <v>5226</v>
      </c>
    </row>
    <row r="259" ht="14.25" customHeight="1">
      <c r="A259" s="32" t="s">
        <v>5227</v>
      </c>
    </row>
    <row r="260" ht="14.25" customHeight="1">
      <c r="A260" s="32" t="s">
        <v>5228</v>
      </c>
    </row>
    <row r="261" ht="14.25" customHeight="1">
      <c r="A261" s="32" t="s">
        <v>5229</v>
      </c>
    </row>
    <row r="262" ht="14.25" customHeight="1">
      <c r="A262" s="32" t="s">
        <v>5230</v>
      </c>
    </row>
    <row r="263" ht="14.25" customHeight="1">
      <c r="A263" s="32" t="s">
        <v>5231</v>
      </c>
    </row>
    <row r="264" ht="14.25" customHeight="1">
      <c r="A264" s="32" t="s">
        <v>5232</v>
      </c>
    </row>
    <row r="265" ht="14.25" customHeight="1">
      <c r="A265" s="32" t="s">
        <v>5233</v>
      </c>
    </row>
    <row r="266" ht="14.25" customHeight="1">
      <c r="A266" s="32" t="s">
        <v>5234</v>
      </c>
    </row>
    <row r="267" ht="14.25" customHeight="1">
      <c r="A267" s="32" t="s">
        <v>5235</v>
      </c>
    </row>
    <row r="268" ht="14.25" customHeight="1">
      <c r="A268" s="32" t="s">
        <v>5236</v>
      </c>
    </row>
    <row r="269" ht="14.25" customHeight="1">
      <c r="A269" s="32" t="s">
        <v>5237</v>
      </c>
    </row>
    <row r="270" ht="14.25" customHeight="1">
      <c r="A270" s="32" t="s">
        <v>5238</v>
      </c>
    </row>
    <row r="271" ht="14.25" customHeight="1">
      <c r="A271" s="32" t="s">
        <v>5239</v>
      </c>
    </row>
    <row r="272" ht="14.25" customHeight="1">
      <c r="A272" s="32" t="s">
        <v>5240</v>
      </c>
    </row>
    <row r="273" ht="14.25" customHeight="1">
      <c r="A273" s="32" t="s">
        <v>3944</v>
      </c>
    </row>
    <row r="274" ht="14.25" customHeight="1">
      <c r="A274" s="32" t="s">
        <v>5241</v>
      </c>
    </row>
    <row r="275" ht="14.25" customHeight="1">
      <c r="A275" s="32" t="s">
        <v>5242</v>
      </c>
    </row>
    <row r="276" ht="14.25" customHeight="1">
      <c r="A276" s="32" t="s">
        <v>5243</v>
      </c>
    </row>
    <row r="277" ht="14.25" customHeight="1">
      <c r="A277" s="32" t="s">
        <v>5244</v>
      </c>
    </row>
    <row r="278" ht="14.25" customHeight="1">
      <c r="A278" s="32" t="s">
        <v>5245</v>
      </c>
    </row>
    <row r="279" ht="14.25" customHeight="1">
      <c r="A279" s="32" t="s">
        <v>5246</v>
      </c>
    </row>
    <row r="280" ht="14.25" customHeight="1">
      <c r="A280" s="32" t="s">
        <v>5247</v>
      </c>
    </row>
    <row r="281" ht="14.25" customHeight="1">
      <c r="A281" s="32" t="s">
        <v>5248</v>
      </c>
    </row>
    <row r="282" ht="14.25" customHeight="1">
      <c r="A282" s="32" t="s">
        <v>5249</v>
      </c>
    </row>
    <row r="283" ht="14.25" customHeight="1">
      <c r="A283" s="32" t="s">
        <v>5250</v>
      </c>
    </row>
    <row r="284" ht="14.25" customHeight="1">
      <c r="A284" s="32" t="s">
        <v>5251</v>
      </c>
    </row>
    <row r="285" ht="14.25" customHeight="1">
      <c r="A285" s="32" t="s">
        <v>5252</v>
      </c>
    </row>
    <row r="286" ht="14.25" customHeight="1">
      <c r="A286" s="32" t="s">
        <v>5253</v>
      </c>
    </row>
    <row r="287" ht="14.25" customHeight="1">
      <c r="A287" s="32" t="s">
        <v>5254</v>
      </c>
    </row>
    <row r="288" ht="14.25" customHeight="1">
      <c r="A288" s="32" t="s">
        <v>5255</v>
      </c>
    </row>
    <row r="289" ht="14.25" customHeight="1">
      <c r="A289" s="32" t="s">
        <v>5256</v>
      </c>
    </row>
    <row r="290" ht="14.25" customHeight="1">
      <c r="A290" s="32" t="s">
        <v>5257</v>
      </c>
    </row>
    <row r="291" ht="14.25" customHeight="1">
      <c r="A291" s="32" t="s">
        <v>5258</v>
      </c>
    </row>
    <row r="292" ht="14.25" customHeight="1">
      <c r="A292" s="32" t="s">
        <v>5259</v>
      </c>
    </row>
    <row r="293" ht="14.25" customHeight="1">
      <c r="A293" s="32" t="s">
        <v>5260</v>
      </c>
    </row>
    <row r="294" ht="14.25" customHeight="1">
      <c r="A294" s="32" t="s">
        <v>5261</v>
      </c>
    </row>
    <row r="295" ht="14.25" customHeight="1">
      <c r="A295" s="32" t="s">
        <v>5262</v>
      </c>
    </row>
    <row r="296" ht="14.25" customHeight="1">
      <c r="A296" s="32" t="s">
        <v>5263</v>
      </c>
    </row>
    <row r="297" ht="14.25" customHeight="1">
      <c r="A297" s="32" t="s">
        <v>5264</v>
      </c>
    </row>
    <row r="298" ht="14.25" customHeight="1">
      <c r="A298" s="32" t="s">
        <v>5265</v>
      </c>
    </row>
    <row r="299" ht="14.25" customHeight="1">
      <c r="A299" s="32" t="s">
        <v>5266</v>
      </c>
    </row>
    <row r="300" ht="14.25" customHeight="1">
      <c r="A300" s="32" t="s">
        <v>5267</v>
      </c>
    </row>
    <row r="301" ht="14.25" customHeight="1">
      <c r="A301" s="32" t="s">
        <v>5268</v>
      </c>
    </row>
    <row r="302" ht="14.25" customHeight="1">
      <c r="A302" s="32" t="s">
        <v>5269</v>
      </c>
    </row>
    <row r="303" ht="14.25" customHeight="1">
      <c r="A303" s="32" t="s">
        <v>5270</v>
      </c>
    </row>
    <row r="304" ht="14.25" customHeight="1">
      <c r="A304" s="32" t="s">
        <v>5271</v>
      </c>
    </row>
    <row r="305" ht="14.25" customHeight="1">
      <c r="A305" s="32" t="s">
        <v>5272</v>
      </c>
    </row>
    <row r="306" ht="14.25" customHeight="1">
      <c r="A306" s="32" t="s">
        <v>5273</v>
      </c>
    </row>
    <row r="307" ht="14.25" customHeight="1">
      <c r="A307" s="32" t="s">
        <v>5274</v>
      </c>
    </row>
    <row r="308" ht="14.25" customHeight="1">
      <c r="A308" s="32" t="s">
        <v>5275</v>
      </c>
    </row>
    <row r="309" ht="14.25" customHeight="1">
      <c r="A309" s="32" t="s">
        <v>5276</v>
      </c>
    </row>
    <row r="310" ht="14.25" customHeight="1">
      <c r="A310" s="32" t="s">
        <v>5277</v>
      </c>
    </row>
    <row r="311" ht="14.25" customHeight="1">
      <c r="A311" s="32" t="s">
        <v>5278</v>
      </c>
    </row>
    <row r="312" ht="14.25" customHeight="1">
      <c r="A312" s="32" t="s">
        <v>5279</v>
      </c>
    </row>
    <row r="313" ht="14.25" customHeight="1">
      <c r="A313" s="32" t="s">
        <v>5280</v>
      </c>
    </row>
    <row r="314" ht="14.25" customHeight="1">
      <c r="A314" s="32" t="s">
        <v>5281</v>
      </c>
    </row>
    <row r="315" ht="14.25" customHeight="1">
      <c r="A315" s="32" t="s">
        <v>5282</v>
      </c>
    </row>
    <row r="316" ht="14.25" customHeight="1">
      <c r="A316" s="32" t="s">
        <v>5283</v>
      </c>
    </row>
    <row r="317" ht="14.25" customHeight="1">
      <c r="A317" s="32" t="s">
        <v>5284</v>
      </c>
    </row>
    <row r="318" ht="14.25" customHeight="1">
      <c r="A318" s="32" t="s">
        <v>3989</v>
      </c>
    </row>
    <row r="319" ht="14.25" customHeight="1">
      <c r="A319" s="32" t="s">
        <v>5285</v>
      </c>
    </row>
    <row r="320" ht="14.25" customHeight="1">
      <c r="A320" s="32" t="s">
        <v>5286</v>
      </c>
    </row>
    <row r="321" ht="14.25" customHeight="1">
      <c r="A321" s="32" t="s">
        <v>5287</v>
      </c>
    </row>
    <row r="322" ht="14.25" customHeight="1">
      <c r="A322" s="32" t="s">
        <v>5288</v>
      </c>
    </row>
    <row r="323" ht="14.25" customHeight="1">
      <c r="A323" s="32" t="s">
        <v>5289</v>
      </c>
    </row>
    <row r="324" ht="14.25" customHeight="1">
      <c r="A324" s="32" t="s">
        <v>5290</v>
      </c>
    </row>
    <row r="325" ht="14.25" customHeight="1">
      <c r="A325" s="32" t="s">
        <v>5291</v>
      </c>
    </row>
    <row r="326" ht="14.25" customHeight="1">
      <c r="A326" s="32" t="s">
        <v>5292</v>
      </c>
    </row>
    <row r="327" ht="14.25" customHeight="1">
      <c r="A327" s="32" t="s">
        <v>5293</v>
      </c>
    </row>
    <row r="328" ht="14.25" customHeight="1">
      <c r="A328" s="32" t="s">
        <v>3999</v>
      </c>
    </row>
    <row r="329" ht="14.25" customHeight="1">
      <c r="A329" s="32" t="s">
        <v>4000</v>
      </c>
    </row>
    <row r="330" ht="14.25" customHeight="1">
      <c r="A330" s="32" t="s">
        <v>5294</v>
      </c>
    </row>
    <row r="331" ht="14.25" customHeight="1">
      <c r="A331" s="32" t="s">
        <v>5295</v>
      </c>
    </row>
    <row r="332" ht="14.25" customHeight="1">
      <c r="A332" s="32" t="s">
        <v>5296</v>
      </c>
    </row>
    <row r="333" ht="14.25" customHeight="1">
      <c r="A333" s="32" t="s">
        <v>5297</v>
      </c>
    </row>
    <row r="334" ht="14.25" customHeight="1">
      <c r="A334" s="32" t="s">
        <v>5298</v>
      </c>
    </row>
    <row r="335" ht="14.25" customHeight="1">
      <c r="A335" s="32" t="s">
        <v>5299</v>
      </c>
    </row>
    <row r="336" ht="14.25" customHeight="1">
      <c r="A336" s="32" t="s">
        <v>5300</v>
      </c>
    </row>
    <row r="337" ht="14.25" customHeight="1">
      <c r="A337" s="32" t="s">
        <v>5301</v>
      </c>
    </row>
    <row r="338" ht="14.25" customHeight="1">
      <c r="A338" s="32" t="s">
        <v>5302</v>
      </c>
    </row>
    <row r="339" ht="14.25" customHeight="1">
      <c r="A339" s="32" t="s">
        <v>5303</v>
      </c>
    </row>
    <row r="340" ht="14.25" customHeight="1">
      <c r="A340" s="32" t="s">
        <v>5304</v>
      </c>
    </row>
    <row r="341" ht="14.25" customHeight="1">
      <c r="A341" s="32" t="s">
        <v>5305</v>
      </c>
    </row>
    <row r="342" ht="14.25" customHeight="1">
      <c r="A342" s="32" t="s">
        <v>5306</v>
      </c>
    </row>
    <row r="343" ht="14.25" customHeight="1">
      <c r="A343" s="32" t="s">
        <v>5307</v>
      </c>
    </row>
    <row r="344" ht="14.25" customHeight="1">
      <c r="A344" s="32" t="s">
        <v>5308</v>
      </c>
    </row>
    <row r="345" ht="14.25" customHeight="1">
      <c r="A345" s="32" t="s">
        <v>5309</v>
      </c>
    </row>
    <row r="346" ht="14.25" customHeight="1">
      <c r="A346" s="32" t="s">
        <v>5310</v>
      </c>
    </row>
    <row r="347" ht="14.25" customHeight="1">
      <c r="A347" s="32" t="s">
        <v>5311</v>
      </c>
    </row>
    <row r="348" ht="14.25" customHeight="1">
      <c r="A348" s="32" t="s">
        <v>5312</v>
      </c>
    </row>
    <row r="349" ht="14.25" customHeight="1">
      <c r="A349" s="32" t="s">
        <v>4020</v>
      </c>
    </row>
    <row r="350" ht="14.25" customHeight="1">
      <c r="A350" s="32" t="s">
        <v>5313</v>
      </c>
    </row>
    <row r="351" ht="14.25" customHeight="1">
      <c r="A351" s="32" t="s">
        <v>5314</v>
      </c>
    </row>
    <row r="352" ht="14.25" customHeight="1">
      <c r="A352" s="32" t="s">
        <v>5315</v>
      </c>
    </row>
    <row r="353" ht="14.25" customHeight="1">
      <c r="A353" s="32" t="s">
        <v>5316</v>
      </c>
    </row>
    <row r="354" ht="14.25" customHeight="1">
      <c r="A354" s="32" t="s">
        <v>5317</v>
      </c>
    </row>
    <row r="355" ht="14.25" customHeight="1">
      <c r="A355" s="32" t="s">
        <v>5318</v>
      </c>
    </row>
    <row r="356" ht="14.25" customHeight="1">
      <c r="A356" s="32" t="s">
        <v>5319</v>
      </c>
    </row>
    <row r="357" ht="14.25" customHeight="1">
      <c r="A357" s="32" t="s">
        <v>5320</v>
      </c>
    </row>
    <row r="358" ht="14.25" customHeight="1">
      <c r="A358" s="32" t="s">
        <v>5321</v>
      </c>
    </row>
    <row r="359" ht="14.25" customHeight="1">
      <c r="A359" s="32" t="s">
        <v>5322</v>
      </c>
    </row>
    <row r="360" ht="14.25" customHeight="1">
      <c r="A360" s="32" t="s">
        <v>5323</v>
      </c>
    </row>
    <row r="361" ht="14.25" customHeight="1">
      <c r="A361" s="32" t="s">
        <v>5324</v>
      </c>
    </row>
    <row r="362" ht="14.25" customHeight="1">
      <c r="A362" s="32" t="s">
        <v>5325</v>
      </c>
    </row>
    <row r="363" ht="14.25" customHeight="1">
      <c r="A363" s="32" t="s">
        <v>5326</v>
      </c>
    </row>
    <row r="364" ht="14.25" customHeight="1">
      <c r="A364" s="32" t="s">
        <v>5327</v>
      </c>
    </row>
    <row r="365" ht="14.25" customHeight="1">
      <c r="A365" s="32" t="s">
        <v>5328</v>
      </c>
    </row>
    <row r="366" ht="14.25" customHeight="1">
      <c r="A366" s="32" t="s">
        <v>5329</v>
      </c>
    </row>
    <row r="367" ht="14.25" customHeight="1">
      <c r="A367" s="32" t="s">
        <v>5330</v>
      </c>
    </row>
    <row r="368" ht="14.25" customHeight="1">
      <c r="A368" s="32" t="s">
        <v>5331</v>
      </c>
    </row>
    <row r="369" ht="14.25" customHeight="1">
      <c r="A369" s="32" t="s">
        <v>5332</v>
      </c>
    </row>
    <row r="370" ht="14.25" customHeight="1">
      <c r="A370" s="32" t="s">
        <v>5333</v>
      </c>
    </row>
    <row r="371" ht="14.25" customHeight="1">
      <c r="A371" s="32" t="s">
        <v>5334</v>
      </c>
    </row>
    <row r="372" ht="14.25" customHeight="1">
      <c r="A372" s="32" t="s">
        <v>5335</v>
      </c>
    </row>
    <row r="373" ht="14.25" customHeight="1">
      <c r="A373" s="32" t="s">
        <v>5336</v>
      </c>
    </row>
    <row r="374" ht="14.25" customHeight="1">
      <c r="A374" s="32" t="s">
        <v>5337</v>
      </c>
    </row>
    <row r="375" ht="14.25" customHeight="1">
      <c r="A375" s="32" t="s">
        <v>5338</v>
      </c>
    </row>
    <row r="376" ht="14.25" customHeight="1">
      <c r="A376" s="32" t="s">
        <v>5339</v>
      </c>
    </row>
    <row r="377" ht="14.25" customHeight="1">
      <c r="A377" s="32" t="s">
        <v>5340</v>
      </c>
    </row>
    <row r="378" ht="14.25" customHeight="1">
      <c r="A378" s="32" t="s">
        <v>5341</v>
      </c>
    </row>
    <row r="379" ht="14.25" customHeight="1">
      <c r="A379" s="32" t="s">
        <v>5342</v>
      </c>
    </row>
    <row r="380" ht="14.25" customHeight="1">
      <c r="A380" s="32" t="s">
        <v>5343</v>
      </c>
    </row>
    <row r="381" ht="14.25" customHeight="1">
      <c r="A381" s="32" t="s">
        <v>5344</v>
      </c>
    </row>
    <row r="382" ht="14.25" customHeight="1">
      <c r="A382" s="32" t="s">
        <v>5345</v>
      </c>
    </row>
    <row r="383" ht="14.25" customHeight="1">
      <c r="A383" s="32" t="s">
        <v>5346</v>
      </c>
    </row>
    <row r="384" ht="14.25" customHeight="1">
      <c r="A384" s="32" t="s">
        <v>5347</v>
      </c>
    </row>
    <row r="385" ht="14.25" customHeight="1">
      <c r="A385" s="32" t="s">
        <v>5348</v>
      </c>
    </row>
    <row r="386" ht="14.25" customHeight="1">
      <c r="A386" s="32" t="s">
        <v>5349</v>
      </c>
    </row>
    <row r="387" ht="14.25" customHeight="1">
      <c r="A387" s="32" t="s">
        <v>5350</v>
      </c>
    </row>
    <row r="388" ht="14.25" customHeight="1">
      <c r="A388" s="32" t="s">
        <v>5351</v>
      </c>
    </row>
    <row r="389" ht="14.25" customHeight="1">
      <c r="A389" s="32" t="s">
        <v>5352</v>
      </c>
    </row>
    <row r="390" ht="14.25" customHeight="1">
      <c r="A390" s="32" t="s">
        <v>5353</v>
      </c>
    </row>
    <row r="391" ht="14.25" customHeight="1">
      <c r="A391" s="32" t="s">
        <v>5354</v>
      </c>
    </row>
    <row r="392" ht="14.25" customHeight="1">
      <c r="A392" s="32" t="s">
        <v>5355</v>
      </c>
    </row>
    <row r="393" ht="14.25" customHeight="1">
      <c r="A393" s="32" t="s">
        <v>5356</v>
      </c>
    </row>
    <row r="394" ht="14.25" customHeight="1">
      <c r="A394" s="32" t="s">
        <v>5357</v>
      </c>
    </row>
    <row r="395" ht="14.25" customHeight="1">
      <c r="A395" s="32" t="s">
        <v>4066</v>
      </c>
    </row>
    <row r="396" ht="14.25" customHeight="1">
      <c r="A396" s="32" t="s">
        <v>5358</v>
      </c>
    </row>
    <row r="397" ht="14.25" customHeight="1">
      <c r="A397" s="32" t="s">
        <v>5359</v>
      </c>
    </row>
    <row r="398" ht="14.25" customHeight="1">
      <c r="A398" s="32" t="s">
        <v>5360</v>
      </c>
    </row>
    <row r="399" ht="14.25" customHeight="1">
      <c r="A399" s="32" t="s">
        <v>5361</v>
      </c>
    </row>
    <row r="400" ht="14.25" customHeight="1">
      <c r="A400" s="32" t="s">
        <v>5362</v>
      </c>
    </row>
    <row r="401" ht="14.25" customHeight="1">
      <c r="A401" s="32" t="s">
        <v>5363</v>
      </c>
    </row>
    <row r="402" ht="14.25" customHeight="1">
      <c r="A402" s="32" t="s">
        <v>5364</v>
      </c>
    </row>
    <row r="403" ht="14.25" customHeight="1">
      <c r="A403" s="32" t="s">
        <v>5365</v>
      </c>
    </row>
    <row r="404" ht="14.25" customHeight="1">
      <c r="A404" s="32" t="s">
        <v>5366</v>
      </c>
    </row>
    <row r="405" ht="14.25" customHeight="1">
      <c r="A405" s="32" t="s">
        <v>5367</v>
      </c>
    </row>
    <row r="406" ht="14.25" customHeight="1">
      <c r="A406" s="32" t="s">
        <v>5368</v>
      </c>
    </row>
    <row r="407" ht="14.25" customHeight="1">
      <c r="A407" s="32" t="s">
        <v>5369</v>
      </c>
    </row>
    <row r="408" ht="14.25" customHeight="1">
      <c r="A408" s="32" t="s">
        <v>5370</v>
      </c>
    </row>
    <row r="409" ht="14.25" customHeight="1">
      <c r="A409" s="32" t="s">
        <v>5371</v>
      </c>
    </row>
    <row r="410" ht="14.25" customHeight="1">
      <c r="A410" s="32" t="s">
        <v>5372</v>
      </c>
    </row>
    <row r="411" ht="14.25" customHeight="1">
      <c r="A411" s="32" t="s">
        <v>5373</v>
      </c>
    </row>
    <row r="412" ht="14.25" customHeight="1">
      <c r="A412" s="32" t="s">
        <v>5374</v>
      </c>
    </row>
    <row r="413" ht="14.25" customHeight="1">
      <c r="A413" s="32" t="s">
        <v>5375</v>
      </c>
    </row>
    <row r="414" ht="14.25" customHeight="1">
      <c r="A414" s="32" t="s">
        <v>5376</v>
      </c>
    </row>
    <row r="415" ht="14.25" customHeight="1">
      <c r="A415" s="32" t="s">
        <v>5377</v>
      </c>
    </row>
    <row r="416" ht="14.25" customHeight="1">
      <c r="A416" s="32" t="s">
        <v>5378</v>
      </c>
    </row>
    <row r="417" ht="14.25" customHeight="1">
      <c r="A417" s="32" t="s">
        <v>5379</v>
      </c>
    </row>
    <row r="418" ht="14.25" customHeight="1">
      <c r="A418" s="32" t="s">
        <v>5380</v>
      </c>
    </row>
    <row r="419" ht="14.25" customHeight="1">
      <c r="A419" s="32" t="s">
        <v>5381</v>
      </c>
    </row>
    <row r="420" ht="14.25" customHeight="1">
      <c r="A420" s="32" t="s">
        <v>5382</v>
      </c>
    </row>
    <row r="421" ht="14.25" customHeight="1">
      <c r="A421" s="32" t="s">
        <v>5383</v>
      </c>
    </row>
    <row r="422" ht="14.25" customHeight="1">
      <c r="A422" s="32" t="s">
        <v>5384</v>
      </c>
    </row>
    <row r="423" ht="14.25" customHeight="1">
      <c r="A423" s="32" t="s">
        <v>5385</v>
      </c>
    </row>
    <row r="424" ht="14.25" customHeight="1">
      <c r="A424" s="32" t="s">
        <v>5386</v>
      </c>
    </row>
    <row r="425" ht="14.25" customHeight="1">
      <c r="A425" s="32" t="s">
        <v>5387</v>
      </c>
    </row>
    <row r="426" ht="14.25" customHeight="1">
      <c r="A426" s="32" t="s">
        <v>5388</v>
      </c>
    </row>
    <row r="427" ht="14.25" customHeight="1">
      <c r="A427" s="32" t="s">
        <v>5389</v>
      </c>
    </row>
    <row r="428" ht="14.25" customHeight="1">
      <c r="A428" s="32" t="s">
        <v>5390</v>
      </c>
    </row>
    <row r="429" ht="14.25" customHeight="1">
      <c r="A429" s="32" t="s">
        <v>5391</v>
      </c>
    </row>
    <row r="430" ht="14.25" customHeight="1">
      <c r="A430" s="32" t="s">
        <v>5392</v>
      </c>
    </row>
    <row r="431" ht="14.25" customHeight="1">
      <c r="A431" s="32" t="s">
        <v>5393</v>
      </c>
    </row>
    <row r="432" ht="14.25" customHeight="1">
      <c r="A432" s="32" t="s">
        <v>5394</v>
      </c>
    </row>
    <row r="433" ht="14.25" customHeight="1">
      <c r="A433" s="32" t="s">
        <v>5395</v>
      </c>
    </row>
    <row r="434" ht="14.25" customHeight="1">
      <c r="A434" s="32" t="s">
        <v>5396</v>
      </c>
    </row>
    <row r="435" ht="14.25" customHeight="1">
      <c r="A435" s="32" t="s">
        <v>5397</v>
      </c>
    </row>
    <row r="436" ht="14.25" customHeight="1">
      <c r="A436" s="32" t="s">
        <v>5398</v>
      </c>
    </row>
    <row r="437" ht="14.25" customHeight="1">
      <c r="A437" s="32" t="s">
        <v>5399</v>
      </c>
    </row>
    <row r="438" ht="14.25" customHeight="1">
      <c r="A438" s="32" t="s">
        <v>5400</v>
      </c>
    </row>
    <row r="439" ht="14.25" customHeight="1">
      <c r="A439" s="32" t="s">
        <v>5401</v>
      </c>
    </row>
    <row r="440" ht="14.25" customHeight="1">
      <c r="A440" s="32" t="s">
        <v>5402</v>
      </c>
    </row>
    <row r="441" ht="14.25" customHeight="1">
      <c r="A441" s="32" t="s">
        <v>5403</v>
      </c>
    </row>
    <row r="442" ht="14.25" customHeight="1">
      <c r="A442" s="32" t="s">
        <v>5404</v>
      </c>
    </row>
    <row r="443" ht="14.25" customHeight="1">
      <c r="A443" s="32" t="s">
        <v>5405</v>
      </c>
    </row>
    <row r="444" ht="14.25" customHeight="1">
      <c r="A444" s="32" t="s">
        <v>5406</v>
      </c>
    </row>
    <row r="445" ht="14.25" customHeight="1">
      <c r="A445" s="32" t="s">
        <v>5407</v>
      </c>
    </row>
    <row r="446" ht="14.25" customHeight="1">
      <c r="A446" s="32" t="s">
        <v>5408</v>
      </c>
    </row>
    <row r="447" ht="14.25" customHeight="1">
      <c r="A447" s="32" t="s">
        <v>5409</v>
      </c>
    </row>
    <row r="448" ht="14.25" customHeight="1">
      <c r="A448" s="32" t="s">
        <v>5410</v>
      </c>
    </row>
    <row r="449" ht="14.25" customHeight="1">
      <c r="A449" s="32" t="s">
        <v>5411</v>
      </c>
    </row>
    <row r="450" ht="14.25" customHeight="1">
      <c r="A450" s="32" t="s">
        <v>5412</v>
      </c>
    </row>
    <row r="451" ht="14.25" customHeight="1">
      <c r="A451" s="32" t="s">
        <v>5413</v>
      </c>
    </row>
    <row r="452" ht="14.25" customHeight="1">
      <c r="A452" s="32" t="s">
        <v>5414</v>
      </c>
    </row>
    <row r="453" ht="14.25" customHeight="1">
      <c r="A453" s="32" t="s">
        <v>5415</v>
      </c>
    </row>
    <row r="454" ht="14.25" customHeight="1">
      <c r="A454" s="32" t="s">
        <v>5416</v>
      </c>
    </row>
    <row r="455" ht="14.25" customHeight="1">
      <c r="A455" s="32" t="s">
        <v>5417</v>
      </c>
    </row>
    <row r="456" ht="14.25" customHeight="1">
      <c r="A456" s="32" t="s">
        <v>5418</v>
      </c>
    </row>
    <row r="457" ht="14.25" customHeight="1">
      <c r="A457" s="32" t="s">
        <v>5419</v>
      </c>
    </row>
    <row r="458" ht="14.25" customHeight="1">
      <c r="A458" s="32" t="s">
        <v>5420</v>
      </c>
    </row>
    <row r="459" ht="14.25" customHeight="1">
      <c r="A459" s="32" t="s">
        <v>4130</v>
      </c>
    </row>
    <row r="460" ht="14.25" customHeight="1">
      <c r="A460" s="32" t="s">
        <v>5421</v>
      </c>
    </row>
    <row r="461" ht="14.25" customHeight="1">
      <c r="A461" s="32" t="s">
        <v>5422</v>
      </c>
    </row>
    <row r="462" ht="14.25" customHeight="1">
      <c r="A462" s="32" t="s">
        <v>5423</v>
      </c>
    </row>
    <row r="463" ht="14.25" customHeight="1">
      <c r="A463" s="32" t="s">
        <v>5424</v>
      </c>
    </row>
    <row r="464" ht="14.25" customHeight="1">
      <c r="A464" s="32" t="s">
        <v>5425</v>
      </c>
    </row>
    <row r="465" ht="14.25" customHeight="1">
      <c r="A465" s="32" t="s">
        <v>5426</v>
      </c>
    </row>
    <row r="466" ht="14.25" customHeight="1">
      <c r="A466" s="32" t="s">
        <v>5427</v>
      </c>
    </row>
    <row r="467" ht="14.25" customHeight="1">
      <c r="A467" s="32" t="s">
        <v>5428</v>
      </c>
    </row>
    <row r="468" ht="14.25" customHeight="1">
      <c r="A468" s="32" t="s">
        <v>4139</v>
      </c>
    </row>
    <row r="469" ht="14.25" customHeight="1">
      <c r="A469" s="32" t="s">
        <v>5429</v>
      </c>
    </row>
    <row r="470" ht="14.25" customHeight="1">
      <c r="A470" s="32" t="s">
        <v>5430</v>
      </c>
    </row>
    <row r="471" ht="14.25" customHeight="1">
      <c r="A471" s="32" t="s">
        <v>5431</v>
      </c>
    </row>
    <row r="472" ht="14.25" customHeight="1">
      <c r="A472" s="32" t="s">
        <v>5432</v>
      </c>
    </row>
    <row r="473" ht="14.25" customHeight="1">
      <c r="A473" s="32" t="s">
        <v>5433</v>
      </c>
    </row>
    <row r="474" ht="14.25" customHeight="1">
      <c r="A474" s="32" t="s">
        <v>5434</v>
      </c>
    </row>
    <row r="475" ht="14.25" customHeight="1">
      <c r="A475" s="32" t="s">
        <v>5435</v>
      </c>
    </row>
    <row r="476" ht="14.25" customHeight="1">
      <c r="A476" s="32" t="s">
        <v>5436</v>
      </c>
    </row>
    <row r="477" ht="14.25" customHeight="1">
      <c r="A477" s="32" t="s">
        <v>5437</v>
      </c>
    </row>
    <row r="478" ht="14.25" customHeight="1">
      <c r="A478" s="32" t="s">
        <v>5438</v>
      </c>
    </row>
    <row r="479" ht="14.25" customHeight="1">
      <c r="A479" s="32" t="s">
        <v>5439</v>
      </c>
    </row>
    <row r="480" ht="14.25" customHeight="1">
      <c r="A480" s="32" t="s">
        <v>5440</v>
      </c>
    </row>
    <row r="481" ht="14.25" customHeight="1">
      <c r="A481" s="32" t="s">
        <v>5441</v>
      </c>
    </row>
    <row r="482" ht="14.25" customHeight="1">
      <c r="A482" s="32" t="s">
        <v>5442</v>
      </c>
    </row>
    <row r="483" ht="14.25" customHeight="1">
      <c r="A483" s="32" t="s">
        <v>5443</v>
      </c>
    </row>
    <row r="484" ht="14.25" customHeight="1">
      <c r="A484" s="32" t="s">
        <v>5444</v>
      </c>
    </row>
    <row r="485" ht="14.25" customHeight="1">
      <c r="A485" s="32" t="s">
        <v>5445</v>
      </c>
    </row>
    <row r="486" ht="14.25" customHeight="1">
      <c r="A486" s="32" t="s">
        <v>5446</v>
      </c>
    </row>
    <row r="487" ht="14.25" customHeight="1">
      <c r="A487" s="32" t="s">
        <v>5447</v>
      </c>
    </row>
    <row r="488" ht="14.25" customHeight="1">
      <c r="A488" s="32" t="s">
        <v>5448</v>
      </c>
    </row>
    <row r="489" ht="14.25" customHeight="1">
      <c r="A489" s="32" t="s">
        <v>5449</v>
      </c>
    </row>
    <row r="490" ht="14.25" customHeight="1">
      <c r="A490" s="32" t="s">
        <v>5450</v>
      </c>
    </row>
    <row r="491" ht="14.25" customHeight="1">
      <c r="A491" s="32" t="s">
        <v>5451</v>
      </c>
    </row>
    <row r="492" ht="14.25" customHeight="1">
      <c r="A492" s="32" t="s">
        <v>5452</v>
      </c>
    </row>
    <row r="493" ht="14.25" customHeight="1">
      <c r="A493" s="32" t="s">
        <v>5453</v>
      </c>
    </row>
    <row r="494" ht="14.25" customHeight="1">
      <c r="A494" s="32" t="s">
        <v>5454</v>
      </c>
    </row>
    <row r="495" ht="14.25" customHeight="1">
      <c r="A495" s="32" t="s">
        <v>5455</v>
      </c>
    </row>
    <row r="496" ht="14.25" customHeight="1">
      <c r="A496" s="32" t="s">
        <v>5456</v>
      </c>
    </row>
    <row r="497" ht="14.25" customHeight="1">
      <c r="A497" s="32" t="s">
        <v>5457</v>
      </c>
    </row>
    <row r="498" ht="14.25" customHeight="1">
      <c r="A498" s="32" t="s">
        <v>5458</v>
      </c>
    </row>
    <row r="499" ht="14.25" customHeight="1">
      <c r="A499" s="32" t="s">
        <v>5459</v>
      </c>
    </row>
    <row r="500" ht="14.25" customHeight="1">
      <c r="A500" s="32" t="s">
        <v>5460</v>
      </c>
    </row>
    <row r="501" ht="14.25" customHeight="1">
      <c r="A501" s="32" t="s">
        <v>5461</v>
      </c>
    </row>
    <row r="502" ht="14.25" customHeight="1">
      <c r="A502" s="32" t="s">
        <v>5462</v>
      </c>
    </row>
    <row r="503" ht="14.25" customHeight="1">
      <c r="A503" s="32" t="s">
        <v>5463</v>
      </c>
    </row>
    <row r="504" ht="14.25" customHeight="1">
      <c r="A504" s="32" t="s">
        <v>5464</v>
      </c>
    </row>
    <row r="505" ht="14.25" customHeight="1">
      <c r="A505" s="32" t="s">
        <v>5465</v>
      </c>
    </row>
    <row r="506" ht="14.25" customHeight="1">
      <c r="A506" s="32" t="s">
        <v>5466</v>
      </c>
    </row>
    <row r="507" ht="14.25" customHeight="1">
      <c r="A507" s="32" t="s">
        <v>5467</v>
      </c>
    </row>
    <row r="508" ht="14.25" customHeight="1">
      <c r="A508" s="32" t="s">
        <v>5468</v>
      </c>
    </row>
    <row r="509" ht="14.25" customHeight="1">
      <c r="A509" s="32" t="s">
        <v>5469</v>
      </c>
    </row>
    <row r="510" ht="14.25" customHeight="1">
      <c r="A510" s="32" t="s">
        <v>5470</v>
      </c>
    </row>
    <row r="511" ht="14.25" customHeight="1">
      <c r="A511" s="32" t="s">
        <v>5471</v>
      </c>
    </row>
    <row r="512" ht="14.25" customHeight="1">
      <c r="A512" s="32" t="s">
        <v>5472</v>
      </c>
    </row>
    <row r="513" ht="14.25" customHeight="1">
      <c r="A513" s="32" t="s">
        <v>5473</v>
      </c>
    </row>
    <row r="514" ht="14.25" customHeight="1">
      <c r="A514" s="32" t="s">
        <v>5474</v>
      </c>
    </row>
    <row r="515" ht="14.25" customHeight="1">
      <c r="A515" s="32" t="s">
        <v>5475</v>
      </c>
    </row>
    <row r="516" ht="14.25" customHeight="1">
      <c r="A516" s="32" t="s">
        <v>5476</v>
      </c>
    </row>
    <row r="517" ht="14.25" customHeight="1">
      <c r="A517" s="32" t="s">
        <v>5477</v>
      </c>
    </row>
    <row r="518" ht="14.25" customHeight="1">
      <c r="A518" s="32" t="s">
        <v>5478</v>
      </c>
    </row>
    <row r="519" ht="14.25" customHeight="1">
      <c r="A519" s="32" t="s">
        <v>5479</v>
      </c>
    </row>
    <row r="520" ht="14.25" customHeight="1">
      <c r="A520" s="32" t="s">
        <v>5480</v>
      </c>
    </row>
    <row r="521" ht="14.25" customHeight="1">
      <c r="A521" s="32" t="s">
        <v>5481</v>
      </c>
    </row>
    <row r="522" ht="14.25" customHeight="1">
      <c r="A522" s="32" t="s">
        <v>5482</v>
      </c>
    </row>
    <row r="523" ht="14.25" customHeight="1">
      <c r="A523" s="32" t="s">
        <v>5483</v>
      </c>
    </row>
    <row r="524" ht="14.25" customHeight="1">
      <c r="A524" s="32" t="s">
        <v>5484</v>
      </c>
    </row>
    <row r="525" ht="14.25" customHeight="1">
      <c r="A525" s="32" t="s">
        <v>5485</v>
      </c>
    </row>
    <row r="526" ht="14.25" customHeight="1">
      <c r="A526" s="32" t="s">
        <v>5486</v>
      </c>
    </row>
    <row r="527" ht="14.25" customHeight="1">
      <c r="A527" s="32" t="s">
        <v>5487</v>
      </c>
    </row>
    <row r="528" ht="14.25" customHeight="1">
      <c r="A528" s="32" t="s">
        <v>5488</v>
      </c>
    </row>
    <row r="529" ht="14.25" customHeight="1">
      <c r="A529" s="32" t="s">
        <v>5489</v>
      </c>
    </row>
    <row r="530" ht="14.25" customHeight="1">
      <c r="A530" s="32" t="s">
        <v>5490</v>
      </c>
    </row>
    <row r="531" ht="14.25" customHeight="1">
      <c r="A531" s="32" t="s">
        <v>5491</v>
      </c>
    </row>
    <row r="532" ht="14.25" customHeight="1">
      <c r="A532" s="32" t="s">
        <v>5492</v>
      </c>
    </row>
    <row r="533" ht="14.25" customHeight="1">
      <c r="A533" s="32" t="s">
        <v>5493</v>
      </c>
    </row>
    <row r="534" ht="14.25" customHeight="1">
      <c r="A534" s="32" t="s">
        <v>5494</v>
      </c>
    </row>
    <row r="535" ht="14.25" customHeight="1">
      <c r="A535" s="32" t="s">
        <v>5495</v>
      </c>
    </row>
    <row r="536" ht="14.25" customHeight="1">
      <c r="A536" s="32" t="s">
        <v>5496</v>
      </c>
    </row>
    <row r="537" ht="14.25" customHeight="1">
      <c r="A537" s="32" t="s">
        <v>5497</v>
      </c>
    </row>
    <row r="538" ht="14.25" customHeight="1">
      <c r="A538" s="32" t="s">
        <v>5498</v>
      </c>
    </row>
    <row r="539" ht="14.25" customHeight="1">
      <c r="A539" s="32" t="s">
        <v>5499</v>
      </c>
    </row>
    <row r="540" ht="14.25" customHeight="1">
      <c r="A540" s="32" t="s">
        <v>5500</v>
      </c>
    </row>
    <row r="541" ht="14.25" customHeight="1">
      <c r="A541" s="32" t="s">
        <v>5501</v>
      </c>
    </row>
    <row r="542" ht="14.25" customHeight="1">
      <c r="A542" s="32" t="s">
        <v>5502</v>
      </c>
    </row>
    <row r="543" ht="14.25" customHeight="1">
      <c r="A543" s="32" t="s">
        <v>5503</v>
      </c>
    </row>
    <row r="544" ht="14.25" customHeight="1">
      <c r="A544" s="32" t="s">
        <v>5504</v>
      </c>
    </row>
    <row r="545" ht="14.25" customHeight="1">
      <c r="A545" s="32" t="s">
        <v>5505</v>
      </c>
    </row>
    <row r="546" ht="14.25" customHeight="1">
      <c r="A546" s="32" t="s">
        <v>5506</v>
      </c>
    </row>
    <row r="547" ht="14.25" customHeight="1">
      <c r="A547" s="32" t="s">
        <v>5507</v>
      </c>
    </row>
    <row r="548" ht="14.25" customHeight="1">
      <c r="A548" s="32" t="s">
        <v>5508</v>
      </c>
    </row>
    <row r="549" ht="14.25" customHeight="1">
      <c r="A549" s="32" t="s">
        <v>5509</v>
      </c>
    </row>
    <row r="550" ht="14.25" customHeight="1">
      <c r="A550" s="32" t="s">
        <v>5510</v>
      </c>
    </row>
    <row r="551" ht="14.25" customHeight="1">
      <c r="A551" s="32" t="s">
        <v>5511</v>
      </c>
    </row>
    <row r="552" ht="14.25" customHeight="1">
      <c r="A552" s="32" t="s">
        <v>5512</v>
      </c>
    </row>
    <row r="553" ht="14.25" customHeight="1">
      <c r="A553" s="32" t="s">
        <v>5513</v>
      </c>
    </row>
    <row r="554" ht="14.25" customHeight="1">
      <c r="A554" s="32" t="s">
        <v>5514</v>
      </c>
    </row>
    <row r="555" ht="14.25" customHeight="1">
      <c r="A555" s="32" t="s">
        <v>5515</v>
      </c>
    </row>
    <row r="556" ht="14.25" customHeight="1">
      <c r="A556" s="32" t="s">
        <v>5516</v>
      </c>
    </row>
    <row r="557" ht="14.25" customHeight="1">
      <c r="A557" s="32" t="s">
        <v>5517</v>
      </c>
    </row>
    <row r="558" ht="14.25" customHeight="1">
      <c r="A558" s="32" t="s">
        <v>5518</v>
      </c>
    </row>
    <row r="559" ht="14.25" customHeight="1">
      <c r="A559" s="32" t="s">
        <v>5519</v>
      </c>
    </row>
    <row r="560" ht="14.25" customHeight="1">
      <c r="A560" s="32" t="s">
        <v>5520</v>
      </c>
    </row>
    <row r="561" ht="14.25" customHeight="1">
      <c r="A561" s="32" t="s">
        <v>5521</v>
      </c>
    </row>
    <row r="562" ht="14.25" customHeight="1">
      <c r="A562" s="32" t="s">
        <v>5522</v>
      </c>
    </row>
    <row r="563" ht="14.25" customHeight="1">
      <c r="A563" s="32" t="s">
        <v>5523</v>
      </c>
    </row>
    <row r="564" ht="14.25" customHeight="1">
      <c r="A564" s="32" t="s">
        <v>5524</v>
      </c>
    </row>
    <row r="565" ht="14.25" customHeight="1">
      <c r="A565" s="32" t="s">
        <v>5525</v>
      </c>
    </row>
    <row r="566" ht="14.25" customHeight="1">
      <c r="A566" s="32" t="s">
        <v>5526</v>
      </c>
    </row>
    <row r="567" ht="14.25" customHeight="1">
      <c r="A567" s="32" t="s">
        <v>5527</v>
      </c>
    </row>
    <row r="568" ht="14.25" customHeight="1">
      <c r="A568" s="32" t="s">
        <v>5528</v>
      </c>
    </row>
    <row r="569" ht="14.25" customHeight="1">
      <c r="A569" s="32" t="s">
        <v>5529</v>
      </c>
    </row>
    <row r="570" ht="14.25" customHeight="1">
      <c r="A570" s="32" t="s">
        <v>5530</v>
      </c>
    </row>
    <row r="571" ht="14.25" customHeight="1">
      <c r="A571" s="32" t="s">
        <v>5531</v>
      </c>
    </row>
    <row r="572" ht="14.25" customHeight="1">
      <c r="A572" s="32" t="s">
        <v>5532</v>
      </c>
    </row>
    <row r="573" ht="14.25" customHeight="1">
      <c r="A573" s="32" t="s">
        <v>5533</v>
      </c>
    </row>
    <row r="574" ht="14.25" customHeight="1">
      <c r="A574" s="32" t="s">
        <v>5534</v>
      </c>
    </row>
    <row r="575" ht="14.25" customHeight="1">
      <c r="A575" s="32" t="s">
        <v>5535</v>
      </c>
    </row>
    <row r="576" ht="14.25" customHeight="1">
      <c r="A576" s="32" t="s">
        <v>5536</v>
      </c>
    </row>
    <row r="577" ht="14.25" customHeight="1">
      <c r="A577" s="32" t="s">
        <v>5537</v>
      </c>
    </row>
    <row r="578" ht="14.25" customHeight="1">
      <c r="A578" s="32" t="s">
        <v>5538</v>
      </c>
    </row>
    <row r="579" ht="14.25" customHeight="1">
      <c r="A579" s="32" t="s">
        <v>5539</v>
      </c>
    </row>
    <row r="580" ht="14.25" customHeight="1">
      <c r="A580" s="32" t="s">
        <v>5540</v>
      </c>
    </row>
    <row r="581" ht="14.25" customHeight="1">
      <c r="A581" s="32" t="s">
        <v>5541</v>
      </c>
    </row>
    <row r="582" ht="14.25" customHeight="1">
      <c r="A582" s="32" t="s">
        <v>5542</v>
      </c>
    </row>
    <row r="583" ht="14.25" customHeight="1">
      <c r="A583" s="32" t="s">
        <v>4254</v>
      </c>
    </row>
    <row r="584" ht="14.25" customHeight="1">
      <c r="A584" s="32" t="s">
        <v>5543</v>
      </c>
    </row>
    <row r="585" ht="14.25" customHeight="1">
      <c r="A585" s="32" t="s">
        <v>5544</v>
      </c>
    </row>
    <row r="586" ht="14.25" customHeight="1">
      <c r="A586" s="32" t="s">
        <v>5545</v>
      </c>
    </row>
    <row r="587" ht="14.25" customHeight="1">
      <c r="A587" s="32" t="s">
        <v>5546</v>
      </c>
    </row>
    <row r="588" ht="14.25" customHeight="1">
      <c r="A588" s="32" t="s">
        <v>5547</v>
      </c>
    </row>
    <row r="589" ht="14.25" customHeight="1">
      <c r="A589" s="32" t="s">
        <v>5548</v>
      </c>
    </row>
    <row r="590" ht="14.25" customHeight="1">
      <c r="A590" s="32" t="s">
        <v>5549</v>
      </c>
    </row>
    <row r="591" ht="14.25" customHeight="1">
      <c r="A591" s="32" t="s">
        <v>5550</v>
      </c>
    </row>
    <row r="592" ht="14.25" customHeight="1">
      <c r="A592" s="32" t="s">
        <v>5551</v>
      </c>
    </row>
    <row r="593" ht="14.25" customHeight="1">
      <c r="A593" s="32" t="s">
        <v>5552</v>
      </c>
    </row>
    <row r="594" ht="14.25" customHeight="1">
      <c r="A594" s="32" t="s">
        <v>5553</v>
      </c>
    </row>
    <row r="595" ht="14.25" customHeight="1">
      <c r="A595" s="32" t="s">
        <v>5554</v>
      </c>
    </row>
    <row r="596" ht="14.25" customHeight="1">
      <c r="A596" s="32" t="s">
        <v>5555</v>
      </c>
    </row>
    <row r="597" ht="14.25" customHeight="1">
      <c r="A597" s="32" t="s">
        <v>5556</v>
      </c>
    </row>
    <row r="598" ht="14.25" customHeight="1">
      <c r="A598" s="32" t="s">
        <v>5557</v>
      </c>
    </row>
    <row r="599" ht="14.25" customHeight="1">
      <c r="A599" s="32" t="s">
        <v>5558</v>
      </c>
    </row>
    <row r="600" ht="14.25" customHeight="1">
      <c r="A600" s="32" t="s">
        <v>5559</v>
      </c>
    </row>
    <row r="601" ht="14.25" customHeight="1">
      <c r="A601" s="32" t="s">
        <v>5560</v>
      </c>
    </row>
    <row r="602" ht="14.25" customHeight="1">
      <c r="A602" s="32" t="s">
        <v>5561</v>
      </c>
    </row>
    <row r="603" ht="14.25" customHeight="1">
      <c r="A603" s="32" t="s">
        <v>5562</v>
      </c>
    </row>
    <row r="604" ht="14.25" customHeight="1">
      <c r="A604" s="32" t="s">
        <v>5563</v>
      </c>
    </row>
    <row r="605" ht="14.25" customHeight="1">
      <c r="A605" s="32" t="s">
        <v>5564</v>
      </c>
    </row>
    <row r="606" ht="14.25" customHeight="1">
      <c r="A606" s="32" t="s">
        <v>5565</v>
      </c>
    </row>
    <row r="607" ht="14.25" customHeight="1">
      <c r="A607" s="32" t="s">
        <v>5566</v>
      </c>
    </row>
    <row r="608" ht="14.25" customHeight="1">
      <c r="A608" s="32" t="s">
        <v>5567</v>
      </c>
    </row>
    <row r="609" ht="14.25" customHeight="1">
      <c r="A609" s="32" t="s">
        <v>5568</v>
      </c>
    </row>
    <row r="610" ht="14.25" customHeight="1">
      <c r="A610" s="32" t="s">
        <v>5569</v>
      </c>
    </row>
    <row r="611" ht="14.25" customHeight="1">
      <c r="A611" s="32" t="s">
        <v>5570</v>
      </c>
    </row>
    <row r="612" ht="14.25" customHeight="1">
      <c r="A612" s="32" t="s">
        <v>5571</v>
      </c>
    </row>
    <row r="613" ht="14.25" customHeight="1">
      <c r="A613" s="32" t="s">
        <v>5572</v>
      </c>
    </row>
    <row r="614" ht="14.25" customHeight="1">
      <c r="A614" s="32" t="s">
        <v>5573</v>
      </c>
    </row>
    <row r="615" ht="14.25" customHeight="1">
      <c r="A615" s="32" t="s">
        <v>5574</v>
      </c>
    </row>
    <row r="616" ht="14.25" customHeight="1">
      <c r="A616" s="32" t="s">
        <v>5575</v>
      </c>
    </row>
    <row r="617" ht="14.25" customHeight="1">
      <c r="A617" s="32" t="s">
        <v>5576</v>
      </c>
    </row>
    <row r="618" ht="14.25" customHeight="1">
      <c r="A618" s="32" t="s">
        <v>5577</v>
      </c>
    </row>
    <row r="619" ht="14.25" customHeight="1">
      <c r="A619" s="32" t="s">
        <v>5578</v>
      </c>
    </row>
    <row r="620" ht="14.25" customHeight="1">
      <c r="A620" s="32" t="s">
        <v>5579</v>
      </c>
    </row>
    <row r="621" ht="14.25" customHeight="1">
      <c r="A621" s="32" t="s">
        <v>5580</v>
      </c>
    </row>
    <row r="622" ht="14.25" customHeight="1">
      <c r="A622" s="32" t="s">
        <v>5581</v>
      </c>
    </row>
    <row r="623" ht="14.25" customHeight="1">
      <c r="A623" s="32" t="s">
        <v>5582</v>
      </c>
    </row>
    <row r="624" ht="14.25" customHeight="1">
      <c r="A624" s="32" t="s">
        <v>5583</v>
      </c>
    </row>
    <row r="625" ht="14.25" customHeight="1">
      <c r="A625" s="32" t="s">
        <v>5584</v>
      </c>
    </row>
    <row r="626" ht="14.25" customHeight="1">
      <c r="A626" s="32" t="s">
        <v>5585</v>
      </c>
    </row>
    <row r="627" ht="14.25" customHeight="1">
      <c r="A627" s="32" t="s">
        <v>5586</v>
      </c>
    </row>
    <row r="628" ht="14.25" customHeight="1">
      <c r="A628" s="32" t="s">
        <v>5587</v>
      </c>
    </row>
    <row r="629" ht="14.25" customHeight="1">
      <c r="A629" s="32" t="s">
        <v>5588</v>
      </c>
    </row>
    <row r="630" ht="14.25" customHeight="1">
      <c r="A630" s="32" t="s">
        <v>5589</v>
      </c>
    </row>
    <row r="631" ht="14.25" customHeight="1">
      <c r="A631" s="32" t="s">
        <v>5590</v>
      </c>
    </row>
    <row r="632" ht="14.25" customHeight="1">
      <c r="A632" s="32" t="s">
        <v>5591</v>
      </c>
    </row>
    <row r="633" ht="14.25" customHeight="1">
      <c r="A633" s="32" t="s">
        <v>5592</v>
      </c>
    </row>
    <row r="634" ht="14.25" customHeight="1">
      <c r="A634" s="32" t="s">
        <v>5593</v>
      </c>
    </row>
    <row r="635" ht="14.25" customHeight="1">
      <c r="A635" s="32" t="s">
        <v>5594</v>
      </c>
    </row>
    <row r="636" ht="14.25" customHeight="1">
      <c r="A636" s="32" t="s">
        <v>5595</v>
      </c>
    </row>
    <row r="637" ht="14.25" customHeight="1">
      <c r="A637" s="32" t="s">
        <v>5596</v>
      </c>
    </row>
    <row r="638" ht="14.25" customHeight="1">
      <c r="A638" s="32" t="s">
        <v>5597</v>
      </c>
    </row>
    <row r="639" ht="14.25" customHeight="1">
      <c r="A639" s="32" t="s">
        <v>5598</v>
      </c>
    </row>
    <row r="640" ht="14.25" customHeight="1">
      <c r="A640" s="32" t="s">
        <v>5599</v>
      </c>
    </row>
    <row r="641" ht="14.25" customHeight="1">
      <c r="A641" s="32" t="s">
        <v>5600</v>
      </c>
    </row>
    <row r="642" ht="14.25" customHeight="1">
      <c r="A642" s="32" t="s">
        <v>5601</v>
      </c>
    </row>
    <row r="643" ht="14.25" customHeight="1">
      <c r="A643" s="32" t="s">
        <v>5602</v>
      </c>
    </row>
    <row r="644" ht="14.25" customHeight="1">
      <c r="A644" s="32" t="s">
        <v>5603</v>
      </c>
    </row>
    <row r="645" ht="14.25" customHeight="1">
      <c r="A645" s="32" t="s">
        <v>5604</v>
      </c>
    </row>
    <row r="646" ht="14.25" customHeight="1">
      <c r="A646" s="32" t="s">
        <v>5605</v>
      </c>
    </row>
    <row r="647" ht="14.25" customHeight="1">
      <c r="A647" s="32" t="s">
        <v>5606</v>
      </c>
    </row>
    <row r="648" ht="14.25" customHeight="1">
      <c r="A648" s="32" t="s">
        <v>5607</v>
      </c>
    </row>
    <row r="649" ht="14.25" customHeight="1">
      <c r="A649" s="32" t="s">
        <v>5608</v>
      </c>
    </row>
    <row r="650" ht="14.25" customHeight="1">
      <c r="A650" s="32" t="s">
        <v>5609</v>
      </c>
    </row>
    <row r="651" ht="14.25" customHeight="1">
      <c r="A651" s="32" t="s">
        <v>5610</v>
      </c>
    </row>
    <row r="652" ht="14.25" customHeight="1">
      <c r="A652" s="32" t="s">
        <v>5611</v>
      </c>
    </row>
    <row r="653" ht="14.25" customHeight="1">
      <c r="A653" s="32" t="s">
        <v>5612</v>
      </c>
    </row>
    <row r="654" ht="14.25" customHeight="1">
      <c r="A654" s="32" t="s">
        <v>5613</v>
      </c>
    </row>
    <row r="655" ht="14.25" customHeight="1">
      <c r="A655" s="32" t="s">
        <v>5614</v>
      </c>
    </row>
    <row r="656" ht="14.25" customHeight="1">
      <c r="A656" s="32" t="s">
        <v>5615</v>
      </c>
    </row>
    <row r="657" ht="14.25" customHeight="1">
      <c r="A657" s="32" t="s">
        <v>5616</v>
      </c>
    </row>
    <row r="658" ht="14.25" customHeight="1">
      <c r="A658" s="32" t="s">
        <v>5617</v>
      </c>
    </row>
    <row r="659" ht="14.25" customHeight="1">
      <c r="A659" s="32" t="s">
        <v>5618</v>
      </c>
    </row>
    <row r="660" ht="14.25" customHeight="1">
      <c r="A660" s="32" t="s">
        <v>5619</v>
      </c>
    </row>
    <row r="661" ht="14.25" customHeight="1">
      <c r="A661" s="32" t="s">
        <v>5620</v>
      </c>
    </row>
    <row r="662" ht="14.25" customHeight="1">
      <c r="A662" s="32" t="s">
        <v>5621</v>
      </c>
    </row>
    <row r="663" ht="14.25" customHeight="1">
      <c r="A663" s="32" t="s">
        <v>5622</v>
      </c>
    </row>
    <row r="664" ht="14.25" customHeight="1">
      <c r="A664" s="32" t="s">
        <v>5623</v>
      </c>
    </row>
    <row r="665" ht="14.25" customHeight="1">
      <c r="A665" s="32" t="s">
        <v>5624</v>
      </c>
    </row>
    <row r="666" ht="14.25" customHeight="1">
      <c r="A666" s="32" t="s">
        <v>5625</v>
      </c>
    </row>
    <row r="667" ht="14.25" customHeight="1">
      <c r="A667" s="32" t="s">
        <v>5626</v>
      </c>
    </row>
    <row r="668" ht="14.25" customHeight="1">
      <c r="A668" s="32" t="s">
        <v>5627</v>
      </c>
    </row>
    <row r="669" ht="14.25" customHeight="1">
      <c r="A669" s="32" t="s">
        <v>5628</v>
      </c>
    </row>
    <row r="670" ht="14.25" customHeight="1">
      <c r="A670" s="32" t="s">
        <v>5629</v>
      </c>
    </row>
    <row r="671" ht="14.25" customHeight="1">
      <c r="A671" s="32" t="s">
        <v>5630</v>
      </c>
    </row>
    <row r="672" ht="14.25" customHeight="1">
      <c r="A672" s="32" t="s">
        <v>5631</v>
      </c>
    </row>
    <row r="673" ht="14.25" customHeight="1">
      <c r="A673" s="32" t="s">
        <v>5632</v>
      </c>
    </row>
    <row r="674" ht="14.25" customHeight="1">
      <c r="A674" s="32" t="s">
        <v>5633</v>
      </c>
    </row>
    <row r="675" ht="14.25" customHeight="1">
      <c r="A675" s="32" t="s">
        <v>5634</v>
      </c>
    </row>
    <row r="676" ht="14.25" customHeight="1">
      <c r="A676" s="32" t="s">
        <v>5635</v>
      </c>
    </row>
    <row r="677" ht="14.25" customHeight="1">
      <c r="A677" s="32" t="s">
        <v>5636</v>
      </c>
    </row>
    <row r="678" ht="14.25" customHeight="1">
      <c r="A678" s="32" t="s">
        <v>5637</v>
      </c>
    </row>
    <row r="679" ht="14.25" customHeight="1">
      <c r="A679" s="32" t="s">
        <v>5638</v>
      </c>
    </row>
    <row r="680" ht="14.25" customHeight="1">
      <c r="A680" s="32" t="s">
        <v>5639</v>
      </c>
    </row>
    <row r="681" ht="14.25" customHeight="1">
      <c r="A681" s="32" t="s">
        <v>5640</v>
      </c>
    </row>
    <row r="682" ht="14.25" customHeight="1">
      <c r="A682" s="32" t="s">
        <v>5641</v>
      </c>
    </row>
    <row r="683" ht="14.25" customHeight="1">
      <c r="A683" s="32" t="s">
        <v>5642</v>
      </c>
    </row>
    <row r="684" ht="14.25" customHeight="1">
      <c r="A684" s="32" t="s">
        <v>5643</v>
      </c>
    </row>
    <row r="685" ht="14.25" customHeight="1">
      <c r="A685" s="32" t="s">
        <v>5644</v>
      </c>
    </row>
    <row r="686" ht="14.25" customHeight="1">
      <c r="A686" s="32" t="s">
        <v>5645</v>
      </c>
    </row>
    <row r="687" ht="14.25" customHeight="1">
      <c r="A687" s="32" t="s">
        <v>5646</v>
      </c>
    </row>
    <row r="688" ht="14.25" customHeight="1">
      <c r="A688" s="32" t="s">
        <v>5647</v>
      </c>
    </row>
    <row r="689" ht="14.25" customHeight="1">
      <c r="A689" s="32" t="s">
        <v>5648</v>
      </c>
    </row>
    <row r="690" ht="14.25" customHeight="1">
      <c r="A690" s="32" t="s">
        <v>5649</v>
      </c>
    </row>
    <row r="691" ht="14.25" customHeight="1">
      <c r="A691" s="32" t="s">
        <v>5650</v>
      </c>
    </row>
    <row r="692" ht="14.25" customHeight="1">
      <c r="A692" s="32" t="s">
        <v>5651</v>
      </c>
    </row>
    <row r="693" ht="14.25" customHeight="1">
      <c r="A693" s="32" t="s">
        <v>5652</v>
      </c>
    </row>
    <row r="694" ht="14.25" customHeight="1">
      <c r="A694" s="32" t="s">
        <v>5653</v>
      </c>
    </row>
    <row r="695" ht="14.25" customHeight="1">
      <c r="A695" s="32" t="s">
        <v>5654</v>
      </c>
    </row>
    <row r="696" ht="14.25" customHeight="1">
      <c r="A696" s="32" t="s">
        <v>5655</v>
      </c>
    </row>
    <row r="697" ht="14.25" customHeight="1">
      <c r="A697" s="32" t="s">
        <v>5656</v>
      </c>
    </row>
    <row r="698" ht="14.25" customHeight="1">
      <c r="A698" s="32" t="s">
        <v>5657</v>
      </c>
    </row>
    <row r="699" ht="14.25" customHeight="1">
      <c r="A699" s="32" t="s">
        <v>5658</v>
      </c>
    </row>
    <row r="700" ht="14.25" customHeight="1">
      <c r="A700" s="32" t="s">
        <v>5659</v>
      </c>
    </row>
    <row r="701" ht="14.25" customHeight="1">
      <c r="A701" s="32" t="s">
        <v>5660</v>
      </c>
    </row>
    <row r="702" ht="14.25" customHeight="1">
      <c r="A702" s="32" t="s">
        <v>5661</v>
      </c>
    </row>
    <row r="703" ht="14.25" customHeight="1">
      <c r="A703" s="32" t="s">
        <v>5662</v>
      </c>
    </row>
    <row r="704" ht="14.25" customHeight="1">
      <c r="A704" s="32" t="s">
        <v>5663</v>
      </c>
    </row>
    <row r="705" ht="14.25" customHeight="1">
      <c r="A705" s="32" t="s">
        <v>5664</v>
      </c>
    </row>
    <row r="706" ht="14.25" customHeight="1">
      <c r="A706" s="32" t="s">
        <v>5665</v>
      </c>
    </row>
    <row r="707" ht="14.25" customHeight="1">
      <c r="A707" s="32" t="s">
        <v>5666</v>
      </c>
    </row>
    <row r="708" ht="14.25" customHeight="1">
      <c r="A708" s="32" t="s">
        <v>5667</v>
      </c>
    </row>
    <row r="709" ht="14.25" customHeight="1">
      <c r="A709" s="32" t="s">
        <v>5668</v>
      </c>
    </row>
    <row r="710" ht="14.25" customHeight="1">
      <c r="A710" s="32" t="s">
        <v>5669</v>
      </c>
    </row>
    <row r="711" ht="14.25" customHeight="1">
      <c r="A711" s="32" t="s">
        <v>5670</v>
      </c>
    </row>
    <row r="712" ht="14.25" customHeight="1">
      <c r="A712" s="32" t="s">
        <v>5671</v>
      </c>
    </row>
    <row r="713" ht="14.25" customHeight="1">
      <c r="A713" s="32" t="s">
        <v>5672</v>
      </c>
    </row>
    <row r="714" ht="14.25" customHeight="1">
      <c r="A714" s="32" t="s">
        <v>5673</v>
      </c>
    </row>
    <row r="715" ht="14.25" customHeight="1">
      <c r="A715" s="32" t="s">
        <v>5674</v>
      </c>
    </row>
    <row r="716" ht="14.25" customHeight="1">
      <c r="A716" s="32" t="s">
        <v>5675</v>
      </c>
    </row>
    <row r="717" ht="14.25" customHeight="1">
      <c r="A717" s="32" t="s">
        <v>5676</v>
      </c>
    </row>
    <row r="718" ht="14.25" customHeight="1">
      <c r="A718" s="32" t="s">
        <v>5677</v>
      </c>
    </row>
    <row r="719" ht="14.25" customHeight="1">
      <c r="A719" s="32" t="s">
        <v>5678</v>
      </c>
    </row>
    <row r="720" ht="14.25" customHeight="1">
      <c r="A720" s="32" t="s">
        <v>5679</v>
      </c>
    </row>
    <row r="721" ht="14.25" customHeight="1">
      <c r="A721" s="32" t="s">
        <v>5680</v>
      </c>
    </row>
    <row r="722" ht="14.25" customHeight="1">
      <c r="A722" s="32" t="s">
        <v>5681</v>
      </c>
    </row>
    <row r="723" ht="14.25" customHeight="1">
      <c r="A723" s="32" t="s">
        <v>5682</v>
      </c>
    </row>
    <row r="724" ht="14.25" customHeight="1">
      <c r="A724" s="32" t="s">
        <v>5683</v>
      </c>
    </row>
    <row r="725" ht="14.25" customHeight="1">
      <c r="A725" s="32" t="s">
        <v>5684</v>
      </c>
    </row>
    <row r="726" ht="14.25" customHeight="1">
      <c r="A726" s="32" t="s">
        <v>5685</v>
      </c>
    </row>
    <row r="727" ht="14.25" customHeight="1">
      <c r="A727" s="32" t="s">
        <v>5686</v>
      </c>
    </row>
    <row r="728" ht="14.25" customHeight="1">
      <c r="A728" s="32" t="s">
        <v>5687</v>
      </c>
    </row>
    <row r="729" ht="14.25" customHeight="1">
      <c r="A729" s="32" t="s">
        <v>5688</v>
      </c>
    </row>
    <row r="730" ht="14.25" customHeight="1">
      <c r="A730" s="32" t="s">
        <v>5689</v>
      </c>
    </row>
    <row r="731" ht="14.25" customHeight="1">
      <c r="A731" s="32" t="s">
        <v>5690</v>
      </c>
    </row>
    <row r="732" ht="14.25" customHeight="1">
      <c r="A732" s="32" t="s">
        <v>5691</v>
      </c>
    </row>
    <row r="733" ht="14.25" customHeight="1">
      <c r="A733" s="32" t="s">
        <v>5692</v>
      </c>
    </row>
    <row r="734" ht="14.25" customHeight="1">
      <c r="A734" s="32" t="s">
        <v>5693</v>
      </c>
    </row>
    <row r="735" ht="14.25" customHeight="1">
      <c r="A735" s="32" t="s">
        <v>5694</v>
      </c>
    </row>
    <row r="736" ht="14.25" customHeight="1">
      <c r="A736" s="32" t="s">
        <v>5695</v>
      </c>
    </row>
    <row r="737" ht="14.25" customHeight="1">
      <c r="A737" s="32" t="s">
        <v>5696</v>
      </c>
    </row>
    <row r="738" ht="14.25" customHeight="1">
      <c r="A738" s="32" t="s">
        <v>5697</v>
      </c>
    </row>
    <row r="739" ht="14.25" customHeight="1">
      <c r="A739" s="32" t="s">
        <v>5698</v>
      </c>
    </row>
    <row r="740" ht="14.25" customHeight="1">
      <c r="A740" s="32" t="s">
        <v>5699</v>
      </c>
    </row>
    <row r="741" ht="14.25" customHeight="1">
      <c r="A741" s="32" t="s">
        <v>5700</v>
      </c>
    </row>
    <row r="742" ht="14.25" customHeight="1">
      <c r="A742" s="32" t="s">
        <v>5701</v>
      </c>
    </row>
    <row r="743" ht="14.25" customHeight="1">
      <c r="A743" s="32" t="s">
        <v>5702</v>
      </c>
    </row>
    <row r="744" ht="14.25" customHeight="1">
      <c r="A744" s="32" t="s">
        <v>5703</v>
      </c>
    </row>
    <row r="745" ht="14.25" customHeight="1">
      <c r="A745" s="32" t="s">
        <v>5704</v>
      </c>
    </row>
    <row r="746" ht="14.25" customHeight="1">
      <c r="A746" s="32" t="s">
        <v>5705</v>
      </c>
    </row>
    <row r="747" ht="14.25" customHeight="1">
      <c r="A747" s="32" t="s">
        <v>5706</v>
      </c>
    </row>
    <row r="748" ht="14.25" customHeight="1">
      <c r="A748" s="32" t="s">
        <v>5707</v>
      </c>
    </row>
    <row r="749" ht="14.25" customHeight="1">
      <c r="A749" s="32" t="s">
        <v>5708</v>
      </c>
    </row>
    <row r="750" ht="14.25" customHeight="1">
      <c r="A750" s="32" t="s">
        <v>5709</v>
      </c>
    </row>
    <row r="751" ht="14.25" customHeight="1">
      <c r="A751" s="32" t="s">
        <v>5710</v>
      </c>
    </row>
    <row r="752" ht="14.25" customHeight="1">
      <c r="A752" s="32" t="s">
        <v>5711</v>
      </c>
    </row>
    <row r="753" ht="14.25" customHeight="1">
      <c r="A753" s="32" t="s">
        <v>5712</v>
      </c>
    </row>
    <row r="754" ht="14.25" customHeight="1">
      <c r="A754" s="32" t="s">
        <v>5713</v>
      </c>
    </row>
    <row r="755" ht="14.25" customHeight="1">
      <c r="A755" s="32" t="s">
        <v>5714</v>
      </c>
    </row>
    <row r="756" ht="14.25" customHeight="1">
      <c r="A756" s="32" t="s">
        <v>5715</v>
      </c>
    </row>
    <row r="757" ht="14.25" customHeight="1">
      <c r="A757" s="32" t="s">
        <v>4428</v>
      </c>
    </row>
    <row r="758" ht="14.25" customHeight="1">
      <c r="A758" s="32" t="s">
        <v>5716</v>
      </c>
    </row>
    <row r="759" ht="14.25" customHeight="1">
      <c r="A759" s="32" t="s">
        <v>5717</v>
      </c>
    </row>
    <row r="760" ht="14.25" customHeight="1">
      <c r="A760" s="32" t="s">
        <v>5718</v>
      </c>
    </row>
    <row r="761" ht="14.25" customHeight="1">
      <c r="A761" s="32" t="s">
        <v>5719</v>
      </c>
    </row>
    <row r="762" ht="14.25" customHeight="1">
      <c r="A762" s="32" t="s">
        <v>5720</v>
      </c>
    </row>
    <row r="763" ht="14.25" customHeight="1">
      <c r="A763" s="32" t="s">
        <v>5721</v>
      </c>
    </row>
    <row r="764" ht="14.25" customHeight="1">
      <c r="A764" s="32" t="s">
        <v>5722</v>
      </c>
    </row>
    <row r="765" ht="14.25" customHeight="1">
      <c r="A765" s="32" t="s">
        <v>5723</v>
      </c>
    </row>
    <row r="766" ht="14.25" customHeight="1">
      <c r="A766" s="32" t="s">
        <v>5724</v>
      </c>
    </row>
    <row r="767" ht="14.25" customHeight="1">
      <c r="A767" s="32" t="s">
        <v>5725</v>
      </c>
    </row>
    <row r="768" ht="14.25" customHeight="1">
      <c r="A768" s="32" t="s">
        <v>5726</v>
      </c>
    </row>
    <row r="769" ht="14.25" customHeight="1">
      <c r="A769" s="32" t="s">
        <v>5727</v>
      </c>
    </row>
    <row r="770" ht="14.25" customHeight="1">
      <c r="A770" s="32" t="s">
        <v>5728</v>
      </c>
    </row>
    <row r="771" ht="14.25" customHeight="1">
      <c r="A771" s="32" t="s">
        <v>5729</v>
      </c>
    </row>
    <row r="772" ht="14.25" customHeight="1">
      <c r="A772" s="32" t="s">
        <v>5730</v>
      </c>
    </row>
    <row r="773" ht="14.25" customHeight="1">
      <c r="A773" s="32" t="s">
        <v>5731</v>
      </c>
    </row>
    <row r="774" ht="14.25" customHeight="1">
      <c r="A774" s="32" t="s">
        <v>5732</v>
      </c>
    </row>
    <row r="775" ht="14.25" customHeight="1">
      <c r="A775" s="32" t="s">
        <v>5733</v>
      </c>
    </row>
    <row r="776" ht="14.25" customHeight="1">
      <c r="A776" s="32" t="s">
        <v>5734</v>
      </c>
    </row>
    <row r="777" ht="14.25" customHeight="1">
      <c r="A777" s="32" t="s">
        <v>5735</v>
      </c>
    </row>
    <row r="778" ht="14.25" customHeight="1">
      <c r="A778" s="32" t="s">
        <v>5736</v>
      </c>
    </row>
    <row r="779" ht="14.25" customHeight="1">
      <c r="A779" s="32" t="s">
        <v>5737</v>
      </c>
    </row>
    <row r="780" ht="14.25" customHeight="1">
      <c r="A780" s="32" t="s">
        <v>5738</v>
      </c>
    </row>
    <row r="781" ht="14.25" customHeight="1">
      <c r="A781" s="32" t="s">
        <v>5739</v>
      </c>
    </row>
    <row r="782" ht="14.25" customHeight="1">
      <c r="A782" s="32" t="s">
        <v>5740</v>
      </c>
    </row>
    <row r="783" ht="14.25" customHeight="1">
      <c r="A783" s="32" t="s">
        <v>5741</v>
      </c>
    </row>
    <row r="784" ht="14.25" customHeight="1">
      <c r="A784" s="32" t="s">
        <v>5742</v>
      </c>
    </row>
    <row r="785" ht="14.25" customHeight="1">
      <c r="A785" s="32" t="s">
        <v>5743</v>
      </c>
    </row>
    <row r="786" ht="14.25" customHeight="1">
      <c r="A786" s="32" t="s">
        <v>5744</v>
      </c>
    </row>
    <row r="787" ht="14.25" customHeight="1">
      <c r="A787" s="32" t="s">
        <v>5745</v>
      </c>
    </row>
    <row r="788" ht="14.25" customHeight="1">
      <c r="A788" s="32" t="s">
        <v>5746</v>
      </c>
    </row>
    <row r="789" ht="14.25" customHeight="1">
      <c r="A789" s="32" t="s">
        <v>5747</v>
      </c>
    </row>
    <row r="790" ht="14.25" customHeight="1">
      <c r="A790" s="32" t="s">
        <v>5748</v>
      </c>
    </row>
    <row r="791" ht="14.25" customHeight="1">
      <c r="A791" s="32" t="s">
        <v>4462</v>
      </c>
    </row>
    <row r="792" ht="14.25" customHeight="1">
      <c r="A792" s="32" t="s">
        <v>5749</v>
      </c>
    </row>
    <row r="793" ht="14.25" customHeight="1">
      <c r="A793" s="32" t="s">
        <v>5750</v>
      </c>
    </row>
    <row r="794" ht="14.25" customHeight="1">
      <c r="A794" s="32" t="s">
        <v>5751</v>
      </c>
    </row>
    <row r="795" ht="14.25" customHeight="1">
      <c r="A795" s="32" t="s">
        <v>5752</v>
      </c>
    </row>
    <row r="796" ht="14.25" customHeight="1">
      <c r="A796" s="32" t="s">
        <v>5753</v>
      </c>
    </row>
    <row r="797" ht="14.25" customHeight="1">
      <c r="A797" s="32" t="s">
        <v>5754</v>
      </c>
    </row>
    <row r="798" ht="14.25" customHeight="1">
      <c r="A798" s="32" t="s">
        <v>5755</v>
      </c>
    </row>
    <row r="799" ht="14.25" customHeight="1">
      <c r="A799" s="32" t="s">
        <v>5756</v>
      </c>
    </row>
    <row r="800" ht="14.25" customHeight="1">
      <c r="A800" s="32" t="s">
        <v>5757</v>
      </c>
    </row>
    <row r="801" ht="14.25" customHeight="1">
      <c r="A801" s="32" t="s">
        <v>5758</v>
      </c>
    </row>
    <row r="802" ht="14.25" customHeight="1">
      <c r="A802" s="32" t="s">
        <v>5759</v>
      </c>
    </row>
    <row r="803" ht="14.25" customHeight="1">
      <c r="A803" s="32" t="s">
        <v>5760</v>
      </c>
    </row>
    <row r="804" ht="14.25" customHeight="1">
      <c r="A804" s="32" t="s">
        <v>5761</v>
      </c>
    </row>
    <row r="805" ht="14.25" customHeight="1">
      <c r="A805" s="32" t="s">
        <v>5762</v>
      </c>
    </row>
    <row r="806" ht="14.25" customHeight="1">
      <c r="A806" s="32" t="s">
        <v>5763</v>
      </c>
    </row>
    <row r="807" ht="14.25" customHeight="1">
      <c r="A807" s="32" t="s">
        <v>5764</v>
      </c>
    </row>
    <row r="808" ht="14.25" customHeight="1">
      <c r="A808" s="32" t="s">
        <v>5765</v>
      </c>
    </row>
    <row r="809" ht="14.25" customHeight="1">
      <c r="A809" s="32" t="s">
        <v>5766</v>
      </c>
    </row>
    <row r="810" ht="14.25" customHeight="1">
      <c r="A810" s="32" t="s">
        <v>5767</v>
      </c>
    </row>
    <row r="811" ht="14.25" customHeight="1">
      <c r="A811" s="32" t="s">
        <v>5768</v>
      </c>
    </row>
    <row r="812" ht="14.25" customHeight="1">
      <c r="A812" s="32" t="s">
        <v>5769</v>
      </c>
    </row>
    <row r="813" ht="14.25" customHeight="1">
      <c r="A813" s="32" t="s">
        <v>5770</v>
      </c>
    </row>
    <row r="814" ht="14.25" customHeight="1">
      <c r="A814" s="32" t="s">
        <v>5771</v>
      </c>
    </row>
    <row r="815" ht="14.25" customHeight="1">
      <c r="A815" s="32" t="s">
        <v>5772</v>
      </c>
    </row>
    <row r="816" ht="14.25" customHeight="1">
      <c r="A816" s="32" t="s">
        <v>5773</v>
      </c>
    </row>
    <row r="817" ht="14.25" customHeight="1">
      <c r="A817" s="32" t="s">
        <v>5774</v>
      </c>
    </row>
    <row r="818" ht="14.25" customHeight="1">
      <c r="A818" s="32" t="s">
        <v>5775</v>
      </c>
    </row>
    <row r="819" ht="14.25" customHeight="1">
      <c r="A819" s="32" t="s">
        <v>5776</v>
      </c>
    </row>
    <row r="820" ht="14.25" customHeight="1">
      <c r="A820" s="32" t="s">
        <v>5777</v>
      </c>
    </row>
    <row r="821" ht="14.25" customHeight="1">
      <c r="A821" s="32" t="s">
        <v>5778</v>
      </c>
    </row>
    <row r="822" ht="14.25" customHeight="1">
      <c r="A822" s="32" t="s">
        <v>5779</v>
      </c>
    </row>
    <row r="823" ht="14.25" customHeight="1">
      <c r="A823" s="32" t="s">
        <v>5780</v>
      </c>
    </row>
    <row r="824" ht="14.25" customHeight="1">
      <c r="A824" s="32" t="s">
        <v>5781</v>
      </c>
    </row>
    <row r="825" ht="14.25" customHeight="1">
      <c r="A825" s="32" t="s">
        <v>5782</v>
      </c>
    </row>
    <row r="826" ht="14.25" customHeight="1">
      <c r="A826" s="32" t="s">
        <v>5783</v>
      </c>
    </row>
    <row r="827" ht="14.25" customHeight="1">
      <c r="A827" s="32" t="s">
        <v>5784</v>
      </c>
    </row>
    <row r="828" ht="14.25" customHeight="1">
      <c r="A828" s="32" t="s">
        <v>5785</v>
      </c>
    </row>
    <row r="829" ht="14.25" customHeight="1">
      <c r="A829" s="32" t="s">
        <v>5786</v>
      </c>
    </row>
    <row r="830" ht="14.25" customHeight="1">
      <c r="A830" s="32" t="s">
        <v>5787</v>
      </c>
    </row>
    <row r="831" ht="14.25" customHeight="1">
      <c r="A831" s="32" t="s">
        <v>5788</v>
      </c>
    </row>
    <row r="832" ht="14.25" customHeight="1">
      <c r="A832" s="32" t="s">
        <v>5789</v>
      </c>
    </row>
    <row r="833" ht="14.25" customHeight="1">
      <c r="A833" s="32" t="s">
        <v>5790</v>
      </c>
    </row>
    <row r="834" ht="14.25" customHeight="1">
      <c r="A834" s="32" t="s">
        <v>5791</v>
      </c>
    </row>
    <row r="835" ht="14.25" customHeight="1">
      <c r="A835" s="32" t="s">
        <v>5792</v>
      </c>
    </row>
    <row r="836" ht="14.25" customHeight="1">
      <c r="A836" s="32" t="s">
        <v>5793</v>
      </c>
    </row>
    <row r="837" ht="14.25" customHeight="1">
      <c r="A837" s="32" t="s">
        <v>5794</v>
      </c>
    </row>
    <row r="838" ht="14.25" customHeight="1">
      <c r="A838" s="32" t="s">
        <v>5795</v>
      </c>
    </row>
    <row r="839" ht="14.25" customHeight="1">
      <c r="A839" s="32" t="s">
        <v>5796</v>
      </c>
    </row>
    <row r="840" ht="14.25" customHeight="1">
      <c r="A840" s="32" t="s">
        <v>5797</v>
      </c>
    </row>
    <row r="841" ht="14.25" customHeight="1">
      <c r="A841" s="32" t="s">
        <v>5798</v>
      </c>
    </row>
    <row r="842" ht="14.25" customHeight="1">
      <c r="A842" s="32" t="s">
        <v>5799</v>
      </c>
    </row>
    <row r="843" ht="14.25" customHeight="1">
      <c r="A843" s="32" t="s">
        <v>5800</v>
      </c>
    </row>
    <row r="844" ht="14.25" customHeight="1">
      <c r="A844" s="32" t="s">
        <v>5801</v>
      </c>
    </row>
    <row r="845" ht="14.25" customHeight="1">
      <c r="A845" s="32" t="s">
        <v>5802</v>
      </c>
    </row>
    <row r="846" ht="14.25" customHeight="1">
      <c r="A846" s="32" t="s">
        <v>5803</v>
      </c>
    </row>
    <row r="847" ht="14.25" customHeight="1">
      <c r="A847" s="32" t="s">
        <v>5804</v>
      </c>
    </row>
    <row r="848" ht="14.25" customHeight="1">
      <c r="A848" s="32" t="s">
        <v>5805</v>
      </c>
    </row>
    <row r="849" ht="14.25" customHeight="1">
      <c r="A849" s="32" t="s">
        <v>5806</v>
      </c>
    </row>
    <row r="850" ht="14.25" customHeight="1">
      <c r="A850" s="32" t="s">
        <v>5807</v>
      </c>
    </row>
    <row r="851" ht="14.25" customHeight="1">
      <c r="A851" s="32" t="s">
        <v>5808</v>
      </c>
    </row>
    <row r="852" ht="14.25" customHeight="1">
      <c r="A852" s="32" t="s">
        <v>5809</v>
      </c>
    </row>
    <row r="853" ht="14.25" customHeight="1">
      <c r="A853" s="32" t="s">
        <v>5810</v>
      </c>
    </row>
    <row r="854" ht="14.25" customHeight="1">
      <c r="A854" s="32" t="s">
        <v>5811</v>
      </c>
    </row>
    <row r="855" ht="14.25" customHeight="1">
      <c r="A855" s="32" t="s">
        <v>4526</v>
      </c>
    </row>
    <row r="856" ht="14.25" customHeight="1">
      <c r="A856" s="32" t="s">
        <v>5812</v>
      </c>
    </row>
    <row r="857" ht="14.25" customHeight="1">
      <c r="A857" s="32" t="s">
        <v>5813</v>
      </c>
    </row>
    <row r="858" ht="14.25" customHeight="1">
      <c r="A858" s="32" t="s">
        <v>5814</v>
      </c>
    </row>
    <row r="859" ht="14.25" customHeight="1">
      <c r="A859" s="32" t="s">
        <v>5815</v>
      </c>
    </row>
    <row r="860" ht="14.25" customHeight="1">
      <c r="A860" s="32" t="s">
        <v>5816</v>
      </c>
    </row>
    <row r="861" ht="14.25" customHeight="1">
      <c r="A861" s="32" t="s">
        <v>5817</v>
      </c>
    </row>
    <row r="862" ht="14.25" customHeight="1">
      <c r="A862" s="32" t="s">
        <v>5818</v>
      </c>
    </row>
    <row r="863" ht="14.25" customHeight="1">
      <c r="A863" s="32" t="s">
        <v>4534</v>
      </c>
    </row>
    <row r="864" ht="14.25" customHeight="1">
      <c r="A864" s="32" t="s">
        <v>4535</v>
      </c>
    </row>
    <row r="865" ht="14.25" customHeight="1">
      <c r="A865" s="32" t="s">
        <v>5819</v>
      </c>
    </row>
    <row r="866" ht="14.25" customHeight="1">
      <c r="A866" s="32" t="s">
        <v>5820</v>
      </c>
    </row>
    <row r="867" ht="14.25" customHeight="1">
      <c r="A867" s="32" t="s">
        <v>5821</v>
      </c>
    </row>
    <row r="868" ht="14.25" customHeight="1">
      <c r="A868" s="32" t="s">
        <v>5822</v>
      </c>
    </row>
    <row r="869" ht="14.25" customHeight="1">
      <c r="A869" s="32" t="s">
        <v>5823</v>
      </c>
    </row>
    <row r="870" ht="14.25" customHeight="1">
      <c r="A870" s="32" t="s">
        <v>5824</v>
      </c>
    </row>
    <row r="871" ht="14.25" customHeight="1">
      <c r="A871" s="32" t="s">
        <v>5825</v>
      </c>
    </row>
    <row r="872" ht="14.25" customHeight="1">
      <c r="A872" s="32" t="s">
        <v>5826</v>
      </c>
    </row>
    <row r="873" ht="14.25" customHeight="1">
      <c r="A873" s="32" t="s">
        <v>5827</v>
      </c>
    </row>
    <row r="874" ht="14.25" customHeight="1">
      <c r="A874" s="32" t="s">
        <v>5828</v>
      </c>
    </row>
    <row r="875" ht="14.25" customHeight="1">
      <c r="A875" s="32" t="s">
        <v>5829</v>
      </c>
    </row>
    <row r="876" ht="14.25" customHeight="1">
      <c r="A876" s="32" t="s">
        <v>5830</v>
      </c>
    </row>
    <row r="877" ht="14.25" customHeight="1">
      <c r="A877" s="32" t="s">
        <v>5831</v>
      </c>
    </row>
    <row r="878" ht="14.25" customHeight="1">
      <c r="A878" s="32" t="s">
        <v>5832</v>
      </c>
    </row>
    <row r="879" ht="14.25" customHeight="1">
      <c r="A879" s="32" t="s">
        <v>5833</v>
      </c>
    </row>
    <row r="880" ht="14.25" customHeight="1">
      <c r="A880" s="32" t="s">
        <v>5834</v>
      </c>
    </row>
    <row r="881" ht="14.25" customHeight="1">
      <c r="A881" s="32" t="s">
        <v>5835</v>
      </c>
    </row>
    <row r="882" ht="14.25" customHeight="1">
      <c r="A882" s="32" t="s">
        <v>5836</v>
      </c>
    </row>
    <row r="883" ht="14.25" customHeight="1">
      <c r="A883" s="32" t="s">
        <v>5837</v>
      </c>
    </row>
    <row r="884" ht="14.25" customHeight="1">
      <c r="A884" s="32" t="s">
        <v>5838</v>
      </c>
    </row>
    <row r="885" ht="14.25" customHeight="1">
      <c r="A885" s="32" t="s">
        <v>5839</v>
      </c>
    </row>
    <row r="886" ht="14.25" customHeight="1">
      <c r="A886" s="32" t="s">
        <v>5840</v>
      </c>
    </row>
    <row r="887" ht="14.25" customHeight="1">
      <c r="A887" s="32" t="s">
        <v>5841</v>
      </c>
    </row>
    <row r="888" ht="14.25" customHeight="1">
      <c r="A888" s="32" t="s">
        <v>5842</v>
      </c>
    </row>
    <row r="889" ht="14.25" customHeight="1">
      <c r="A889" s="32" t="s">
        <v>5843</v>
      </c>
    </row>
    <row r="890" ht="14.25" customHeight="1">
      <c r="A890" s="32" t="s">
        <v>5844</v>
      </c>
    </row>
    <row r="891" ht="14.25" customHeight="1">
      <c r="A891" s="32" t="s">
        <v>5845</v>
      </c>
    </row>
    <row r="892" ht="14.25" customHeight="1">
      <c r="A892" s="32" t="s">
        <v>5846</v>
      </c>
    </row>
    <row r="893" ht="14.25" customHeight="1">
      <c r="A893" s="32" t="s">
        <v>5847</v>
      </c>
    </row>
    <row r="894" ht="14.25" customHeight="1">
      <c r="A894" s="32" t="s">
        <v>5848</v>
      </c>
    </row>
    <row r="895" ht="14.25" customHeight="1">
      <c r="A895" s="32" t="s">
        <v>5849</v>
      </c>
    </row>
    <row r="896" ht="14.25" customHeight="1">
      <c r="A896" s="32" t="s">
        <v>5850</v>
      </c>
    </row>
    <row r="897" ht="14.25" customHeight="1">
      <c r="A897" s="32" t="s">
        <v>5851</v>
      </c>
    </row>
    <row r="898" ht="14.25" customHeight="1">
      <c r="A898" s="32" t="s">
        <v>5852</v>
      </c>
    </row>
    <row r="899" ht="14.25" customHeight="1">
      <c r="A899" s="32" t="s">
        <v>5853</v>
      </c>
    </row>
    <row r="900" ht="14.25" customHeight="1">
      <c r="A900" s="32" t="s">
        <v>5854</v>
      </c>
    </row>
    <row r="901" ht="14.25" customHeight="1">
      <c r="A901" s="32" t="s">
        <v>5855</v>
      </c>
    </row>
    <row r="902" ht="14.25" customHeight="1">
      <c r="A902" s="32" t="s">
        <v>5856</v>
      </c>
    </row>
    <row r="903" ht="14.25" customHeight="1">
      <c r="A903" s="32" t="s">
        <v>5857</v>
      </c>
    </row>
    <row r="904" ht="14.25" customHeight="1">
      <c r="A904" s="32" t="s">
        <v>5858</v>
      </c>
    </row>
    <row r="905" ht="14.25" customHeight="1">
      <c r="A905" s="32" t="s">
        <v>5859</v>
      </c>
    </row>
    <row r="906" ht="14.25" customHeight="1">
      <c r="A906" s="32" t="s">
        <v>5860</v>
      </c>
    </row>
    <row r="907" ht="14.25" customHeight="1">
      <c r="A907" s="32" t="s">
        <v>5861</v>
      </c>
    </row>
    <row r="908" ht="14.25" customHeight="1">
      <c r="A908" s="32" t="s">
        <v>5862</v>
      </c>
    </row>
    <row r="909" ht="14.25" customHeight="1">
      <c r="A909" s="32" t="s">
        <v>5863</v>
      </c>
    </row>
    <row r="910" ht="14.25" customHeight="1">
      <c r="A910" s="32" t="s">
        <v>5864</v>
      </c>
    </row>
    <row r="911" ht="14.25" customHeight="1">
      <c r="A911" s="32" t="s">
        <v>5865</v>
      </c>
    </row>
    <row r="912" ht="14.25" customHeight="1">
      <c r="A912" s="32" t="s">
        <v>5866</v>
      </c>
    </row>
    <row r="913" ht="14.25" customHeight="1">
      <c r="A913" s="32" t="s">
        <v>5867</v>
      </c>
    </row>
    <row r="914" ht="14.25" customHeight="1">
      <c r="A914" s="32" t="s">
        <v>5868</v>
      </c>
    </row>
    <row r="915" ht="14.25" customHeight="1">
      <c r="A915" s="32" t="s">
        <v>5869</v>
      </c>
    </row>
    <row r="916" ht="14.25" customHeight="1">
      <c r="A916" s="32" t="s">
        <v>5870</v>
      </c>
    </row>
    <row r="917" ht="14.25" customHeight="1">
      <c r="A917" s="32" t="s">
        <v>5871</v>
      </c>
    </row>
    <row r="918" ht="14.25" customHeight="1">
      <c r="A918" s="32" t="s">
        <v>5872</v>
      </c>
    </row>
    <row r="919" ht="14.25" customHeight="1">
      <c r="A919" s="32" t="s">
        <v>5873</v>
      </c>
    </row>
    <row r="920" ht="14.25" customHeight="1">
      <c r="A920" s="32" t="s">
        <v>5874</v>
      </c>
    </row>
    <row r="921" ht="14.25" customHeight="1">
      <c r="A921" s="32" t="s">
        <v>5875</v>
      </c>
    </row>
    <row r="922" ht="14.25" customHeight="1">
      <c r="A922" s="32" t="s">
        <v>5876</v>
      </c>
    </row>
    <row r="923" ht="14.25" customHeight="1">
      <c r="A923" s="32" t="s">
        <v>5877</v>
      </c>
    </row>
    <row r="924" ht="14.25" customHeight="1">
      <c r="A924" s="32" t="s">
        <v>5878</v>
      </c>
    </row>
    <row r="925" ht="14.25" customHeight="1">
      <c r="A925" s="32" t="s">
        <v>5879</v>
      </c>
    </row>
    <row r="926" ht="14.25" customHeight="1">
      <c r="A926" s="32" t="s">
        <v>5880</v>
      </c>
    </row>
    <row r="927" ht="14.25" customHeight="1">
      <c r="A927" s="32" t="s">
        <v>5881</v>
      </c>
    </row>
    <row r="928" ht="14.25" customHeight="1">
      <c r="A928" s="32" t="s">
        <v>5882</v>
      </c>
    </row>
    <row r="929" ht="14.25" customHeight="1">
      <c r="A929" s="32" t="s">
        <v>5883</v>
      </c>
    </row>
    <row r="930" ht="14.25" customHeight="1">
      <c r="A930" s="32" t="s">
        <v>5884</v>
      </c>
    </row>
    <row r="931" ht="14.25" customHeight="1">
      <c r="A931" s="32" t="s">
        <v>5885</v>
      </c>
    </row>
    <row r="932" ht="14.25" customHeight="1">
      <c r="A932" s="32" t="s">
        <v>5886</v>
      </c>
    </row>
    <row r="933" ht="14.25" customHeight="1">
      <c r="A933" s="32" t="s">
        <v>5887</v>
      </c>
    </row>
    <row r="934" ht="14.25" customHeight="1">
      <c r="A934" s="32" t="s">
        <v>5888</v>
      </c>
    </row>
    <row r="935" ht="14.25" customHeight="1">
      <c r="A935" s="32" t="s">
        <v>5889</v>
      </c>
    </row>
    <row r="936" ht="14.25" customHeight="1">
      <c r="A936" s="32" t="s">
        <v>5890</v>
      </c>
    </row>
    <row r="937" ht="14.25" customHeight="1">
      <c r="A937" s="32" t="s">
        <v>5891</v>
      </c>
    </row>
    <row r="938" ht="14.25" customHeight="1">
      <c r="A938" s="32" t="s">
        <v>5892</v>
      </c>
    </row>
    <row r="939" ht="14.25" customHeight="1">
      <c r="A939" s="32" t="s">
        <v>5893</v>
      </c>
    </row>
    <row r="940" ht="14.25" customHeight="1">
      <c r="A940" s="32" t="s">
        <v>5894</v>
      </c>
    </row>
    <row r="941" ht="14.25" customHeight="1">
      <c r="A941" s="32" t="s">
        <v>5895</v>
      </c>
    </row>
    <row r="942" ht="14.25" customHeight="1">
      <c r="A942" s="32" t="s">
        <v>5896</v>
      </c>
    </row>
    <row r="943" ht="14.25" customHeight="1">
      <c r="A943" s="32" t="s">
        <v>5897</v>
      </c>
    </row>
    <row r="944" ht="14.25" customHeight="1">
      <c r="A944" s="32" t="s">
        <v>5898</v>
      </c>
    </row>
    <row r="945" ht="14.25" customHeight="1">
      <c r="A945" s="32" t="s">
        <v>5899</v>
      </c>
    </row>
    <row r="946" ht="14.25" customHeight="1">
      <c r="A946" s="32" t="s">
        <v>5900</v>
      </c>
    </row>
    <row r="947" ht="14.25" customHeight="1">
      <c r="A947" s="32" t="s">
        <v>5901</v>
      </c>
    </row>
    <row r="948" ht="14.25" customHeight="1">
      <c r="A948" s="32" t="s">
        <v>5902</v>
      </c>
    </row>
    <row r="949" ht="14.25" customHeight="1">
      <c r="A949" s="32" t="s">
        <v>5903</v>
      </c>
    </row>
    <row r="950" ht="14.25" customHeight="1">
      <c r="A950" s="32" t="s">
        <v>5904</v>
      </c>
    </row>
    <row r="951" ht="14.25" customHeight="1">
      <c r="A951" s="32" t="s">
        <v>4622</v>
      </c>
    </row>
    <row r="952" ht="14.25" customHeight="1">
      <c r="A952" s="32" t="s">
        <v>5905</v>
      </c>
    </row>
    <row r="953" ht="14.25" customHeight="1">
      <c r="A953" s="32" t="s">
        <v>5906</v>
      </c>
    </row>
    <row r="954" ht="14.25" customHeight="1">
      <c r="A954" s="32" t="s">
        <v>5907</v>
      </c>
    </row>
    <row r="955" ht="14.25" customHeight="1">
      <c r="A955" s="32" t="s">
        <v>5908</v>
      </c>
    </row>
    <row r="956" ht="14.25" customHeight="1">
      <c r="A956" s="32" t="s">
        <v>5909</v>
      </c>
    </row>
    <row r="957" ht="14.25" customHeight="1">
      <c r="A957" s="32" t="s">
        <v>5910</v>
      </c>
    </row>
    <row r="958" ht="14.25" customHeight="1">
      <c r="A958" s="32" t="s">
        <v>5911</v>
      </c>
    </row>
    <row r="959" ht="14.25" customHeight="1">
      <c r="A959" s="32" t="s">
        <v>5912</v>
      </c>
    </row>
    <row r="960" ht="14.25" customHeight="1">
      <c r="A960" s="32" t="s">
        <v>5913</v>
      </c>
    </row>
    <row r="961" ht="14.25" customHeight="1">
      <c r="A961" s="32" t="s">
        <v>5914</v>
      </c>
    </row>
    <row r="962" ht="14.25" customHeight="1">
      <c r="A962" s="32" t="s">
        <v>5915</v>
      </c>
    </row>
    <row r="963" ht="14.25" customHeight="1">
      <c r="A963" s="32" t="s">
        <v>5916</v>
      </c>
    </row>
    <row r="964" ht="14.25" customHeight="1">
      <c r="A964" s="32" t="s">
        <v>5917</v>
      </c>
    </row>
    <row r="965" ht="14.25" customHeight="1">
      <c r="A965" s="32" t="s">
        <v>5918</v>
      </c>
    </row>
    <row r="966" ht="14.25" customHeight="1">
      <c r="A966" s="32" t="s">
        <v>5919</v>
      </c>
    </row>
    <row r="967" ht="14.25" customHeight="1">
      <c r="A967" s="32" t="s">
        <v>5920</v>
      </c>
    </row>
    <row r="968" ht="14.25" customHeight="1">
      <c r="A968" s="32" t="s">
        <v>5921</v>
      </c>
    </row>
    <row r="969" ht="14.25" customHeight="1">
      <c r="A969" s="32" t="s">
        <v>5922</v>
      </c>
    </row>
    <row r="970" ht="14.25" customHeight="1">
      <c r="A970" s="32" t="s">
        <v>5923</v>
      </c>
    </row>
    <row r="971" ht="14.25" customHeight="1">
      <c r="A971" s="32" t="s">
        <v>5924</v>
      </c>
    </row>
    <row r="972" ht="14.25" customHeight="1">
      <c r="A972" s="32" t="s">
        <v>5925</v>
      </c>
    </row>
    <row r="973" ht="14.25" customHeight="1">
      <c r="A973" s="32" t="s">
        <v>5926</v>
      </c>
    </row>
    <row r="974" ht="14.25" customHeight="1">
      <c r="A974" s="32" t="s">
        <v>5927</v>
      </c>
    </row>
    <row r="975" ht="14.25" customHeight="1">
      <c r="A975" s="32" t="s">
        <v>5928</v>
      </c>
    </row>
    <row r="976" ht="14.25" customHeight="1">
      <c r="A976" s="32" t="s">
        <v>5929</v>
      </c>
    </row>
    <row r="977" ht="14.25" customHeight="1">
      <c r="A977" s="32" t="s">
        <v>5930</v>
      </c>
    </row>
    <row r="978" ht="14.25" customHeight="1">
      <c r="A978" s="32" t="s">
        <v>5931</v>
      </c>
    </row>
    <row r="979" ht="14.25" customHeight="1">
      <c r="A979" s="32" t="s">
        <v>5932</v>
      </c>
    </row>
    <row r="980" ht="14.25" customHeight="1">
      <c r="A980" s="32" t="s">
        <v>5933</v>
      </c>
    </row>
    <row r="981" ht="14.25" customHeight="1">
      <c r="A981" s="32" t="s">
        <v>5934</v>
      </c>
    </row>
    <row r="982" ht="14.25" customHeight="1">
      <c r="A982" s="32" t="s">
        <v>5935</v>
      </c>
    </row>
    <row r="983" ht="14.25" customHeight="1">
      <c r="A983" s="32" t="s">
        <v>5936</v>
      </c>
    </row>
    <row r="984" ht="14.25" customHeight="1">
      <c r="A984" s="32" t="s">
        <v>5937</v>
      </c>
    </row>
    <row r="985" ht="14.25" customHeight="1">
      <c r="A985" s="32" t="s">
        <v>5938</v>
      </c>
    </row>
    <row r="986" ht="14.25" customHeight="1">
      <c r="A986" s="32" t="s">
        <v>5939</v>
      </c>
    </row>
    <row r="987" ht="14.25" customHeight="1">
      <c r="A987" s="32" t="s">
        <v>5940</v>
      </c>
    </row>
    <row r="988" ht="14.25" customHeight="1">
      <c r="A988" s="32" t="s">
        <v>5941</v>
      </c>
    </row>
    <row r="989" ht="14.25" customHeight="1">
      <c r="A989" s="32" t="s">
        <v>5942</v>
      </c>
    </row>
    <row r="990" ht="14.25" customHeight="1">
      <c r="A990" s="32" t="s">
        <v>5943</v>
      </c>
    </row>
    <row r="991" ht="14.25" customHeight="1">
      <c r="A991" s="32" t="s">
        <v>5944</v>
      </c>
    </row>
    <row r="992" ht="14.25" customHeight="1">
      <c r="A992" s="32" t="s">
        <v>5945</v>
      </c>
    </row>
    <row r="993" ht="14.25" customHeight="1">
      <c r="A993" s="32" t="s">
        <v>5946</v>
      </c>
    </row>
    <row r="994" ht="14.25" customHeight="1">
      <c r="A994" s="32" t="s">
        <v>5947</v>
      </c>
    </row>
    <row r="995" ht="14.25" customHeight="1">
      <c r="A995" s="32" t="s">
        <v>5948</v>
      </c>
    </row>
    <row r="996" ht="14.25" customHeight="1">
      <c r="A996" s="32" t="s">
        <v>5949</v>
      </c>
    </row>
    <row r="997" ht="14.25" customHeight="1">
      <c r="A997" s="32" t="s">
        <v>5950</v>
      </c>
    </row>
    <row r="998" ht="14.25" customHeight="1">
      <c r="A998" s="32" t="s">
        <v>5951</v>
      </c>
    </row>
    <row r="999" ht="14.25" customHeight="1">
      <c r="A999" s="32" t="s">
        <v>5952</v>
      </c>
    </row>
    <row r="1000" ht="14.25" customHeight="1">
      <c r="A1000" s="32" t="s">
        <v>5953</v>
      </c>
    </row>
    <row r="1001" ht="14.25" customHeight="1">
      <c r="A1001" s="32" t="s">
        <v>5954</v>
      </c>
    </row>
    <row r="1002" ht="14.25" customHeight="1">
      <c r="A1002" s="32" t="s">
        <v>5955</v>
      </c>
    </row>
    <row r="1003" ht="14.25" customHeight="1">
      <c r="A1003" s="32" t="s">
        <v>5956</v>
      </c>
    </row>
    <row r="1004" ht="14.25" customHeight="1">
      <c r="A1004" s="32" t="s">
        <v>5957</v>
      </c>
    </row>
    <row r="1005" ht="14.25" customHeight="1">
      <c r="A1005" s="32" t="s">
        <v>5958</v>
      </c>
    </row>
    <row r="1006" ht="14.25" customHeight="1">
      <c r="A1006" s="32" t="s">
        <v>5959</v>
      </c>
    </row>
    <row r="1007" ht="14.25" customHeight="1">
      <c r="A1007" s="32" t="s">
        <v>5960</v>
      </c>
    </row>
    <row r="1008" ht="14.25" customHeight="1">
      <c r="A1008" s="32" t="s">
        <v>5961</v>
      </c>
    </row>
    <row r="1009" ht="14.25" customHeight="1">
      <c r="A1009" s="32" t="s">
        <v>5962</v>
      </c>
    </row>
    <row r="1010" ht="14.25" customHeight="1">
      <c r="A1010" s="32" t="s">
        <v>5963</v>
      </c>
    </row>
    <row r="1011" ht="14.25" customHeight="1">
      <c r="A1011" s="32" t="s">
        <v>5964</v>
      </c>
    </row>
    <row r="1012" ht="14.25" customHeight="1">
      <c r="A1012" s="32" t="s">
        <v>5965</v>
      </c>
    </row>
    <row r="1013" ht="14.25" customHeight="1">
      <c r="A1013" s="32" t="s">
        <v>5966</v>
      </c>
    </row>
    <row r="1014" ht="14.25" customHeight="1">
      <c r="A1014" s="32" t="s">
        <v>5967</v>
      </c>
    </row>
    <row r="1015" ht="14.25" customHeight="1">
      <c r="A1015" s="32" t="s">
        <v>5968</v>
      </c>
    </row>
    <row r="1016" ht="14.25" customHeight="1">
      <c r="A1016" s="32" t="s">
        <v>5969</v>
      </c>
    </row>
    <row r="1017" ht="14.25" customHeight="1">
      <c r="A1017" s="32" t="s">
        <v>5970</v>
      </c>
    </row>
    <row r="1018" ht="14.25" customHeight="1">
      <c r="A1018" s="32" t="s">
        <v>5971</v>
      </c>
    </row>
    <row r="1019" ht="14.25" customHeight="1">
      <c r="A1019" s="32" t="s">
        <v>5972</v>
      </c>
    </row>
    <row r="1020" ht="14.25" customHeight="1">
      <c r="A1020" s="32" t="s">
        <v>5973</v>
      </c>
    </row>
    <row r="1021" ht="14.25" customHeight="1">
      <c r="A1021" s="32" t="s">
        <v>5974</v>
      </c>
    </row>
    <row r="1022" ht="14.25" customHeight="1">
      <c r="A1022" s="32" t="s">
        <v>5975</v>
      </c>
    </row>
    <row r="1023" ht="14.25" customHeight="1">
      <c r="A1023" s="32" t="s">
        <v>5976</v>
      </c>
    </row>
    <row r="1024" ht="14.25" customHeight="1">
      <c r="A1024" s="32" t="s">
        <v>5977</v>
      </c>
    </row>
    <row r="1025" ht="14.25" customHeight="1">
      <c r="A1025" s="32" t="s">
        <v>5978</v>
      </c>
    </row>
    <row r="1026" ht="14.25" customHeight="1">
      <c r="A1026" s="32" t="s">
        <v>5979</v>
      </c>
    </row>
    <row r="1027" ht="14.25" customHeight="1">
      <c r="A1027" s="32" t="s">
        <v>5980</v>
      </c>
    </row>
    <row r="1028" ht="14.25" customHeight="1">
      <c r="A1028" s="32" t="s">
        <v>5981</v>
      </c>
    </row>
    <row r="1029" ht="14.25" customHeight="1">
      <c r="A1029" s="32" t="s">
        <v>5982</v>
      </c>
    </row>
    <row r="1030" ht="14.25" customHeight="1">
      <c r="A1030" s="32" t="s">
        <v>5983</v>
      </c>
    </row>
    <row r="1031" ht="14.25" customHeight="1">
      <c r="A1031" s="32" t="s">
        <v>5984</v>
      </c>
    </row>
    <row r="1032" ht="14.25" customHeight="1">
      <c r="A1032" s="32" t="s">
        <v>5985</v>
      </c>
    </row>
    <row r="1033" ht="14.25" customHeight="1">
      <c r="A1033" s="32" t="s">
        <v>5986</v>
      </c>
    </row>
    <row r="1034" ht="14.25" customHeight="1">
      <c r="A1034" s="32" t="s">
        <v>5987</v>
      </c>
    </row>
    <row r="1035" ht="14.25" customHeight="1">
      <c r="A1035" s="32" t="s">
        <v>5988</v>
      </c>
    </row>
    <row r="1036" ht="14.25" customHeight="1">
      <c r="A1036" s="32" t="s">
        <v>5989</v>
      </c>
    </row>
    <row r="1037" ht="14.25" customHeight="1">
      <c r="A1037" s="32" t="s">
        <v>5990</v>
      </c>
    </row>
    <row r="1038" ht="14.25" customHeight="1">
      <c r="A1038" s="32" t="s">
        <v>5991</v>
      </c>
    </row>
    <row r="1039" ht="14.25" customHeight="1">
      <c r="A1039" s="32" t="s">
        <v>5992</v>
      </c>
    </row>
    <row r="1040" ht="14.25" customHeight="1">
      <c r="A1040" s="32" t="s">
        <v>5993</v>
      </c>
    </row>
    <row r="1041" ht="14.25" customHeight="1">
      <c r="A1041" s="32" t="s">
        <v>5994</v>
      </c>
    </row>
    <row r="1042" ht="14.25" customHeight="1">
      <c r="A1042" s="32" t="s">
        <v>5995</v>
      </c>
    </row>
    <row r="1043" ht="14.25" customHeight="1">
      <c r="A1043" s="32" t="s">
        <v>5996</v>
      </c>
    </row>
    <row r="1044" ht="14.25" customHeight="1">
      <c r="A1044" s="32" t="s">
        <v>5997</v>
      </c>
    </row>
    <row r="1045" ht="14.25" customHeight="1">
      <c r="A1045" s="32" t="s">
        <v>5998</v>
      </c>
    </row>
    <row r="1046" ht="14.25" customHeight="1">
      <c r="A1046" s="32" t="s">
        <v>5999</v>
      </c>
    </row>
    <row r="1047" ht="14.25" customHeight="1">
      <c r="A1047" s="32" t="s">
        <v>6000</v>
      </c>
    </row>
    <row r="1048" ht="14.25" customHeight="1">
      <c r="A1048" s="32" t="s">
        <v>6001</v>
      </c>
    </row>
    <row r="1049" ht="14.25" customHeight="1">
      <c r="A1049" s="32" t="s">
        <v>6002</v>
      </c>
    </row>
    <row r="1050" ht="14.25" customHeight="1">
      <c r="A1050" s="32" t="s">
        <v>6003</v>
      </c>
    </row>
    <row r="1051" ht="14.25" customHeight="1">
      <c r="A1051" s="32" t="s">
        <v>6004</v>
      </c>
    </row>
    <row r="1052" ht="14.25" customHeight="1">
      <c r="A1052" s="32" t="s">
        <v>6005</v>
      </c>
    </row>
    <row r="1053" ht="14.25" customHeight="1">
      <c r="A1053" s="32" t="s">
        <v>6006</v>
      </c>
    </row>
    <row r="1054" ht="14.25" customHeight="1">
      <c r="A1054" s="32" t="s">
        <v>6007</v>
      </c>
    </row>
    <row r="1055" ht="14.25" customHeight="1">
      <c r="A1055" s="32" t="s">
        <v>6008</v>
      </c>
    </row>
    <row r="1056" ht="14.25" customHeight="1">
      <c r="A1056" s="32" t="s">
        <v>6009</v>
      </c>
    </row>
    <row r="1057" ht="14.25" customHeight="1">
      <c r="A1057" s="32" t="s">
        <v>6010</v>
      </c>
    </row>
    <row r="1058" ht="14.25" customHeight="1">
      <c r="A1058" s="32" t="s">
        <v>6011</v>
      </c>
    </row>
    <row r="1059" ht="14.25" customHeight="1">
      <c r="A1059" s="32" t="s">
        <v>6012</v>
      </c>
    </row>
    <row r="1060" ht="14.25" customHeight="1">
      <c r="A1060" s="32" t="s">
        <v>6013</v>
      </c>
    </row>
    <row r="1061" ht="14.25" customHeight="1">
      <c r="A1061" s="32" t="s">
        <v>6014</v>
      </c>
    </row>
    <row r="1062" ht="14.25" customHeight="1">
      <c r="A1062" s="32" t="s">
        <v>6015</v>
      </c>
    </row>
    <row r="1063" ht="14.25" customHeight="1">
      <c r="A1063" s="32" t="s">
        <v>6016</v>
      </c>
    </row>
    <row r="1064" ht="14.25" customHeight="1">
      <c r="A1064" s="32" t="s">
        <v>6017</v>
      </c>
    </row>
    <row r="1065" ht="14.25" customHeight="1">
      <c r="A1065" s="32" t="s">
        <v>6018</v>
      </c>
    </row>
    <row r="1066" ht="14.25" customHeight="1">
      <c r="A1066" s="32" t="s">
        <v>6019</v>
      </c>
    </row>
    <row r="1067" ht="14.25" customHeight="1">
      <c r="A1067" s="32" t="s">
        <v>6020</v>
      </c>
    </row>
    <row r="1068" ht="14.25" customHeight="1">
      <c r="A1068" s="32" t="s">
        <v>6021</v>
      </c>
    </row>
    <row r="1069" ht="14.25" customHeight="1">
      <c r="A1069" s="32" t="s">
        <v>6022</v>
      </c>
    </row>
    <row r="1070" ht="14.25" customHeight="1">
      <c r="A1070" s="32" t="s">
        <v>6023</v>
      </c>
    </row>
    <row r="1071" ht="14.25" customHeight="1">
      <c r="A1071" s="32" t="s">
        <v>6024</v>
      </c>
    </row>
    <row r="1072" ht="14.25" customHeight="1">
      <c r="A1072" s="32" t="s">
        <v>6025</v>
      </c>
    </row>
    <row r="1073" ht="14.25" customHeight="1">
      <c r="A1073" s="32" t="s">
        <v>6026</v>
      </c>
    </row>
    <row r="1074" ht="14.25" customHeight="1">
      <c r="A1074" s="32" t="s">
        <v>6027</v>
      </c>
    </row>
    <row r="1075" ht="14.25" customHeight="1">
      <c r="A1075" s="32" t="s">
        <v>6028</v>
      </c>
    </row>
    <row r="1076" ht="14.25" customHeight="1">
      <c r="A1076" s="32" t="s">
        <v>6029</v>
      </c>
    </row>
    <row r="1077" ht="14.25" customHeight="1">
      <c r="A1077" s="32" t="s">
        <v>6030</v>
      </c>
    </row>
    <row r="1078" ht="14.25" customHeight="1">
      <c r="A1078" s="32" t="s">
        <v>6031</v>
      </c>
    </row>
    <row r="1079" ht="14.25" customHeight="1">
      <c r="A1079" s="32" t="s">
        <v>6032</v>
      </c>
    </row>
    <row r="1080" ht="14.25" customHeight="1">
      <c r="A1080" s="32" t="s">
        <v>6033</v>
      </c>
    </row>
    <row r="1081" ht="14.25" customHeight="1">
      <c r="A1081" s="32" t="s">
        <v>6034</v>
      </c>
    </row>
    <row r="1082" ht="14.25" customHeight="1">
      <c r="A1082" s="32" t="s">
        <v>6035</v>
      </c>
    </row>
    <row r="1083" ht="14.25" customHeight="1">
      <c r="A1083" s="32" t="s">
        <v>6036</v>
      </c>
    </row>
    <row r="1084" ht="14.25" customHeight="1">
      <c r="A1084" s="32" t="s">
        <v>6037</v>
      </c>
    </row>
    <row r="1085" ht="14.25" customHeight="1">
      <c r="A1085" s="32" t="s">
        <v>6038</v>
      </c>
    </row>
    <row r="1086" ht="14.25" customHeight="1">
      <c r="A1086" s="32" t="s">
        <v>4757</v>
      </c>
    </row>
    <row r="1087" ht="14.25" customHeight="1">
      <c r="A1087" s="32" t="s">
        <v>6039</v>
      </c>
    </row>
    <row r="1088" ht="14.25" customHeight="1">
      <c r="A1088" s="32" t="s">
        <v>6040</v>
      </c>
    </row>
    <row r="1089" ht="14.25" customHeight="1">
      <c r="A1089" s="32" t="s">
        <v>6041</v>
      </c>
    </row>
    <row r="1090" ht="14.25" customHeight="1">
      <c r="A1090" s="32" t="s">
        <v>6042</v>
      </c>
    </row>
    <row r="1091" ht="14.25" customHeight="1">
      <c r="A1091" s="32" t="s">
        <v>6043</v>
      </c>
    </row>
    <row r="1092" ht="14.25" customHeight="1">
      <c r="A1092" s="32" t="s">
        <v>6044</v>
      </c>
    </row>
    <row r="1093" ht="14.25" customHeight="1">
      <c r="A1093" s="32" t="s">
        <v>6045</v>
      </c>
    </row>
    <row r="1094" ht="14.25" customHeight="1">
      <c r="A1094" s="32" t="s">
        <v>6046</v>
      </c>
    </row>
    <row r="1095" ht="14.25" customHeight="1">
      <c r="A1095" s="32" t="s">
        <v>6047</v>
      </c>
    </row>
    <row r="1096" ht="14.25" customHeight="1">
      <c r="A1096" s="32" t="s">
        <v>6048</v>
      </c>
    </row>
    <row r="1097" ht="14.25" customHeight="1">
      <c r="A1097" s="32" t="s">
        <v>6049</v>
      </c>
    </row>
    <row r="1098" ht="14.25" customHeight="1">
      <c r="A1098" s="32" t="s">
        <v>6050</v>
      </c>
    </row>
    <row r="1099" ht="14.25" customHeight="1">
      <c r="A1099" s="32" t="s">
        <v>6051</v>
      </c>
    </row>
    <row r="1100" ht="14.25" customHeight="1">
      <c r="A1100" s="32" t="s">
        <v>6052</v>
      </c>
    </row>
    <row r="1101" ht="14.25" customHeight="1">
      <c r="A1101" s="32" t="s">
        <v>6053</v>
      </c>
    </row>
    <row r="1102" ht="14.25" customHeight="1">
      <c r="A1102" s="32" t="s">
        <v>6054</v>
      </c>
    </row>
    <row r="1103" ht="14.25" customHeight="1">
      <c r="A1103" s="32" t="s">
        <v>6055</v>
      </c>
    </row>
    <row r="1104" ht="14.25" customHeight="1">
      <c r="A1104" s="32" t="s">
        <v>6056</v>
      </c>
    </row>
    <row r="1105" ht="14.25" customHeight="1">
      <c r="A1105" s="32" t="s">
        <v>6057</v>
      </c>
    </row>
    <row r="1106" ht="14.25" customHeight="1">
      <c r="A1106" s="32" t="s">
        <v>6058</v>
      </c>
    </row>
    <row r="1107" ht="14.25" customHeight="1">
      <c r="A1107" s="32" t="s">
        <v>6059</v>
      </c>
    </row>
    <row r="1108" ht="14.25" customHeight="1">
      <c r="A1108" s="32" t="s">
        <v>6060</v>
      </c>
    </row>
    <row r="1109" ht="14.25" customHeight="1">
      <c r="A1109" s="32" t="s">
        <v>6061</v>
      </c>
    </row>
    <row r="1110" ht="14.25" customHeight="1">
      <c r="A1110" s="32" t="s">
        <v>6062</v>
      </c>
    </row>
    <row r="1111" ht="14.25" customHeight="1">
      <c r="A1111" s="32" t="s">
        <v>6063</v>
      </c>
    </row>
    <row r="1112" ht="14.25" customHeight="1">
      <c r="A1112" s="32" t="s">
        <v>6064</v>
      </c>
    </row>
    <row r="1113" ht="14.25" customHeight="1">
      <c r="A1113" s="32" t="s">
        <v>6065</v>
      </c>
    </row>
    <row r="1114" ht="14.25" customHeight="1">
      <c r="A1114" s="32" t="s">
        <v>6066</v>
      </c>
    </row>
    <row r="1115" ht="14.25" customHeight="1">
      <c r="A1115" s="32" t="s">
        <v>6067</v>
      </c>
    </row>
    <row r="1116" ht="14.25" customHeight="1">
      <c r="A1116" s="32" t="s">
        <v>6068</v>
      </c>
    </row>
    <row r="1117" ht="14.25" customHeight="1">
      <c r="A1117" s="32" t="s">
        <v>6069</v>
      </c>
    </row>
    <row r="1118" ht="14.25" customHeight="1">
      <c r="A1118" s="32" t="s">
        <v>6070</v>
      </c>
    </row>
    <row r="1119" ht="14.25" customHeight="1">
      <c r="A1119" s="32" t="s">
        <v>6071</v>
      </c>
    </row>
    <row r="1120" ht="14.25" customHeight="1">
      <c r="A1120" s="32" t="s">
        <v>6072</v>
      </c>
    </row>
    <row r="1121" ht="14.25" customHeight="1">
      <c r="A1121" s="32" t="s">
        <v>6073</v>
      </c>
    </row>
    <row r="1122" ht="14.25" customHeight="1">
      <c r="A1122" s="32" t="s">
        <v>6074</v>
      </c>
    </row>
    <row r="1123" ht="14.25" customHeight="1">
      <c r="A1123" s="32" t="s">
        <v>6075</v>
      </c>
    </row>
    <row r="1124" ht="14.25" customHeight="1">
      <c r="A1124" s="32" t="s">
        <v>6076</v>
      </c>
    </row>
    <row r="1125" ht="14.25" customHeight="1">
      <c r="A1125" s="32" t="s">
        <v>6077</v>
      </c>
    </row>
    <row r="1126" ht="14.25" customHeight="1">
      <c r="A1126" s="32" t="s">
        <v>6078</v>
      </c>
    </row>
    <row r="1127" ht="14.25" customHeight="1">
      <c r="A1127" s="32" t="s">
        <v>6079</v>
      </c>
    </row>
    <row r="1128" ht="14.25" customHeight="1">
      <c r="A1128" s="32" t="s">
        <v>6080</v>
      </c>
    </row>
    <row r="1129" ht="14.25" customHeight="1">
      <c r="A1129" s="32" t="s">
        <v>6081</v>
      </c>
    </row>
    <row r="1130" ht="14.25" customHeight="1">
      <c r="A1130" s="32" t="s">
        <v>6082</v>
      </c>
    </row>
    <row r="1131" ht="14.25" customHeight="1">
      <c r="A1131" s="32" t="s">
        <v>6083</v>
      </c>
    </row>
    <row r="1132" ht="14.25" customHeight="1">
      <c r="A1132" s="32" t="s">
        <v>6084</v>
      </c>
    </row>
    <row r="1133" ht="14.25" customHeight="1">
      <c r="A1133" s="32" t="s">
        <v>6085</v>
      </c>
    </row>
    <row r="1134" ht="14.25" customHeight="1">
      <c r="A1134" s="32" t="s">
        <v>6086</v>
      </c>
    </row>
    <row r="1135" ht="14.25" customHeight="1">
      <c r="A1135" s="32" t="s">
        <v>6087</v>
      </c>
    </row>
    <row r="1136" ht="14.25" customHeight="1">
      <c r="A1136" s="32" t="s">
        <v>6088</v>
      </c>
    </row>
    <row r="1137" ht="14.25" customHeight="1">
      <c r="A1137" s="32" t="s">
        <v>6089</v>
      </c>
    </row>
    <row r="1138" ht="14.25" customHeight="1">
      <c r="A1138" s="32" t="s">
        <v>6090</v>
      </c>
    </row>
    <row r="1139" ht="14.25" customHeight="1">
      <c r="A1139" s="32" t="s">
        <v>6091</v>
      </c>
    </row>
    <row r="1140" ht="14.25" customHeight="1">
      <c r="A1140" s="32" t="s">
        <v>6092</v>
      </c>
    </row>
    <row r="1141" ht="14.25" customHeight="1">
      <c r="A1141" s="32" t="s">
        <v>6093</v>
      </c>
    </row>
    <row r="1142" ht="14.25" customHeight="1">
      <c r="A1142" s="32" t="s">
        <v>6094</v>
      </c>
    </row>
    <row r="1143" ht="14.25" customHeight="1">
      <c r="A1143" s="32" t="s">
        <v>6095</v>
      </c>
    </row>
    <row r="1144" ht="14.25" customHeight="1">
      <c r="A1144" s="32" t="s">
        <v>6096</v>
      </c>
    </row>
    <row r="1145" ht="14.25" customHeight="1">
      <c r="A1145" s="32" t="s">
        <v>6097</v>
      </c>
    </row>
    <row r="1146" ht="14.25" customHeight="1">
      <c r="A1146" s="32" t="s">
        <v>6098</v>
      </c>
    </row>
    <row r="1147" ht="14.25" customHeight="1">
      <c r="A1147" s="32" t="s">
        <v>6099</v>
      </c>
    </row>
    <row r="1148" ht="14.25" customHeight="1">
      <c r="A1148" s="32" t="s">
        <v>6100</v>
      </c>
    </row>
    <row r="1149" ht="14.25" customHeight="1">
      <c r="A1149" s="32" t="s">
        <v>6101</v>
      </c>
    </row>
    <row r="1150" ht="14.25" customHeight="1">
      <c r="A1150" s="32" t="s">
        <v>6102</v>
      </c>
    </row>
    <row r="1151" ht="14.25" customHeight="1">
      <c r="A1151" s="32" t="s">
        <v>6103</v>
      </c>
    </row>
    <row r="1152" ht="14.25" customHeight="1">
      <c r="A1152" s="32" t="s">
        <v>6104</v>
      </c>
    </row>
    <row r="1153" ht="14.25" customHeight="1">
      <c r="A1153" s="32" t="s">
        <v>6105</v>
      </c>
    </row>
    <row r="1154" ht="14.25" customHeight="1">
      <c r="A1154" s="32" t="s">
        <v>6106</v>
      </c>
    </row>
    <row r="1155" ht="14.25" customHeight="1">
      <c r="A1155" s="32" t="s">
        <v>6107</v>
      </c>
    </row>
    <row r="1156" ht="14.25" customHeight="1">
      <c r="A1156" s="32" t="s">
        <v>6108</v>
      </c>
    </row>
    <row r="1157" ht="14.25" customHeight="1">
      <c r="A1157" s="32" t="s">
        <v>6109</v>
      </c>
    </row>
    <row r="1158" ht="14.25" customHeight="1">
      <c r="A1158" s="32" t="s">
        <v>6110</v>
      </c>
    </row>
    <row r="1159" ht="14.25" customHeight="1">
      <c r="A1159" s="32" t="s">
        <v>6111</v>
      </c>
    </row>
    <row r="1160" ht="14.25" customHeight="1">
      <c r="A1160" s="32" t="s">
        <v>6112</v>
      </c>
    </row>
    <row r="1161" ht="14.25" customHeight="1">
      <c r="A1161" s="32" t="s">
        <v>6113</v>
      </c>
    </row>
    <row r="1162" ht="14.25" customHeight="1">
      <c r="A1162" s="32" t="s">
        <v>6114</v>
      </c>
    </row>
    <row r="1163" ht="14.25" customHeight="1">
      <c r="A1163" s="32" t="s">
        <v>6115</v>
      </c>
    </row>
    <row r="1164" ht="14.25" customHeight="1">
      <c r="A1164" s="32" t="s">
        <v>6116</v>
      </c>
    </row>
    <row r="1165" ht="14.25" customHeight="1">
      <c r="A1165" s="32" t="s">
        <v>6117</v>
      </c>
    </row>
    <row r="1166" ht="14.25" customHeight="1">
      <c r="A1166" s="32" t="s">
        <v>6118</v>
      </c>
    </row>
    <row r="1167" ht="14.25" customHeight="1">
      <c r="A1167" s="32" t="s">
        <v>6119</v>
      </c>
    </row>
    <row r="1168" ht="14.25" customHeight="1">
      <c r="A1168" s="32" t="s">
        <v>6120</v>
      </c>
    </row>
    <row r="1169" ht="14.25" customHeight="1">
      <c r="A1169" s="32" t="s">
        <v>6121</v>
      </c>
    </row>
    <row r="1170" ht="14.25" customHeight="1">
      <c r="A1170" s="32" t="s">
        <v>6122</v>
      </c>
    </row>
    <row r="1171" ht="14.25" customHeight="1">
      <c r="A1171" s="32" t="s">
        <v>6123</v>
      </c>
    </row>
    <row r="1172" ht="14.25" customHeight="1">
      <c r="A1172" s="32" t="s">
        <v>6124</v>
      </c>
    </row>
    <row r="1173" ht="14.25" customHeight="1">
      <c r="A1173" s="32" t="s">
        <v>6125</v>
      </c>
    </row>
    <row r="1174" ht="14.25" customHeight="1">
      <c r="A1174" s="32" t="s">
        <v>6126</v>
      </c>
    </row>
    <row r="1175" ht="14.25" customHeight="1">
      <c r="A1175" s="32" t="s">
        <v>6127</v>
      </c>
    </row>
    <row r="1176" ht="14.25" customHeight="1">
      <c r="A1176" s="32" t="s">
        <v>6128</v>
      </c>
    </row>
    <row r="1177" ht="14.25" customHeight="1">
      <c r="A1177" s="32" t="s">
        <v>6129</v>
      </c>
    </row>
    <row r="1178" ht="14.25" customHeight="1">
      <c r="A1178" s="32" t="s">
        <v>6130</v>
      </c>
    </row>
    <row r="1179" ht="14.25" customHeight="1">
      <c r="A1179" s="32" t="s">
        <v>6131</v>
      </c>
    </row>
    <row r="1180" ht="14.25" customHeight="1">
      <c r="A1180" s="32" t="s">
        <v>6132</v>
      </c>
    </row>
    <row r="1181" ht="14.25" customHeight="1">
      <c r="A1181" s="32" t="s">
        <v>6133</v>
      </c>
    </row>
    <row r="1182" ht="14.25" customHeight="1">
      <c r="A1182" s="32" t="s">
        <v>6134</v>
      </c>
    </row>
    <row r="1183" ht="14.25" customHeight="1">
      <c r="A1183" s="32" t="s">
        <v>6135</v>
      </c>
    </row>
    <row r="1184" ht="14.25" customHeight="1">
      <c r="A1184" s="32" t="s">
        <v>6136</v>
      </c>
    </row>
    <row r="1185" ht="14.25" customHeight="1">
      <c r="A1185" s="32" t="s">
        <v>6137</v>
      </c>
    </row>
    <row r="1186" ht="14.25" customHeight="1">
      <c r="A1186" s="32" t="s">
        <v>6138</v>
      </c>
    </row>
    <row r="1187" ht="14.25" customHeight="1">
      <c r="A1187" s="32" t="s">
        <v>6139</v>
      </c>
    </row>
    <row r="1188" ht="14.25" customHeight="1">
      <c r="A1188" s="32" t="s">
        <v>6140</v>
      </c>
    </row>
    <row r="1189" ht="14.25" customHeight="1">
      <c r="A1189" s="32" t="s">
        <v>6141</v>
      </c>
    </row>
    <row r="1190" ht="14.25" customHeight="1">
      <c r="A1190" s="32" t="s">
        <v>6142</v>
      </c>
    </row>
    <row r="1191" ht="14.25" customHeight="1">
      <c r="A1191" s="32" t="s">
        <v>6143</v>
      </c>
    </row>
    <row r="1192" ht="14.25" customHeight="1">
      <c r="A1192" s="32" t="s">
        <v>6144</v>
      </c>
    </row>
    <row r="1193" ht="14.25" customHeight="1">
      <c r="A1193" s="32" t="s">
        <v>6145</v>
      </c>
    </row>
    <row r="1194" ht="14.25" customHeight="1">
      <c r="A1194" s="32" t="s">
        <v>6146</v>
      </c>
    </row>
    <row r="1195" ht="14.25" customHeight="1">
      <c r="A1195" s="32" t="s">
        <v>6147</v>
      </c>
    </row>
    <row r="1196" ht="14.25" customHeight="1">
      <c r="A1196" s="32" t="s">
        <v>6148</v>
      </c>
    </row>
    <row r="1197" ht="14.25" customHeight="1">
      <c r="A1197" s="32" t="s">
        <v>6149</v>
      </c>
    </row>
    <row r="1198" ht="14.25" customHeight="1">
      <c r="A1198" s="32" t="s">
        <v>6150</v>
      </c>
    </row>
    <row r="1199" ht="14.25" customHeight="1">
      <c r="A1199" s="32" t="s">
        <v>6151</v>
      </c>
    </row>
    <row r="1200" ht="14.25" customHeight="1">
      <c r="A1200" s="32" t="s">
        <v>6152</v>
      </c>
    </row>
    <row r="1201" ht="14.25" customHeight="1">
      <c r="A1201" s="32" t="s">
        <v>6153</v>
      </c>
    </row>
    <row r="1202" ht="14.25" customHeight="1">
      <c r="A1202" s="32" t="s">
        <v>6154</v>
      </c>
    </row>
    <row r="1203" ht="14.25" customHeight="1">
      <c r="A1203" s="32" t="s">
        <v>6155</v>
      </c>
    </row>
    <row r="1204" ht="14.25" customHeight="1">
      <c r="A1204" s="32" t="s">
        <v>6156</v>
      </c>
    </row>
    <row r="1205" ht="14.25" customHeight="1">
      <c r="A1205" s="32" t="s">
        <v>6157</v>
      </c>
    </row>
    <row r="1206" ht="14.25" customHeight="1">
      <c r="A1206" s="32" t="s">
        <v>6158</v>
      </c>
    </row>
    <row r="1207" ht="14.25" customHeight="1">
      <c r="A1207" s="32" t="s">
        <v>6159</v>
      </c>
    </row>
    <row r="1208" ht="14.25" customHeight="1">
      <c r="A1208" s="32" t="s">
        <v>6160</v>
      </c>
    </row>
    <row r="1209" ht="14.25" customHeight="1">
      <c r="A1209" s="32" t="s">
        <v>6161</v>
      </c>
    </row>
    <row r="1210" ht="14.25" customHeight="1">
      <c r="A1210" s="32" t="s">
        <v>6162</v>
      </c>
    </row>
    <row r="1211" ht="14.25" customHeight="1">
      <c r="A1211" s="32" t="s">
        <v>6163</v>
      </c>
    </row>
    <row r="1212" ht="14.25" customHeight="1">
      <c r="A1212" s="32" t="s">
        <v>6164</v>
      </c>
    </row>
    <row r="1213" ht="14.25" customHeight="1">
      <c r="A1213" s="32" t="s">
        <v>6165</v>
      </c>
    </row>
    <row r="1214" ht="14.25" customHeight="1">
      <c r="A1214" s="32" t="s">
        <v>6166</v>
      </c>
    </row>
    <row r="1215" ht="14.25" customHeight="1">
      <c r="A1215" s="32" t="s">
        <v>6167</v>
      </c>
    </row>
    <row r="1216" ht="14.25" customHeight="1">
      <c r="A1216" s="32" t="s">
        <v>6168</v>
      </c>
    </row>
    <row r="1217" ht="14.25" customHeight="1">
      <c r="A1217" s="32" t="s">
        <v>6169</v>
      </c>
    </row>
    <row r="1218" ht="14.25" customHeight="1">
      <c r="A1218" s="32" t="s">
        <v>6170</v>
      </c>
    </row>
    <row r="1219" ht="14.25" customHeight="1">
      <c r="A1219" s="32" t="s">
        <v>6171</v>
      </c>
    </row>
    <row r="1220" ht="14.25" customHeight="1">
      <c r="A1220" s="32" t="s">
        <v>6172</v>
      </c>
    </row>
    <row r="1221" ht="14.25" customHeight="1">
      <c r="A1221" s="32" t="s">
        <v>6173</v>
      </c>
    </row>
    <row r="1222" ht="14.25" customHeight="1">
      <c r="A1222" s="32" t="s">
        <v>6174</v>
      </c>
    </row>
    <row r="1223" ht="14.25" customHeight="1">
      <c r="A1223" s="32" t="s">
        <v>6175</v>
      </c>
    </row>
    <row r="1224" ht="14.25" customHeight="1">
      <c r="A1224" s="32" t="s">
        <v>6176</v>
      </c>
    </row>
    <row r="1225" ht="14.25" customHeight="1">
      <c r="A1225" s="32" t="s">
        <v>6177</v>
      </c>
    </row>
    <row r="1226" ht="14.25" customHeight="1">
      <c r="A1226" s="32" t="s">
        <v>6178</v>
      </c>
    </row>
    <row r="1227" ht="14.25" customHeight="1">
      <c r="A1227" s="32" t="s">
        <v>6179</v>
      </c>
    </row>
    <row r="1228" ht="14.25" customHeight="1">
      <c r="A1228" s="32" t="s">
        <v>6180</v>
      </c>
    </row>
    <row r="1229" ht="14.25" customHeight="1">
      <c r="A1229" s="32" t="s">
        <v>6181</v>
      </c>
    </row>
    <row r="1230" ht="14.25" customHeight="1">
      <c r="A1230" s="32" t="s">
        <v>6182</v>
      </c>
    </row>
    <row r="1231" ht="14.25" customHeight="1">
      <c r="A1231" s="32" t="s">
        <v>6183</v>
      </c>
    </row>
    <row r="1232" ht="14.25" customHeight="1">
      <c r="A1232" s="32" t="s">
        <v>6184</v>
      </c>
    </row>
    <row r="1233" ht="14.25" customHeight="1">
      <c r="A1233" s="32" t="s">
        <v>6185</v>
      </c>
    </row>
    <row r="1234" ht="14.25" customHeight="1">
      <c r="A1234" s="32" t="s">
        <v>6186</v>
      </c>
    </row>
    <row r="1235" ht="14.25" customHeight="1">
      <c r="A1235" s="32" t="s">
        <v>6187</v>
      </c>
    </row>
    <row r="1236" ht="14.25" customHeight="1">
      <c r="A1236" s="32" t="s">
        <v>6188</v>
      </c>
    </row>
    <row r="1237" ht="14.25" customHeight="1">
      <c r="A1237" s="32" t="s">
        <v>6189</v>
      </c>
    </row>
    <row r="1238" ht="14.25" customHeight="1">
      <c r="A1238" s="32" t="s">
        <v>6190</v>
      </c>
    </row>
    <row r="1239" ht="14.25" customHeight="1">
      <c r="A1239" s="32" t="s">
        <v>6191</v>
      </c>
    </row>
    <row r="1240" ht="14.25" customHeight="1">
      <c r="A1240" s="32" t="s">
        <v>6192</v>
      </c>
    </row>
    <row r="1241" ht="14.25" customHeight="1">
      <c r="A1241" s="32" t="s">
        <v>6193</v>
      </c>
    </row>
    <row r="1242" ht="14.25" customHeight="1">
      <c r="A1242" s="32" t="s">
        <v>6194</v>
      </c>
    </row>
    <row r="1243" ht="14.25" customHeight="1">
      <c r="A1243" s="32" t="s">
        <v>6195</v>
      </c>
    </row>
    <row r="1244" ht="14.25" customHeight="1">
      <c r="A1244" s="32" t="s">
        <v>6196</v>
      </c>
    </row>
    <row r="1245" ht="14.25" customHeight="1">
      <c r="A1245" s="32" t="s">
        <v>6197</v>
      </c>
    </row>
    <row r="1246" ht="14.25" customHeight="1">
      <c r="A1246" s="32" t="s">
        <v>6198</v>
      </c>
    </row>
    <row r="1247" ht="14.25" customHeight="1">
      <c r="A1247" s="32" t="s">
        <v>6199</v>
      </c>
    </row>
    <row r="1248" ht="14.25" customHeight="1">
      <c r="A1248" s="32" t="s">
        <v>6200</v>
      </c>
    </row>
    <row r="1249" ht="14.25" customHeight="1">
      <c r="A1249" s="32" t="s">
        <v>6201</v>
      </c>
    </row>
    <row r="1250" ht="14.25" customHeight="1">
      <c r="A1250" s="32" t="s">
        <v>6202</v>
      </c>
    </row>
    <row r="1251" ht="14.25" customHeight="1">
      <c r="A1251" s="32" t="s">
        <v>6203</v>
      </c>
    </row>
    <row r="1252" ht="14.25" customHeight="1">
      <c r="A1252" s="32" t="s">
        <v>6204</v>
      </c>
    </row>
    <row r="1253" ht="14.25" customHeight="1">
      <c r="A1253" s="32" t="s">
        <v>6205</v>
      </c>
    </row>
    <row r="1254" ht="14.25" customHeight="1">
      <c r="A1254" s="32" t="s">
        <v>6206</v>
      </c>
    </row>
    <row r="1255" ht="14.25" customHeight="1">
      <c r="A1255" s="32" t="s">
        <v>6207</v>
      </c>
    </row>
    <row r="1256" ht="14.25" customHeight="1">
      <c r="A1256" s="32" t="s">
        <v>6208</v>
      </c>
    </row>
    <row r="1257" ht="14.25" customHeight="1">
      <c r="A1257" s="32" t="s">
        <v>6209</v>
      </c>
    </row>
    <row r="1258" ht="14.25" customHeight="1">
      <c r="A1258" s="32" t="s">
        <v>6210</v>
      </c>
    </row>
    <row r="1259" ht="14.25" customHeight="1">
      <c r="A1259" s="32" t="s">
        <v>6211</v>
      </c>
    </row>
    <row r="1260" ht="14.25" customHeight="1">
      <c r="A1260" s="32" t="s">
        <v>6212</v>
      </c>
    </row>
    <row r="1261" ht="14.25" customHeight="1">
      <c r="A1261" s="32" t="s">
        <v>6213</v>
      </c>
    </row>
    <row r="1262" ht="14.25" customHeight="1">
      <c r="A1262" s="32" t="s">
        <v>6214</v>
      </c>
    </row>
    <row r="1263" ht="14.25" customHeight="1">
      <c r="A1263" s="32" t="s">
        <v>6215</v>
      </c>
    </row>
    <row r="1264" ht="14.25" customHeight="1">
      <c r="A1264" s="32" t="s">
        <v>6216</v>
      </c>
    </row>
    <row r="1265" ht="14.25" customHeight="1">
      <c r="A1265" s="32" t="s">
        <v>6217</v>
      </c>
    </row>
    <row r="1266" ht="14.25" customHeight="1">
      <c r="A1266" s="32" t="s">
        <v>6218</v>
      </c>
    </row>
    <row r="1267" ht="14.25" customHeight="1">
      <c r="A1267" s="32" t="s">
        <v>6219</v>
      </c>
    </row>
    <row r="1268" ht="14.25" customHeight="1">
      <c r="A1268" s="32" t="s">
        <v>6220</v>
      </c>
    </row>
    <row r="1269" ht="14.25" customHeight="1">
      <c r="A1269" s="32" t="s">
        <v>6221</v>
      </c>
    </row>
    <row r="1270" ht="14.25" customHeight="1">
      <c r="A1270" s="32" t="s">
        <v>6222</v>
      </c>
    </row>
    <row r="1271" ht="14.25" customHeight="1">
      <c r="A1271" s="32" t="s">
        <v>6223</v>
      </c>
    </row>
    <row r="1272" ht="14.25" customHeight="1">
      <c r="A1272" s="32" t="s">
        <v>6224</v>
      </c>
    </row>
    <row r="1273" ht="14.25" customHeight="1">
      <c r="A1273" s="32" t="s">
        <v>6225</v>
      </c>
    </row>
    <row r="1274" ht="14.25" customHeight="1">
      <c r="A1274" s="32" t="s">
        <v>6226</v>
      </c>
    </row>
    <row r="1275" ht="14.25" customHeight="1">
      <c r="A1275" s="32" t="s">
        <v>6227</v>
      </c>
    </row>
    <row r="1276" ht="14.25" customHeight="1">
      <c r="A1276" s="32" t="s">
        <v>6228</v>
      </c>
    </row>
    <row r="1277" ht="14.25" customHeight="1">
      <c r="A1277" s="32" t="s">
        <v>6229</v>
      </c>
    </row>
    <row r="1278" ht="14.25" customHeight="1">
      <c r="A1278" s="32" t="s">
        <v>6230</v>
      </c>
    </row>
    <row r="1279" ht="14.25" customHeight="1">
      <c r="A1279" s="32" t="s">
        <v>6231</v>
      </c>
    </row>
    <row r="1280" ht="14.25" customHeight="1">
      <c r="A1280" s="32" t="s">
        <v>6232</v>
      </c>
    </row>
    <row r="1281" ht="14.25" customHeight="1">
      <c r="A1281" s="32" t="s">
        <v>6233</v>
      </c>
    </row>
    <row r="1282" ht="14.25" customHeight="1">
      <c r="A1282" s="32" t="s">
        <v>6234</v>
      </c>
    </row>
    <row r="1283" ht="14.25" customHeight="1">
      <c r="A1283" s="32" t="s">
        <v>6235</v>
      </c>
    </row>
    <row r="1284" ht="14.25" customHeight="1">
      <c r="A1284" s="32" t="s">
        <v>6236</v>
      </c>
    </row>
    <row r="1285" ht="14.25" customHeight="1">
      <c r="A1285" s="32" t="s">
        <v>6237</v>
      </c>
    </row>
    <row r="1286" ht="14.25" customHeight="1">
      <c r="A1286" s="32" t="s">
        <v>6238</v>
      </c>
    </row>
    <row r="1287" ht="14.25" customHeight="1">
      <c r="A1287" s="32" t="s">
        <v>6239</v>
      </c>
    </row>
    <row r="1288" ht="14.25" customHeight="1">
      <c r="A1288" s="32" t="s">
        <v>6240</v>
      </c>
    </row>
    <row r="1289" ht="14.25" customHeight="1">
      <c r="A1289" s="32" t="s">
        <v>6241</v>
      </c>
    </row>
    <row r="1290" ht="14.25" customHeight="1">
      <c r="A1290" s="32" t="s">
        <v>6242</v>
      </c>
    </row>
    <row r="1291" ht="14.25" customHeight="1">
      <c r="A1291" s="32" t="s">
        <v>6243</v>
      </c>
    </row>
    <row r="1292" ht="14.25" customHeight="1">
      <c r="A1292" s="32" t="s">
        <v>6244</v>
      </c>
    </row>
    <row r="1293" ht="14.25" customHeight="1">
      <c r="A1293" s="32" t="s">
        <v>6245</v>
      </c>
    </row>
    <row r="1294" ht="14.25" customHeight="1">
      <c r="A1294" s="32" t="s">
        <v>6246</v>
      </c>
    </row>
    <row r="1295" ht="14.25" customHeight="1">
      <c r="A1295" s="32" t="s">
        <v>6247</v>
      </c>
    </row>
    <row r="1296" ht="14.25" customHeight="1">
      <c r="A1296" s="32" t="s">
        <v>6248</v>
      </c>
    </row>
    <row r="1297" ht="14.25" customHeight="1">
      <c r="A1297" s="32" t="s">
        <v>6249</v>
      </c>
    </row>
    <row r="1298" ht="14.25" customHeight="1">
      <c r="A1298" s="32" t="s">
        <v>6250</v>
      </c>
    </row>
    <row r="1299" ht="14.25" customHeight="1">
      <c r="A1299" s="32" t="s">
        <v>6251</v>
      </c>
    </row>
    <row r="1300" ht="14.25" customHeight="1">
      <c r="A1300" s="32" t="s">
        <v>6252</v>
      </c>
    </row>
    <row r="1301" ht="14.25" customHeight="1">
      <c r="A1301" s="32" t="s">
        <v>6253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6.71"/>
    <col customWidth="1" min="3" max="3" width="21.71"/>
    <col customWidth="1" min="4" max="5" width="10.71"/>
    <col customWidth="1" min="6" max="6" width="18.71"/>
    <col customWidth="1" min="7" max="7" width="23.14"/>
    <col customWidth="1" min="8" max="8" width="10.71"/>
    <col customWidth="1" min="9" max="9" width="24.86"/>
    <col customWidth="1" min="10" max="10" width="10.71"/>
    <col customWidth="1" min="11" max="11" width="12.86"/>
    <col customWidth="1" min="12" max="12" width="10.71"/>
    <col customWidth="1" min="13" max="13" width="13.71"/>
    <col customWidth="1" min="14" max="14" width="15.0"/>
    <col customWidth="1" min="15" max="15" width="10.71"/>
    <col customWidth="1" min="16" max="16" width="18.14"/>
    <col customWidth="1" min="17" max="17" width="4.71"/>
    <col customWidth="1" min="18" max="18" width="21.43"/>
  </cols>
  <sheetData>
    <row r="1" ht="14.25" customHeight="1">
      <c r="A1" s="65" t="s">
        <v>5</v>
      </c>
      <c r="B1" s="66" t="s">
        <v>6254</v>
      </c>
      <c r="C1" s="65" t="s">
        <v>6255</v>
      </c>
      <c r="F1" s="65" t="s">
        <v>5</v>
      </c>
      <c r="G1" s="65" t="s">
        <v>6256</v>
      </c>
      <c r="I1" s="65" t="s">
        <v>5</v>
      </c>
      <c r="K1" s="65" t="s">
        <v>6256</v>
      </c>
      <c r="M1" s="65" t="s">
        <v>5</v>
      </c>
      <c r="N1" s="65" t="s">
        <v>6257</v>
      </c>
      <c r="P1" s="65" t="s">
        <v>6258</v>
      </c>
      <c r="Q1" s="67"/>
      <c r="R1" s="65" t="s">
        <v>6259</v>
      </c>
    </row>
    <row r="2" ht="14.25" customHeight="1">
      <c r="A2" s="68" t="s">
        <v>320</v>
      </c>
      <c r="B2" s="68">
        <v>1.0</v>
      </c>
      <c r="C2" s="10" t="s">
        <v>321</v>
      </c>
      <c r="F2" s="32" t="s">
        <v>320</v>
      </c>
      <c r="I2" s="32" t="s">
        <v>320</v>
      </c>
      <c r="K2" s="32" t="s">
        <v>38</v>
      </c>
      <c r="M2" s="32" t="s">
        <v>320</v>
      </c>
      <c r="N2" s="32">
        <v>1.0</v>
      </c>
      <c r="P2" s="32" t="str">
        <f t="shared" ref="P2:P143" si="1">N2&amp;". "&amp;M2</f>
        <v>1. Acanthaceae</v>
      </c>
      <c r="R2" s="32" t="str">
        <f t="shared" ref="R2:R623" si="2">B2&amp;". "&amp;C2</f>
        <v>1. Aphelandra</v>
      </c>
    </row>
    <row r="3" ht="14.25" customHeight="1">
      <c r="A3" s="68" t="s">
        <v>320</v>
      </c>
      <c r="B3" s="68">
        <v>1.0</v>
      </c>
      <c r="C3" s="10" t="s">
        <v>393</v>
      </c>
      <c r="G3" s="32" t="s">
        <v>321</v>
      </c>
      <c r="I3" s="32" t="s">
        <v>99</v>
      </c>
      <c r="K3" s="32" t="s">
        <v>3132</v>
      </c>
      <c r="M3" s="32" t="s">
        <v>99</v>
      </c>
      <c r="N3" s="32">
        <v>2.0</v>
      </c>
      <c r="P3" s="32" t="str">
        <f t="shared" si="1"/>
        <v>2. Achatocarpaceae</v>
      </c>
      <c r="R3" s="32" t="str">
        <f t="shared" si="2"/>
        <v>1. Asystasia</v>
      </c>
    </row>
    <row r="4" ht="14.25" customHeight="1">
      <c r="A4" s="68" t="s">
        <v>320</v>
      </c>
      <c r="B4" s="68">
        <v>1.0</v>
      </c>
      <c r="C4" s="10" t="s">
        <v>1221</v>
      </c>
      <c r="G4" s="32" t="s">
        <v>393</v>
      </c>
      <c r="I4" s="32" t="s">
        <v>2652</v>
      </c>
      <c r="K4" s="32" t="s">
        <v>48</v>
      </c>
      <c r="M4" s="32" t="s">
        <v>2652</v>
      </c>
      <c r="N4" s="32">
        <v>3.0</v>
      </c>
      <c r="P4" s="32" t="str">
        <f t="shared" si="1"/>
        <v>3. Actinidiaceae</v>
      </c>
      <c r="R4" s="32" t="str">
        <f t="shared" si="2"/>
        <v>1. Dianthera</v>
      </c>
    </row>
    <row r="5" ht="14.25" customHeight="1">
      <c r="A5" s="68" t="s">
        <v>320</v>
      </c>
      <c r="B5" s="68">
        <v>1.0</v>
      </c>
      <c r="C5" s="10" t="s">
        <v>1546</v>
      </c>
      <c r="G5" s="32" t="s">
        <v>1221</v>
      </c>
      <c r="I5" s="32" t="s">
        <v>3594</v>
      </c>
      <c r="K5" s="32" t="s">
        <v>50</v>
      </c>
      <c r="M5" s="32" t="s">
        <v>3594</v>
      </c>
      <c r="N5" s="32">
        <v>4.0</v>
      </c>
      <c r="P5" s="32" t="str">
        <f t="shared" si="1"/>
        <v>4. Adoxaceae</v>
      </c>
      <c r="R5" s="32" t="str">
        <f t="shared" si="2"/>
        <v>1. Graptophyllum</v>
      </c>
    </row>
    <row r="6" ht="14.25" customHeight="1">
      <c r="A6" s="68" t="s">
        <v>320</v>
      </c>
      <c r="B6" s="68">
        <v>1.0</v>
      </c>
      <c r="C6" s="10" t="s">
        <v>1758</v>
      </c>
      <c r="G6" s="32" t="s">
        <v>1546</v>
      </c>
      <c r="I6" s="32" t="s">
        <v>1872</v>
      </c>
      <c r="K6" s="32" t="s">
        <v>59</v>
      </c>
      <c r="M6" s="32" t="s">
        <v>1872</v>
      </c>
      <c r="N6" s="32">
        <v>5.0</v>
      </c>
      <c r="P6" s="32" t="str">
        <f t="shared" si="1"/>
        <v>5. Altingiaceae</v>
      </c>
      <c r="R6" s="32" t="str">
        <f t="shared" si="2"/>
        <v>1. Justicia</v>
      </c>
    </row>
    <row r="7" ht="14.25" customHeight="1">
      <c r="A7" s="68" t="s">
        <v>320</v>
      </c>
      <c r="B7" s="68">
        <v>1.0</v>
      </c>
      <c r="C7" s="10" t="s">
        <v>1978</v>
      </c>
      <c r="G7" s="32" t="s">
        <v>1758</v>
      </c>
      <c r="I7" s="32" t="s">
        <v>239</v>
      </c>
      <c r="K7" s="32" t="s">
        <v>83</v>
      </c>
      <c r="M7" s="32" t="s">
        <v>239</v>
      </c>
      <c r="N7" s="32">
        <v>6.0</v>
      </c>
      <c r="P7" s="32" t="str">
        <f t="shared" si="1"/>
        <v>6. Amaranthaceae</v>
      </c>
      <c r="R7" s="32" t="str">
        <f t="shared" si="2"/>
        <v>1. Megaskepasma</v>
      </c>
    </row>
    <row r="8" ht="14.25" customHeight="1">
      <c r="A8" s="68" t="s">
        <v>320</v>
      </c>
      <c r="B8" s="68">
        <v>1.0</v>
      </c>
      <c r="C8" s="10" t="s">
        <v>2196</v>
      </c>
      <c r="G8" s="32" t="s">
        <v>1978</v>
      </c>
      <c r="I8" s="32" t="s">
        <v>3117</v>
      </c>
      <c r="K8" s="32" t="s">
        <v>96</v>
      </c>
      <c r="M8" s="32" t="s">
        <v>3117</v>
      </c>
      <c r="N8" s="32">
        <v>7.0</v>
      </c>
      <c r="P8" s="32" t="str">
        <f t="shared" si="1"/>
        <v>7. Amaryllidaceae</v>
      </c>
      <c r="R8" s="32" t="str">
        <f t="shared" si="2"/>
        <v>1. Pachystachys</v>
      </c>
    </row>
    <row r="9" ht="14.25" customHeight="1">
      <c r="A9" s="68" t="s">
        <v>320</v>
      </c>
      <c r="B9" s="68">
        <v>1.0</v>
      </c>
      <c r="C9" s="10" t="s">
        <v>2492</v>
      </c>
      <c r="G9" s="32" t="s">
        <v>2196</v>
      </c>
      <c r="I9" s="32" t="s">
        <v>258</v>
      </c>
      <c r="K9" s="32" t="s">
        <v>100</v>
      </c>
      <c r="M9" s="32" t="s">
        <v>258</v>
      </c>
      <c r="N9" s="32">
        <v>7.0</v>
      </c>
      <c r="P9" s="32" t="str">
        <f t="shared" si="1"/>
        <v>7. Anacardiaceae</v>
      </c>
      <c r="R9" s="32" t="str">
        <f t="shared" si="2"/>
        <v>1. Pseuderanthemum</v>
      </c>
    </row>
    <row r="10" ht="14.25" customHeight="1">
      <c r="A10" s="68" t="s">
        <v>320</v>
      </c>
      <c r="B10" s="68">
        <v>1.0</v>
      </c>
      <c r="C10" s="10" t="s">
        <v>2603</v>
      </c>
      <c r="G10" s="32" t="s">
        <v>2492</v>
      </c>
      <c r="I10" s="32" t="s">
        <v>286</v>
      </c>
      <c r="K10" s="32" t="s">
        <v>3108</v>
      </c>
      <c r="M10" s="32" t="s">
        <v>286</v>
      </c>
      <c r="N10" s="32">
        <v>8.0</v>
      </c>
      <c r="P10" s="32" t="str">
        <f t="shared" si="1"/>
        <v>8. Annonaceae</v>
      </c>
      <c r="R10" s="32" t="str">
        <f t="shared" si="2"/>
        <v>1. Ruellia</v>
      </c>
    </row>
    <row r="11" ht="14.25" customHeight="1">
      <c r="A11" s="68" t="s">
        <v>320</v>
      </c>
      <c r="B11" s="68">
        <v>1.0</v>
      </c>
      <c r="C11" s="10" t="s">
        <v>2639</v>
      </c>
      <c r="G11" s="32" t="s">
        <v>2603</v>
      </c>
      <c r="I11" s="32" t="s">
        <v>206</v>
      </c>
      <c r="K11" s="32" t="s">
        <v>104</v>
      </c>
      <c r="M11" s="32" t="s">
        <v>206</v>
      </c>
      <c r="N11" s="32">
        <v>9.0</v>
      </c>
      <c r="P11" s="32" t="str">
        <f t="shared" si="1"/>
        <v>9. Apocynaceae</v>
      </c>
      <c r="R11" s="32" t="str">
        <f t="shared" si="2"/>
        <v>1. Sanchezia</v>
      </c>
    </row>
    <row r="12" ht="14.25" customHeight="1">
      <c r="A12" s="68" t="s">
        <v>320</v>
      </c>
      <c r="B12" s="68">
        <v>1.0</v>
      </c>
      <c r="C12" s="10" t="s">
        <v>2914</v>
      </c>
      <c r="G12" s="32" t="s">
        <v>2639</v>
      </c>
      <c r="I12" s="32" t="s">
        <v>1670</v>
      </c>
      <c r="K12" s="32" t="s">
        <v>110</v>
      </c>
      <c r="M12" s="32" t="s">
        <v>1670</v>
      </c>
      <c r="N12" s="32">
        <v>10.0</v>
      </c>
      <c r="P12" s="32" t="str">
        <f t="shared" si="1"/>
        <v>10. Aquifoliaceae</v>
      </c>
      <c r="R12" s="32" t="str">
        <f t="shared" si="2"/>
        <v>1. Thunbergia</v>
      </c>
    </row>
    <row r="13" ht="14.25" customHeight="1">
      <c r="A13" s="68" t="s">
        <v>320</v>
      </c>
      <c r="B13" s="68">
        <v>1.0</v>
      </c>
      <c r="C13" s="10" t="s">
        <v>2957</v>
      </c>
      <c r="G13" s="32" t="s">
        <v>2914</v>
      </c>
      <c r="I13" s="32" t="s">
        <v>2287</v>
      </c>
      <c r="K13" s="32" t="s">
        <v>113</v>
      </c>
      <c r="M13" s="32" t="s">
        <v>2287</v>
      </c>
      <c r="N13" s="32">
        <v>11.0</v>
      </c>
      <c r="P13" s="32" t="str">
        <f t="shared" si="1"/>
        <v>11. Araceae</v>
      </c>
      <c r="R13" s="32" t="str">
        <f t="shared" si="2"/>
        <v>1. Trichanthera</v>
      </c>
    </row>
    <row r="14" ht="14.25" customHeight="1">
      <c r="A14" s="68" t="s">
        <v>99</v>
      </c>
      <c r="B14" s="68">
        <v>2.0</v>
      </c>
      <c r="C14" s="10" t="s">
        <v>100</v>
      </c>
      <c r="G14" s="32" t="s">
        <v>2957</v>
      </c>
      <c r="I14" s="32" t="s">
        <v>324</v>
      </c>
      <c r="K14" s="32" t="s">
        <v>118</v>
      </c>
      <c r="M14" s="32" t="s">
        <v>324</v>
      </c>
      <c r="N14" s="32">
        <v>12.0</v>
      </c>
      <c r="P14" s="32" t="str">
        <f t="shared" si="1"/>
        <v>12. Araliaceae</v>
      </c>
      <c r="R14" s="32" t="str">
        <f t="shared" si="2"/>
        <v>2. Achatocarpus</v>
      </c>
    </row>
    <row r="15" ht="14.25" customHeight="1">
      <c r="A15" s="68" t="s">
        <v>2652</v>
      </c>
      <c r="B15" s="68">
        <v>3.0</v>
      </c>
      <c r="C15" s="10" t="s">
        <v>2653</v>
      </c>
      <c r="F15" s="32" t="s">
        <v>99</v>
      </c>
      <c r="I15" s="32" t="s">
        <v>328</v>
      </c>
      <c r="K15" s="32" t="s">
        <v>122</v>
      </c>
      <c r="M15" s="32" t="s">
        <v>328</v>
      </c>
      <c r="N15" s="32">
        <v>13.0</v>
      </c>
      <c r="P15" s="32" t="str">
        <f t="shared" si="1"/>
        <v>13. Araucariaceae</v>
      </c>
      <c r="R15" s="32" t="str">
        <f t="shared" si="2"/>
        <v>3. Saurauia</v>
      </c>
    </row>
    <row r="16" ht="14.25" customHeight="1">
      <c r="A16" s="68" t="s">
        <v>3594</v>
      </c>
      <c r="B16" s="68">
        <v>4.0</v>
      </c>
      <c r="C16" s="10" t="s">
        <v>2634</v>
      </c>
      <c r="G16" s="32" t="s">
        <v>100</v>
      </c>
      <c r="I16" s="32" t="s">
        <v>116</v>
      </c>
      <c r="K16" s="32" t="s">
        <v>126</v>
      </c>
      <c r="M16" s="32" t="s">
        <v>116</v>
      </c>
      <c r="N16" s="32">
        <v>14.0</v>
      </c>
      <c r="P16" s="32" t="str">
        <f t="shared" si="1"/>
        <v>14. Arecaceae</v>
      </c>
      <c r="R16" s="32" t="str">
        <f t="shared" si="2"/>
        <v>4. Sambucus</v>
      </c>
    </row>
    <row r="17" ht="14.25" customHeight="1">
      <c r="A17" s="68" t="s">
        <v>3594</v>
      </c>
      <c r="B17" s="68">
        <v>4.0</v>
      </c>
      <c r="C17" s="10" t="s">
        <v>3021</v>
      </c>
      <c r="F17" s="32" t="s">
        <v>2652</v>
      </c>
      <c r="I17" s="32" t="s">
        <v>148</v>
      </c>
      <c r="K17" s="32" t="s">
        <v>129</v>
      </c>
      <c r="M17" s="32" t="s">
        <v>148</v>
      </c>
      <c r="N17" s="32">
        <v>15.0</v>
      </c>
      <c r="P17" s="32" t="str">
        <f t="shared" si="1"/>
        <v>15. Asparagaceae</v>
      </c>
      <c r="R17" s="32" t="str">
        <f t="shared" si="2"/>
        <v>4. Viburnum</v>
      </c>
    </row>
    <row r="18" ht="14.25" customHeight="1">
      <c r="A18" s="68" t="s">
        <v>1872</v>
      </c>
      <c r="B18" s="68">
        <v>5.0</v>
      </c>
      <c r="C18" s="10" t="s">
        <v>1873</v>
      </c>
      <c r="G18" s="32" t="s">
        <v>2653</v>
      </c>
      <c r="I18" s="32" t="s">
        <v>223</v>
      </c>
      <c r="K18" s="32" t="s">
        <v>133</v>
      </c>
      <c r="M18" s="32" t="s">
        <v>223</v>
      </c>
      <c r="N18" s="32">
        <v>16.0</v>
      </c>
      <c r="P18" s="32" t="str">
        <f t="shared" si="1"/>
        <v>16. Asphodelaceae</v>
      </c>
      <c r="R18" s="32" t="str">
        <f t="shared" si="2"/>
        <v>5. Liquidambar</v>
      </c>
    </row>
    <row r="19" ht="14.25" customHeight="1">
      <c r="A19" s="68" t="s">
        <v>239</v>
      </c>
      <c r="B19" s="68">
        <v>6.0</v>
      </c>
      <c r="C19" s="10" t="s">
        <v>3108</v>
      </c>
      <c r="F19" s="32" t="s">
        <v>3594</v>
      </c>
      <c r="I19" s="32" t="s">
        <v>362</v>
      </c>
      <c r="K19" s="32" t="s">
        <v>137</v>
      </c>
      <c r="M19" s="32" t="s">
        <v>362</v>
      </c>
      <c r="N19" s="32">
        <v>17.0</v>
      </c>
      <c r="P19" s="32" t="str">
        <f t="shared" si="1"/>
        <v>17. Asteraceae</v>
      </c>
      <c r="R19" s="32" t="str">
        <f t="shared" si="2"/>
        <v>6. Achyranthes</v>
      </c>
    </row>
    <row r="20" ht="14.25" customHeight="1">
      <c r="A20" s="68" t="s">
        <v>239</v>
      </c>
      <c r="B20" s="68">
        <v>6.0</v>
      </c>
      <c r="C20" s="10" t="s">
        <v>240</v>
      </c>
      <c r="G20" s="32" t="s">
        <v>2634</v>
      </c>
      <c r="I20" s="32" t="s">
        <v>464</v>
      </c>
      <c r="K20" s="32" t="s">
        <v>150</v>
      </c>
      <c r="M20" s="32" t="s">
        <v>464</v>
      </c>
      <c r="N20" s="32">
        <v>18.0</v>
      </c>
      <c r="P20" s="32" t="str">
        <f t="shared" si="1"/>
        <v>18. Begoniaceae</v>
      </c>
      <c r="R20" s="32" t="str">
        <f t="shared" si="2"/>
        <v>6. Alternanthera</v>
      </c>
    </row>
    <row r="21" ht="14.25" customHeight="1">
      <c r="A21" s="68" t="s">
        <v>239</v>
      </c>
      <c r="B21" s="68">
        <v>6.0</v>
      </c>
      <c r="C21" s="10" t="s">
        <v>3124</v>
      </c>
      <c r="G21" s="32" t="s">
        <v>3021</v>
      </c>
      <c r="I21" s="32" t="s">
        <v>218</v>
      </c>
      <c r="K21" s="32" t="s">
        <v>3127</v>
      </c>
      <c r="M21" s="32" t="s">
        <v>218</v>
      </c>
      <c r="N21" s="32">
        <v>19.0</v>
      </c>
      <c r="P21" s="32" t="str">
        <f t="shared" si="1"/>
        <v>19. Betulaceae</v>
      </c>
      <c r="R21" s="32" t="str">
        <f t="shared" si="2"/>
        <v>6. Amaranthus</v>
      </c>
    </row>
    <row r="22" ht="14.25" customHeight="1">
      <c r="A22" s="68" t="s">
        <v>239</v>
      </c>
      <c r="B22" s="68">
        <v>6.0</v>
      </c>
      <c r="C22" s="10" t="s">
        <v>325</v>
      </c>
      <c r="F22" s="32" t="s">
        <v>1872</v>
      </c>
      <c r="I22" s="32" t="s">
        <v>248</v>
      </c>
      <c r="K22" s="32" t="s">
        <v>159</v>
      </c>
      <c r="M22" s="32" t="s">
        <v>248</v>
      </c>
      <c r="N22" s="32">
        <v>20.0</v>
      </c>
      <c r="P22" s="32" t="str">
        <f t="shared" si="1"/>
        <v>20. Bignoniaceae</v>
      </c>
      <c r="R22" s="32" t="str">
        <f t="shared" si="2"/>
        <v>6. Aralia</v>
      </c>
    </row>
    <row r="23" ht="14.25" customHeight="1">
      <c r="A23" s="68" t="s">
        <v>239</v>
      </c>
      <c r="B23" s="68">
        <v>6.0</v>
      </c>
      <c r="C23" s="10" t="s">
        <v>2379</v>
      </c>
      <c r="G23" s="32" t="s">
        <v>1873</v>
      </c>
      <c r="I23" s="32" t="s">
        <v>490</v>
      </c>
      <c r="K23" s="32" t="s">
        <v>162</v>
      </c>
      <c r="M23" s="32" t="s">
        <v>490</v>
      </c>
      <c r="N23" s="32">
        <v>21.0</v>
      </c>
      <c r="P23" s="32" t="str">
        <f t="shared" si="1"/>
        <v>21. Bixaceae</v>
      </c>
      <c r="R23" s="32" t="str">
        <f t="shared" si="2"/>
        <v>6. Pleuropetalum</v>
      </c>
    </row>
    <row r="24" ht="14.25" customHeight="1">
      <c r="A24" s="68" t="s">
        <v>3117</v>
      </c>
      <c r="B24" s="68">
        <v>7.0</v>
      </c>
      <c r="C24" s="10" t="s">
        <v>3118</v>
      </c>
      <c r="F24" s="32" t="s">
        <v>239</v>
      </c>
      <c r="I24" s="32" t="s">
        <v>1064</v>
      </c>
      <c r="K24" s="32" t="s">
        <v>168</v>
      </c>
      <c r="M24" s="32" t="s">
        <v>1064</v>
      </c>
      <c r="N24" s="32">
        <v>22.0</v>
      </c>
      <c r="P24" s="32" t="str">
        <f t="shared" si="1"/>
        <v>22. Boraginaceae</v>
      </c>
      <c r="R24" s="32" t="str">
        <f t="shared" si="2"/>
        <v>7. Galanthus</v>
      </c>
    </row>
    <row r="25" ht="14.25" customHeight="1">
      <c r="A25" s="68" t="s">
        <v>258</v>
      </c>
      <c r="B25" s="68">
        <v>7.0</v>
      </c>
      <c r="C25" s="10" t="s">
        <v>259</v>
      </c>
      <c r="G25" s="32" t="s">
        <v>3108</v>
      </c>
      <c r="I25" s="32" t="s">
        <v>3152</v>
      </c>
      <c r="K25" s="32" t="s">
        <v>183</v>
      </c>
      <c r="M25" s="32" t="s">
        <v>3152</v>
      </c>
      <c r="N25" s="32">
        <v>23.0</v>
      </c>
      <c r="P25" s="32" t="str">
        <f t="shared" si="1"/>
        <v>23. Brunelliaceae</v>
      </c>
      <c r="R25" s="32" t="str">
        <f t="shared" si="2"/>
        <v>7. Anacardium</v>
      </c>
    </row>
    <row r="26" ht="14.25" customHeight="1">
      <c r="A26" s="68" t="s">
        <v>258</v>
      </c>
      <c r="B26" s="68">
        <v>7.0</v>
      </c>
      <c r="C26" s="10" t="s">
        <v>389</v>
      </c>
      <c r="G26" s="32" t="s">
        <v>240</v>
      </c>
      <c r="I26" s="32" t="s">
        <v>602</v>
      </c>
      <c r="K26" s="32" t="s">
        <v>200</v>
      </c>
      <c r="M26" s="32" t="s">
        <v>602</v>
      </c>
      <c r="N26" s="32">
        <v>24.0</v>
      </c>
      <c r="P26" s="32" t="str">
        <f t="shared" si="1"/>
        <v>24. Burseraceae</v>
      </c>
      <c r="R26" s="32" t="str">
        <f t="shared" si="2"/>
        <v>7. Astronium</v>
      </c>
    </row>
    <row r="27" ht="14.25" customHeight="1">
      <c r="A27" s="68" t="s">
        <v>258</v>
      </c>
      <c r="B27" s="68">
        <v>7.0</v>
      </c>
      <c r="C27" s="10" t="s">
        <v>1950</v>
      </c>
      <c r="G27" s="32" t="s">
        <v>3124</v>
      </c>
      <c r="I27" s="32" t="s">
        <v>610</v>
      </c>
      <c r="K27" s="32" t="s">
        <v>202</v>
      </c>
      <c r="M27" s="32" t="s">
        <v>610</v>
      </c>
      <c r="N27" s="32">
        <v>25.0</v>
      </c>
      <c r="P27" s="32" t="str">
        <f t="shared" si="1"/>
        <v>25. Buxaceae</v>
      </c>
      <c r="R27" s="32" t="str">
        <f t="shared" si="2"/>
        <v>7. Mangifera</v>
      </c>
    </row>
    <row r="28" ht="14.25" customHeight="1">
      <c r="A28" s="68" t="s">
        <v>258</v>
      </c>
      <c r="B28" s="68">
        <v>7.0</v>
      </c>
      <c r="C28" s="10" t="s">
        <v>1972</v>
      </c>
      <c r="G28" s="32" t="s">
        <v>325</v>
      </c>
      <c r="I28" s="32" t="s">
        <v>523</v>
      </c>
      <c r="K28" s="32" t="s">
        <v>513</v>
      </c>
      <c r="M28" s="32" t="s">
        <v>523</v>
      </c>
      <c r="N28" s="32">
        <v>26.0</v>
      </c>
      <c r="P28" s="32" t="str">
        <f t="shared" si="1"/>
        <v>26. Cactaceae</v>
      </c>
      <c r="R28" s="32" t="str">
        <f t="shared" si="2"/>
        <v>7. Mauria</v>
      </c>
    </row>
    <row r="29" ht="14.25" customHeight="1">
      <c r="A29" s="68" t="s">
        <v>258</v>
      </c>
      <c r="B29" s="68">
        <v>7.0</v>
      </c>
      <c r="C29" s="10" t="s">
        <v>2182</v>
      </c>
      <c r="G29" s="32" t="s">
        <v>2379</v>
      </c>
      <c r="I29" s="32" t="s">
        <v>681</v>
      </c>
      <c r="K29" s="32" t="s">
        <v>207</v>
      </c>
      <c r="M29" s="32" t="s">
        <v>681</v>
      </c>
      <c r="N29" s="32">
        <v>27.0</v>
      </c>
      <c r="P29" s="32" t="str">
        <f t="shared" si="1"/>
        <v>27. Calophyllaceae</v>
      </c>
      <c r="R29" s="32" t="str">
        <f t="shared" si="2"/>
        <v>7. Ozoroa</v>
      </c>
    </row>
    <row r="30" ht="14.25" customHeight="1">
      <c r="A30" s="68" t="s">
        <v>258</v>
      </c>
      <c r="B30" s="68">
        <v>7.0</v>
      </c>
      <c r="C30" s="10" t="s">
        <v>2574</v>
      </c>
      <c r="F30" s="32" t="s">
        <v>3117</v>
      </c>
      <c r="I30" s="32" t="s">
        <v>2953</v>
      </c>
      <c r="K30" s="32" t="s">
        <v>215</v>
      </c>
      <c r="M30" s="32" t="s">
        <v>2953</v>
      </c>
      <c r="N30" s="32">
        <v>28.0</v>
      </c>
      <c r="P30" s="32" t="str">
        <f t="shared" si="1"/>
        <v>28. Cannabaceae</v>
      </c>
      <c r="R30" s="32" t="str">
        <f t="shared" si="2"/>
        <v>7. Rhus</v>
      </c>
    </row>
    <row r="31" ht="14.25" customHeight="1">
      <c r="A31" s="68" t="s">
        <v>258</v>
      </c>
      <c r="B31" s="68">
        <v>7.0</v>
      </c>
      <c r="C31" s="10" t="s">
        <v>2662</v>
      </c>
      <c r="G31" s="32" t="s">
        <v>3118</v>
      </c>
      <c r="I31" s="32" t="s">
        <v>710</v>
      </c>
      <c r="K31" s="32" t="s">
        <v>219</v>
      </c>
      <c r="M31" s="32" t="s">
        <v>710</v>
      </c>
      <c r="N31" s="32">
        <v>29.0</v>
      </c>
      <c r="P31" s="32" t="str">
        <f t="shared" si="1"/>
        <v>29. Capparaceae</v>
      </c>
      <c r="R31" s="32" t="str">
        <f t="shared" si="2"/>
        <v>7. Schinus</v>
      </c>
    </row>
    <row r="32" ht="14.25" customHeight="1">
      <c r="A32" s="68" t="s">
        <v>258</v>
      </c>
      <c r="B32" s="68">
        <v>7.0</v>
      </c>
      <c r="C32" s="10" t="s">
        <v>2750</v>
      </c>
      <c r="F32" s="32" t="s">
        <v>258</v>
      </c>
      <c r="I32" s="32" t="s">
        <v>3371</v>
      </c>
      <c r="K32" s="32" t="s">
        <v>224</v>
      </c>
      <c r="M32" s="32" t="s">
        <v>3371</v>
      </c>
      <c r="N32" s="32">
        <v>30.0</v>
      </c>
      <c r="P32" s="32" t="str">
        <f t="shared" si="1"/>
        <v>30. Caprifoliaceae</v>
      </c>
      <c r="R32" s="32" t="str">
        <f t="shared" si="2"/>
        <v>7. Spondias</v>
      </c>
    </row>
    <row r="33" ht="14.25" customHeight="1">
      <c r="A33" s="68" t="s">
        <v>258</v>
      </c>
      <c r="B33" s="68">
        <v>7.0</v>
      </c>
      <c r="C33" s="10" t="s">
        <v>2858</v>
      </c>
      <c r="G33" s="32" t="s">
        <v>259</v>
      </c>
      <c r="I33" s="32" t="s">
        <v>721</v>
      </c>
      <c r="K33" s="32" t="s">
        <v>228</v>
      </c>
      <c r="M33" s="32" t="s">
        <v>721</v>
      </c>
      <c r="N33" s="32">
        <v>31.0</v>
      </c>
      <c r="P33" s="32" t="str">
        <f t="shared" si="1"/>
        <v>31. Caricaceae</v>
      </c>
      <c r="R33" s="32" t="str">
        <f t="shared" si="2"/>
        <v>7. Tapirira</v>
      </c>
    </row>
    <row r="34" ht="14.25" customHeight="1">
      <c r="A34" s="68" t="s">
        <v>258</v>
      </c>
      <c r="B34" s="68">
        <v>7.0</v>
      </c>
      <c r="C34" s="10" t="s">
        <v>2938</v>
      </c>
      <c r="G34" s="32" t="s">
        <v>389</v>
      </c>
      <c r="I34" s="32" t="s">
        <v>742</v>
      </c>
      <c r="K34" s="32" t="s">
        <v>233</v>
      </c>
      <c r="M34" s="32" t="s">
        <v>742</v>
      </c>
      <c r="N34" s="32">
        <v>32.0</v>
      </c>
      <c r="P34" s="32" t="str">
        <f t="shared" si="1"/>
        <v>32. Caryocaraceae</v>
      </c>
      <c r="R34" s="32" t="str">
        <f t="shared" si="2"/>
        <v>7. Toxicodendron</v>
      </c>
    </row>
    <row r="35" ht="14.25" customHeight="1">
      <c r="A35" s="68" t="s">
        <v>286</v>
      </c>
      <c r="B35" s="68">
        <v>8.0</v>
      </c>
      <c r="C35" s="10" t="s">
        <v>287</v>
      </c>
      <c r="G35" s="32" t="s">
        <v>1950</v>
      </c>
      <c r="I35" s="32" t="s">
        <v>788</v>
      </c>
      <c r="K35" s="32" t="s">
        <v>236</v>
      </c>
      <c r="M35" s="32" t="s">
        <v>788</v>
      </c>
      <c r="N35" s="32">
        <v>33.0</v>
      </c>
      <c r="P35" s="32" t="str">
        <f t="shared" si="1"/>
        <v>33. Casuarinaceae</v>
      </c>
      <c r="R35" s="32" t="str">
        <f t="shared" si="2"/>
        <v>8. Annona</v>
      </c>
    </row>
    <row r="36" ht="14.25" customHeight="1">
      <c r="A36" s="68" t="s">
        <v>286</v>
      </c>
      <c r="B36" s="68">
        <v>8.0</v>
      </c>
      <c r="C36" s="10" t="s">
        <v>707</v>
      </c>
      <c r="G36" s="32" t="s">
        <v>1972</v>
      </c>
      <c r="I36" s="32" t="s">
        <v>837</v>
      </c>
      <c r="K36" s="32" t="s">
        <v>240</v>
      </c>
      <c r="M36" s="32" t="s">
        <v>837</v>
      </c>
      <c r="N36" s="32">
        <v>34.0</v>
      </c>
      <c r="P36" s="32" t="str">
        <f t="shared" si="1"/>
        <v>34. Celastraceae</v>
      </c>
      <c r="R36" s="32" t="str">
        <f t="shared" si="2"/>
        <v>8. Cananga</v>
      </c>
    </row>
    <row r="37" ht="14.25" customHeight="1">
      <c r="A37" s="68" t="s">
        <v>286</v>
      </c>
      <c r="B37" s="68">
        <v>8.0</v>
      </c>
      <c r="C37" s="10" t="s">
        <v>1567</v>
      </c>
      <c r="G37" s="32" t="s">
        <v>2182</v>
      </c>
      <c r="I37" s="32" t="s">
        <v>914</v>
      </c>
      <c r="K37" s="32" t="s">
        <v>3124</v>
      </c>
      <c r="M37" s="32" t="s">
        <v>914</v>
      </c>
      <c r="N37" s="32">
        <v>35.0</v>
      </c>
      <c r="P37" s="32" t="str">
        <f t="shared" si="1"/>
        <v>35. Chrysobalanaceae</v>
      </c>
      <c r="R37" s="32" t="str">
        <f t="shared" si="2"/>
        <v>8. Guatteria</v>
      </c>
    </row>
    <row r="38" ht="14.25" customHeight="1">
      <c r="A38" s="68" t="s">
        <v>286</v>
      </c>
      <c r="B38" s="68">
        <v>8.0</v>
      </c>
      <c r="C38" s="10" t="s">
        <v>2416</v>
      </c>
      <c r="G38" s="32" t="s">
        <v>2574</v>
      </c>
      <c r="I38" s="32" t="s">
        <v>984</v>
      </c>
      <c r="K38" s="32" t="s">
        <v>242</v>
      </c>
      <c r="M38" s="32" t="s">
        <v>984</v>
      </c>
      <c r="N38" s="32">
        <v>36.0</v>
      </c>
      <c r="P38" s="32" t="str">
        <f t="shared" si="1"/>
        <v>36. Clethraceae</v>
      </c>
      <c r="R38" s="32" t="str">
        <f t="shared" si="2"/>
        <v>8. Monoon</v>
      </c>
    </row>
    <row r="39" ht="14.25" customHeight="1">
      <c r="A39" s="68" t="s">
        <v>286</v>
      </c>
      <c r="B39" s="68">
        <v>8.0</v>
      </c>
      <c r="C39" s="10" t="s">
        <v>2582</v>
      </c>
      <c r="G39" s="32" t="s">
        <v>2662</v>
      </c>
      <c r="I39" s="32" t="s">
        <v>999</v>
      </c>
      <c r="K39" s="32" t="s">
        <v>245</v>
      </c>
      <c r="M39" s="32" t="s">
        <v>999</v>
      </c>
      <c r="N39" s="32">
        <v>37.0</v>
      </c>
      <c r="P39" s="32" t="str">
        <f t="shared" si="1"/>
        <v>37. Clusiaceae</v>
      </c>
      <c r="R39" s="32" t="str">
        <f t="shared" si="2"/>
        <v>8. Rollinia</v>
      </c>
    </row>
    <row r="40" ht="14.25" customHeight="1">
      <c r="A40" s="68" t="s">
        <v>286</v>
      </c>
      <c r="B40" s="68">
        <v>8.0</v>
      </c>
      <c r="C40" s="10" t="s">
        <v>762</v>
      </c>
      <c r="G40" s="32" t="s">
        <v>2750</v>
      </c>
      <c r="I40" s="32" t="s">
        <v>6260</v>
      </c>
      <c r="K40" s="32" t="s">
        <v>249</v>
      </c>
      <c r="M40" s="32" t="s">
        <v>6260</v>
      </c>
      <c r="N40" s="32">
        <v>38.0</v>
      </c>
      <c r="P40" s="32" t="str">
        <f t="shared" si="1"/>
        <v>38. Cochlospermaceae</v>
      </c>
      <c r="R40" s="32" t="str">
        <f t="shared" si="2"/>
        <v>8. Salicaceae</v>
      </c>
    </row>
    <row r="41" ht="14.25" customHeight="1">
      <c r="A41" s="68" t="s">
        <v>286</v>
      </c>
      <c r="B41" s="68">
        <v>8.0</v>
      </c>
      <c r="C41" s="10" t="s">
        <v>3082</v>
      </c>
      <c r="G41" s="32" t="s">
        <v>2858</v>
      </c>
      <c r="I41" s="32" t="s">
        <v>574</v>
      </c>
      <c r="K41" s="32" t="s">
        <v>259</v>
      </c>
      <c r="M41" s="32" t="s">
        <v>574</v>
      </c>
      <c r="N41" s="32">
        <v>39.0</v>
      </c>
      <c r="P41" s="32" t="str">
        <f t="shared" si="1"/>
        <v>39. Combretaceae</v>
      </c>
      <c r="R41" s="32" t="str">
        <f t="shared" si="2"/>
        <v>8. Xylopia</v>
      </c>
    </row>
    <row r="42" ht="14.25" customHeight="1">
      <c r="A42" s="68" t="s">
        <v>206</v>
      </c>
      <c r="B42" s="68">
        <v>9.0</v>
      </c>
      <c r="C42" s="10" t="s">
        <v>207</v>
      </c>
      <c r="G42" s="32" t="s">
        <v>2938</v>
      </c>
      <c r="I42" s="32" t="s">
        <v>2944</v>
      </c>
      <c r="K42" s="32" t="s">
        <v>264</v>
      </c>
      <c r="M42" s="32" t="s">
        <v>2944</v>
      </c>
      <c r="N42" s="32">
        <v>40.0</v>
      </c>
      <c r="P42" s="32" t="str">
        <f t="shared" si="1"/>
        <v>40. Commelinaceae</v>
      </c>
      <c r="R42" s="32" t="str">
        <f t="shared" si="2"/>
        <v>9. Allamanda</v>
      </c>
    </row>
    <row r="43" ht="14.25" customHeight="1">
      <c r="A43" s="68" t="s">
        <v>206</v>
      </c>
      <c r="B43" s="68">
        <v>9.0</v>
      </c>
      <c r="C43" s="10" t="s">
        <v>236</v>
      </c>
      <c r="F43" s="32" t="s">
        <v>286</v>
      </c>
      <c r="I43" s="32" t="s">
        <v>1699</v>
      </c>
      <c r="K43" s="32" t="s">
        <v>271</v>
      </c>
      <c r="M43" s="32" t="s">
        <v>1699</v>
      </c>
      <c r="N43" s="32">
        <v>41.0</v>
      </c>
      <c r="P43" s="32" t="str">
        <f t="shared" si="1"/>
        <v>41. Convolvulaceae</v>
      </c>
      <c r="R43" s="32" t="str">
        <f t="shared" si="2"/>
        <v>9. Alstonia</v>
      </c>
    </row>
    <row r="44" ht="14.25" customHeight="1">
      <c r="A44" s="68" t="s">
        <v>206</v>
      </c>
      <c r="B44" s="68">
        <v>9.0</v>
      </c>
      <c r="C44" s="10" t="s">
        <v>206</v>
      </c>
      <c r="G44" s="32" t="s">
        <v>287</v>
      </c>
      <c r="I44" s="32" t="s">
        <v>1090</v>
      </c>
      <c r="K44" s="32" t="s">
        <v>287</v>
      </c>
      <c r="M44" s="32" t="s">
        <v>1090</v>
      </c>
      <c r="N44" s="32">
        <v>42.0</v>
      </c>
      <c r="P44" s="32" t="str">
        <f t="shared" si="1"/>
        <v>42. Coriariaceae</v>
      </c>
      <c r="R44" s="32" t="str">
        <f t="shared" si="2"/>
        <v>9. Apocynaceae</v>
      </c>
    </row>
    <row r="45" ht="14.25" customHeight="1">
      <c r="A45" s="68" t="s">
        <v>206</v>
      </c>
      <c r="B45" s="68">
        <v>9.0</v>
      </c>
      <c r="C45" s="10" t="s">
        <v>375</v>
      </c>
      <c r="G45" s="32" t="s">
        <v>707</v>
      </c>
      <c r="I45" s="32" t="s">
        <v>1101</v>
      </c>
      <c r="K45" s="32" t="s">
        <v>314</v>
      </c>
      <c r="M45" s="32" t="s">
        <v>1101</v>
      </c>
      <c r="N45" s="32">
        <v>43.0</v>
      </c>
      <c r="P45" s="32" t="str">
        <f t="shared" si="1"/>
        <v>43. Costaceae</v>
      </c>
      <c r="R45" s="32" t="str">
        <f t="shared" si="2"/>
        <v>9. Asclepias</v>
      </c>
    </row>
    <row r="46" ht="14.25" customHeight="1">
      <c r="A46" s="68" t="s">
        <v>206</v>
      </c>
      <c r="B46" s="68">
        <v>9.0</v>
      </c>
      <c r="C46" s="10" t="s">
        <v>382</v>
      </c>
      <c r="G46" s="32" t="s">
        <v>1567</v>
      </c>
      <c r="I46" s="32" t="s">
        <v>3062</v>
      </c>
      <c r="K46" s="32" t="s">
        <v>321</v>
      </c>
      <c r="M46" s="32" t="s">
        <v>3062</v>
      </c>
      <c r="N46" s="32">
        <v>44.0</v>
      </c>
      <c r="P46" s="32" t="str">
        <f t="shared" si="1"/>
        <v>44. Cunoniaceae</v>
      </c>
      <c r="R46" s="32" t="str">
        <f t="shared" si="2"/>
        <v>9. Aspidosperma</v>
      </c>
    </row>
    <row r="47" ht="14.25" customHeight="1">
      <c r="A47" s="68" t="s">
        <v>206</v>
      </c>
      <c r="B47" s="68">
        <v>9.0</v>
      </c>
      <c r="C47" s="10" t="s">
        <v>732</v>
      </c>
      <c r="G47" s="32" t="s">
        <v>2416</v>
      </c>
      <c r="I47" s="32" t="s">
        <v>673</v>
      </c>
      <c r="K47" s="32" t="s">
        <v>206</v>
      </c>
      <c r="M47" s="32" t="s">
        <v>673</v>
      </c>
      <c r="N47" s="32">
        <v>45.0</v>
      </c>
      <c r="P47" s="32" t="str">
        <f t="shared" si="1"/>
        <v>45. Cupressaceae</v>
      </c>
      <c r="R47" s="32" t="str">
        <f t="shared" si="2"/>
        <v>9. Carissa</v>
      </c>
    </row>
    <row r="48" ht="14.25" customHeight="1">
      <c r="A48" s="68" t="s">
        <v>206</v>
      </c>
      <c r="B48" s="68">
        <v>9.0</v>
      </c>
      <c r="C48" s="10" t="s">
        <v>759</v>
      </c>
      <c r="G48" s="32" t="s">
        <v>2582</v>
      </c>
      <c r="I48" s="32" t="s">
        <v>1162</v>
      </c>
      <c r="K48" s="32" t="s">
        <v>325</v>
      </c>
      <c r="M48" s="32" t="s">
        <v>1162</v>
      </c>
      <c r="N48" s="32">
        <v>46.0</v>
      </c>
      <c r="P48" s="32" t="str">
        <f t="shared" si="1"/>
        <v>46. Cyatheaceae</v>
      </c>
      <c r="R48" s="32" t="str">
        <f t="shared" si="2"/>
        <v>9. Cascabela</v>
      </c>
    </row>
    <row r="49" ht="14.25" customHeight="1">
      <c r="A49" s="68" t="s">
        <v>206</v>
      </c>
      <c r="B49" s="68">
        <v>9.0</v>
      </c>
      <c r="C49" s="10" t="s">
        <v>1641</v>
      </c>
      <c r="G49" s="32" t="s">
        <v>762</v>
      </c>
      <c r="I49" s="32" t="s">
        <v>1171</v>
      </c>
      <c r="K49" s="32" t="s">
        <v>327</v>
      </c>
      <c r="M49" s="32" t="s">
        <v>1171</v>
      </c>
      <c r="N49" s="32">
        <v>47.0</v>
      </c>
      <c r="P49" s="32" t="str">
        <f t="shared" si="1"/>
        <v>47. Cycadaceae</v>
      </c>
      <c r="R49" s="32" t="str">
        <f t="shared" si="2"/>
        <v>9. Himatanthus</v>
      </c>
    </row>
    <row r="50" ht="14.25" customHeight="1">
      <c r="A50" s="68" t="s">
        <v>206</v>
      </c>
      <c r="B50" s="68">
        <v>9.0</v>
      </c>
      <c r="C50" s="10" t="s">
        <v>1785</v>
      </c>
      <c r="G50" s="32" t="s">
        <v>3082</v>
      </c>
      <c r="I50" s="32" t="s">
        <v>735</v>
      </c>
      <c r="K50" s="32" t="s">
        <v>337</v>
      </c>
      <c r="M50" s="32" t="s">
        <v>735</v>
      </c>
      <c r="N50" s="32">
        <v>48.0</v>
      </c>
      <c r="P50" s="32" t="str">
        <f t="shared" si="1"/>
        <v>48. Cyclantaceae</v>
      </c>
      <c r="R50" s="32" t="str">
        <f t="shared" si="2"/>
        <v>9. Lacmellea</v>
      </c>
    </row>
    <row r="51" ht="14.25" customHeight="1">
      <c r="A51" s="68" t="s">
        <v>206</v>
      </c>
      <c r="B51" s="68">
        <v>9.0</v>
      </c>
      <c r="C51" s="10" t="s">
        <v>2131</v>
      </c>
      <c r="F51" s="32" t="s">
        <v>206</v>
      </c>
      <c r="I51" s="32" t="s">
        <v>1185</v>
      </c>
      <c r="K51" s="32" t="s">
        <v>343</v>
      </c>
      <c r="M51" s="32" t="s">
        <v>1185</v>
      </c>
      <c r="N51" s="32">
        <v>49.0</v>
      </c>
      <c r="P51" s="32" t="str">
        <f t="shared" si="1"/>
        <v>49. Cyperaceae</v>
      </c>
      <c r="R51" s="32" t="str">
        <f t="shared" si="2"/>
        <v>9. Nerium</v>
      </c>
    </row>
    <row r="52" ht="14.25" customHeight="1">
      <c r="A52" s="68" t="s">
        <v>206</v>
      </c>
      <c r="B52" s="68">
        <v>9.0</v>
      </c>
      <c r="C52" s="10" t="s">
        <v>2390</v>
      </c>
      <c r="G52" s="32" t="s">
        <v>207</v>
      </c>
      <c r="I52" s="32" t="s">
        <v>1223</v>
      </c>
      <c r="K52" s="32" t="s">
        <v>352</v>
      </c>
      <c r="M52" s="32" t="s">
        <v>1223</v>
      </c>
      <c r="N52" s="32">
        <v>50.0</v>
      </c>
      <c r="P52" s="32" t="str">
        <f t="shared" si="1"/>
        <v>50. Dicksoniaceae</v>
      </c>
      <c r="R52" s="32" t="str">
        <f t="shared" si="2"/>
        <v>9. Plumeria</v>
      </c>
    </row>
    <row r="53" ht="14.25" customHeight="1">
      <c r="A53" s="68" t="s">
        <v>206</v>
      </c>
      <c r="B53" s="68">
        <v>9.0</v>
      </c>
      <c r="C53" s="10" t="s">
        <v>2764</v>
      </c>
      <c r="G53" s="32" t="s">
        <v>236</v>
      </c>
      <c r="I53" s="32" t="s">
        <v>1158</v>
      </c>
      <c r="K53" s="32" t="s">
        <v>359</v>
      </c>
      <c r="M53" s="32" t="s">
        <v>1158</v>
      </c>
      <c r="N53" s="32">
        <v>51.0</v>
      </c>
      <c r="P53" s="32" t="str">
        <f t="shared" si="1"/>
        <v>51. Dileniacea</v>
      </c>
      <c r="R53" s="32" t="str">
        <f t="shared" si="2"/>
        <v>9. Stemmadenia</v>
      </c>
    </row>
    <row r="54" ht="14.25" customHeight="1">
      <c r="A54" s="68" t="s">
        <v>206</v>
      </c>
      <c r="B54" s="68">
        <v>9.0</v>
      </c>
      <c r="C54" s="10" t="s">
        <v>2833</v>
      </c>
      <c r="G54" s="32" t="s">
        <v>206</v>
      </c>
      <c r="I54" s="32" t="s">
        <v>1237</v>
      </c>
      <c r="K54" s="32" t="s">
        <v>361</v>
      </c>
      <c r="M54" s="32" t="s">
        <v>1237</v>
      </c>
      <c r="N54" s="32">
        <v>21.0</v>
      </c>
      <c r="P54" s="32" t="str">
        <f t="shared" si="1"/>
        <v>21. Ebenaceae</v>
      </c>
      <c r="R54" s="32" t="str">
        <f t="shared" si="2"/>
        <v>9. Tabernaemontana</v>
      </c>
    </row>
    <row r="55" ht="14.25" customHeight="1">
      <c r="A55" s="68" t="s">
        <v>206</v>
      </c>
      <c r="B55" s="68">
        <v>9.0</v>
      </c>
      <c r="C55" s="10" t="s">
        <v>2903</v>
      </c>
      <c r="G55" s="32" t="s">
        <v>375</v>
      </c>
      <c r="I55" s="32" t="s">
        <v>1309</v>
      </c>
      <c r="K55" s="32" t="s">
        <v>366</v>
      </c>
      <c r="M55" s="32" t="s">
        <v>1309</v>
      </c>
      <c r="N55" s="32">
        <v>22.0</v>
      </c>
      <c r="P55" s="32" t="str">
        <f t="shared" si="1"/>
        <v>22. Elaeocarpaceae</v>
      </c>
      <c r="R55" s="32" t="str">
        <f t="shared" si="2"/>
        <v>9. Thevetia</v>
      </c>
    </row>
    <row r="56" ht="14.25" customHeight="1">
      <c r="A56" s="68" t="s">
        <v>1670</v>
      </c>
      <c r="B56" s="68">
        <v>10.0</v>
      </c>
      <c r="C56" s="10" t="s">
        <v>1671</v>
      </c>
      <c r="G56" s="32" t="s">
        <v>382</v>
      </c>
      <c r="I56" s="32" t="s">
        <v>803</v>
      </c>
      <c r="K56" s="32" t="s">
        <v>375</v>
      </c>
      <c r="M56" s="32" t="s">
        <v>803</v>
      </c>
      <c r="N56" s="32">
        <v>23.0</v>
      </c>
      <c r="P56" s="32" t="str">
        <f t="shared" si="1"/>
        <v>23. Ericaceae</v>
      </c>
      <c r="R56" s="32" t="str">
        <f t="shared" si="2"/>
        <v>10. Ilex</v>
      </c>
    </row>
    <row r="57" ht="14.25" customHeight="1">
      <c r="A57" s="68" t="s">
        <v>2287</v>
      </c>
      <c r="B57" s="68">
        <v>11.0</v>
      </c>
      <c r="C57" s="10" t="s">
        <v>2288</v>
      </c>
      <c r="G57" s="32" t="s">
        <v>732</v>
      </c>
      <c r="I57" s="32" t="s">
        <v>1345</v>
      </c>
      <c r="K57" s="32" t="s">
        <v>378</v>
      </c>
      <c r="M57" s="32" t="s">
        <v>1345</v>
      </c>
      <c r="N57" s="32">
        <v>24.0</v>
      </c>
      <c r="P57" s="32" t="str">
        <f t="shared" si="1"/>
        <v>24. Erythroxylaceae</v>
      </c>
      <c r="R57" s="32" t="str">
        <f t="shared" si="2"/>
        <v>11. Philodendron</v>
      </c>
    </row>
    <row r="58" ht="14.25" customHeight="1">
      <c r="A58" s="68" t="s">
        <v>324</v>
      </c>
      <c r="B58" s="68">
        <v>12.0</v>
      </c>
      <c r="C58" s="10" t="s">
        <v>202</v>
      </c>
      <c r="G58" s="32" t="s">
        <v>759</v>
      </c>
      <c r="I58" s="32" t="s">
        <v>1349</v>
      </c>
      <c r="K58" s="32" t="s">
        <v>382</v>
      </c>
      <c r="M58" s="32" t="s">
        <v>1349</v>
      </c>
      <c r="N58" s="32">
        <v>25.0</v>
      </c>
      <c r="P58" s="32" t="str">
        <f t="shared" si="1"/>
        <v>25. Escalloniaceae</v>
      </c>
      <c r="R58" s="32" t="str">
        <f t="shared" si="2"/>
        <v>12. Alfaroa</v>
      </c>
    </row>
    <row r="59" ht="14.25" customHeight="1">
      <c r="A59" s="68" t="s">
        <v>324</v>
      </c>
      <c r="B59" s="68">
        <v>12.0</v>
      </c>
      <c r="C59" s="10" t="s">
        <v>1214</v>
      </c>
      <c r="G59" s="32" t="s">
        <v>1641</v>
      </c>
      <c r="I59" s="32" t="s">
        <v>82</v>
      </c>
      <c r="K59" s="32" t="s">
        <v>362</v>
      </c>
      <c r="M59" s="32" t="s">
        <v>82</v>
      </c>
      <c r="N59" s="32">
        <v>26.0</v>
      </c>
      <c r="P59" s="32" t="str">
        <f t="shared" si="1"/>
        <v>26. Euphorbiaceae</v>
      </c>
      <c r="R59" s="32" t="str">
        <f t="shared" si="2"/>
        <v>12. Dendropanax</v>
      </c>
    </row>
    <row r="60" ht="14.25" customHeight="1">
      <c r="A60" s="68" t="s">
        <v>324</v>
      </c>
      <c r="B60" s="68">
        <v>12.0</v>
      </c>
      <c r="C60" s="10" t="s">
        <v>1607</v>
      </c>
      <c r="G60" s="32" t="s">
        <v>1785</v>
      </c>
      <c r="I60" s="32" t="s">
        <v>34</v>
      </c>
      <c r="K60" s="32" t="s">
        <v>386</v>
      </c>
      <c r="M60" s="32" t="s">
        <v>34</v>
      </c>
      <c r="N60" s="32">
        <v>27.0</v>
      </c>
      <c r="P60" s="32" t="str">
        <f t="shared" si="1"/>
        <v>27. Fabaceae</v>
      </c>
      <c r="R60" s="32" t="str">
        <f t="shared" si="2"/>
        <v>12. Heptapleurum</v>
      </c>
    </row>
    <row r="61" ht="14.25" customHeight="1">
      <c r="A61" s="68" t="s">
        <v>324</v>
      </c>
      <c r="B61" s="68">
        <v>12.0</v>
      </c>
      <c r="C61" s="10" t="s">
        <v>2172</v>
      </c>
      <c r="G61" s="32" t="s">
        <v>2131</v>
      </c>
      <c r="I61" s="32" t="s">
        <v>6261</v>
      </c>
      <c r="K61" s="32" t="s">
        <v>389</v>
      </c>
      <c r="M61" s="32" t="s">
        <v>6261</v>
      </c>
      <c r="N61" s="32">
        <v>27.0</v>
      </c>
      <c r="P61" s="32" t="str">
        <f t="shared" si="1"/>
        <v>27. Fabaceae sp.</v>
      </c>
      <c r="R61" s="32" t="str">
        <f t="shared" si="2"/>
        <v>12. Oreopanax</v>
      </c>
    </row>
    <row r="62" ht="14.25" customHeight="1">
      <c r="A62" s="68" t="s">
        <v>324</v>
      </c>
      <c r="B62" s="68">
        <v>12.0</v>
      </c>
      <c r="C62" s="10" t="s">
        <v>2377</v>
      </c>
      <c r="G62" s="32" t="s">
        <v>2390</v>
      </c>
      <c r="I62" s="32" t="s">
        <v>2543</v>
      </c>
      <c r="K62" s="32" t="s">
        <v>393</v>
      </c>
      <c r="M62" s="32" t="s">
        <v>2543</v>
      </c>
      <c r="N62" s="32">
        <v>28.0</v>
      </c>
      <c r="P62" s="32" t="str">
        <f t="shared" si="1"/>
        <v>28. Fagaceae</v>
      </c>
      <c r="R62" s="32" t="str">
        <f t="shared" si="2"/>
        <v>12. Plerandra</v>
      </c>
    </row>
    <row r="63" ht="14.25" customHeight="1">
      <c r="A63" s="68" t="s">
        <v>324</v>
      </c>
      <c r="B63" s="68">
        <v>12.0</v>
      </c>
      <c r="C63" s="10" t="s">
        <v>2419</v>
      </c>
      <c r="G63" s="32" t="s">
        <v>2764</v>
      </c>
      <c r="I63" s="32" t="s">
        <v>403</v>
      </c>
      <c r="K63" s="32" t="s">
        <v>396</v>
      </c>
      <c r="M63" s="32" t="s">
        <v>403</v>
      </c>
      <c r="N63" s="32">
        <v>29.0</v>
      </c>
      <c r="P63" s="32" t="str">
        <f t="shared" si="1"/>
        <v>29. Garryaceae</v>
      </c>
      <c r="R63" s="32" t="str">
        <f t="shared" si="2"/>
        <v>12. Polyscias</v>
      </c>
    </row>
    <row r="64" ht="14.25" customHeight="1">
      <c r="A64" s="68" t="s">
        <v>324</v>
      </c>
      <c r="B64" s="68">
        <v>12.0</v>
      </c>
      <c r="C64" s="10" t="s">
        <v>2655</v>
      </c>
      <c r="G64" s="32" t="s">
        <v>2833</v>
      </c>
      <c r="I64" s="32" t="s">
        <v>1913</v>
      </c>
      <c r="K64" s="32" t="s">
        <v>404</v>
      </c>
      <c r="M64" s="32" t="s">
        <v>1913</v>
      </c>
      <c r="N64" s="32">
        <v>30.0</v>
      </c>
      <c r="P64" s="32" t="str">
        <f t="shared" si="1"/>
        <v>30. Gentianaceae</v>
      </c>
      <c r="R64" s="32" t="str">
        <f t="shared" si="2"/>
        <v>12. Schefflera</v>
      </c>
    </row>
    <row r="65" ht="14.25" customHeight="1">
      <c r="A65" s="68" t="s">
        <v>324</v>
      </c>
      <c r="B65" s="68">
        <v>12.0</v>
      </c>
      <c r="C65" s="10" t="s">
        <v>2890</v>
      </c>
      <c r="G65" s="32" t="s">
        <v>2903</v>
      </c>
      <c r="I65" s="32" t="s">
        <v>3036</v>
      </c>
      <c r="K65" s="32" t="s">
        <v>408</v>
      </c>
      <c r="M65" s="32" t="s">
        <v>3036</v>
      </c>
      <c r="N65" s="32">
        <v>31.0</v>
      </c>
      <c r="P65" s="32" t="str">
        <f t="shared" si="1"/>
        <v>31. Hypericaceae</v>
      </c>
      <c r="R65" s="32" t="str">
        <f t="shared" si="2"/>
        <v>12. Tetrapanax</v>
      </c>
    </row>
    <row r="66" ht="14.25" customHeight="1">
      <c r="A66" s="68" t="s">
        <v>328</v>
      </c>
      <c r="B66" s="68">
        <v>13.0</v>
      </c>
      <c r="C66" s="10" t="s">
        <v>327</v>
      </c>
      <c r="F66" s="32" t="s">
        <v>1670</v>
      </c>
      <c r="I66" s="32" t="s">
        <v>203</v>
      </c>
      <c r="K66" s="32" t="s">
        <v>412</v>
      </c>
      <c r="M66" s="32" t="s">
        <v>203</v>
      </c>
      <c r="N66" s="32">
        <v>32.0</v>
      </c>
      <c r="P66" s="32" t="str">
        <f t="shared" si="1"/>
        <v>32. Juglandaceae</v>
      </c>
      <c r="R66" s="32" t="str">
        <f t="shared" si="2"/>
        <v>13. Araucaria</v>
      </c>
    </row>
    <row r="67" ht="14.25" customHeight="1">
      <c r="A67" s="68" t="s">
        <v>116</v>
      </c>
      <c r="B67" s="68">
        <v>14.0</v>
      </c>
      <c r="C67" s="10" t="s">
        <v>118</v>
      </c>
      <c r="G67" s="32" t="s">
        <v>1671</v>
      </c>
      <c r="I67" s="32" t="s">
        <v>1781</v>
      </c>
      <c r="K67" s="32" t="s">
        <v>415</v>
      </c>
      <c r="M67" s="32" t="s">
        <v>1781</v>
      </c>
      <c r="N67" s="32">
        <v>33.0</v>
      </c>
      <c r="P67" s="32" t="str">
        <f t="shared" si="1"/>
        <v>33. Lacistemataceae</v>
      </c>
      <c r="R67" s="32" t="str">
        <f t="shared" si="2"/>
        <v>14. Acrocomia</v>
      </c>
    </row>
    <row r="68" ht="14.25" customHeight="1">
      <c r="A68" s="68" t="s">
        <v>116</v>
      </c>
      <c r="B68" s="68">
        <v>14.0</v>
      </c>
      <c r="C68" s="10" t="s">
        <v>129</v>
      </c>
      <c r="F68" s="32" t="s">
        <v>2287</v>
      </c>
      <c r="I68" s="32" t="s">
        <v>136</v>
      </c>
      <c r="K68" s="32" t="s">
        <v>426</v>
      </c>
      <c r="M68" s="32" t="s">
        <v>136</v>
      </c>
      <c r="N68" s="32">
        <v>34.0</v>
      </c>
      <c r="P68" s="32" t="str">
        <f t="shared" si="1"/>
        <v>34. Lamiaceae</v>
      </c>
      <c r="R68" s="32" t="str">
        <f t="shared" si="2"/>
        <v>14. Adonidia</v>
      </c>
    </row>
    <row r="69" ht="14.25" customHeight="1">
      <c r="A69" s="68" t="s">
        <v>116</v>
      </c>
      <c r="B69" s="68">
        <v>14.0</v>
      </c>
      <c r="C69" s="10" t="s">
        <v>162</v>
      </c>
      <c r="G69" s="32" t="s">
        <v>2288</v>
      </c>
      <c r="I69" s="32" t="s">
        <v>158</v>
      </c>
      <c r="K69" s="32" t="s">
        <v>433</v>
      </c>
      <c r="M69" s="32" t="s">
        <v>158</v>
      </c>
      <c r="N69" s="32">
        <v>35.0</v>
      </c>
      <c r="P69" s="32" t="str">
        <f t="shared" si="1"/>
        <v>35. Lauraceae</v>
      </c>
      <c r="R69" s="32" t="str">
        <f t="shared" si="2"/>
        <v>14. Aiphanes</v>
      </c>
    </row>
    <row r="70" ht="14.25" customHeight="1">
      <c r="A70" s="68" t="s">
        <v>116</v>
      </c>
      <c r="B70" s="68">
        <v>14.0</v>
      </c>
      <c r="C70" s="10" t="s">
        <v>337</v>
      </c>
      <c r="F70" s="32" t="s">
        <v>324</v>
      </c>
      <c r="I70" s="32" t="s">
        <v>6262</v>
      </c>
      <c r="K70" s="32" t="s">
        <v>438</v>
      </c>
      <c r="M70" s="32" t="s">
        <v>6262</v>
      </c>
      <c r="N70" s="32">
        <v>35.0</v>
      </c>
      <c r="P70" s="32" t="str">
        <f t="shared" si="1"/>
        <v>35. Lauraceae sp.</v>
      </c>
      <c r="R70" s="32" t="str">
        <f t="shared" si="2"/>
        <v>14. Archontophoenix</v>
      </c>
    </row>
    <row r="71" ht="14.25" customHeight="1">
      <c r="A71" s="68" t="s">
        <v>116</v>
      </c>
      <c r="B71" s="68">
        <v>14.0</v>
      </c>
      <c r="C71" s="10" t="s">
        <v>352</v>
      </c>
      <c r="G71" s="32" t="s">
        <v>202</v>
      </c>
      <c r="I71" s="32" t="s">
        <v>728</v>
      </c>
      <c r="K71" s="32" t="s">
        <v>461</v>
      </c>
      <c r="M71" s="32" t="s">
        <v>728</v>
      </c>
      <c r="N71" s="32">
        <v>36.0</v>
      </c>
      <c r="P71" s="32" t="str">
        <f t="shared" si="1"/>
        <v>36. Lecythidaceae</v>
      </c>
      <c r="R71" s="32" t="str">
        <f t="shared" si="2"/>
        <v>14. Areca</v>
      </c>
    </row>
    <row r="72" ht="14.25" customHeight="1">
      <c r="A72" s="68" t="s">
        <v>116</v>
      </c>
      <c r="B72" s="68">
        <v>14.0</v>
      </c>
      <c r="C72" s="10" t="s">
        <v>359</v>
      </c>
      <c r="G72" s="32" t="s">
        <v>1214</v>
      </c>
      <c r="I72" s="32" t="s">
        <v>125</v>
      </c>
      <c r="K72" s="32" t="s">
        <v>465</v>
      </c>
      <c r="M72" s="32" t="s">
        <v>125</v>
      </c>
      <c r="N72" s="32">
        <v>37.0</v>
      </c>
      <c r="P72" s="32" t="str">
        <f t="shared" si="1"/>
        <v>37. Lythraceae</v>
      </c>
      <c r="R72" s="32" t="str">
        <f t="shared" si="2"/>
        <v>14. Arenga</v>
      </c>
    </row>
    <row r="73" ht="14.25" customHeight="1">
      <c r="A73" s="68" t="s">
        <v>116</v>
      </c>
      <c r="B73" s="68">
        <v>14.0</v>
      </c>
      <c r="C73" s="10" t="s">
        <v>386</v>
      </c>
      <c r="G73" s="32" t="s">
        <v>1607</v>
      </c>
      <c r="I73" s="32" t="s">
        <v>1920</v>
      </c>
      <c r="K73" s="32" t="s">
        <v>468</v>
      </c>
      <c r="M73" s="32" t="s">
        <v>1920</v>
      </c>
      <c r="N73" s="32">
        <v>38.0</v>
      </c>
      <c r="P73" s="32" t="str">
        <f t="shared" si="1"/>
        <v>38. Magnoliaceae</v>
      </c>
      <c r="R73" s="32" t="str">
        <f t="shared" si="2"/>
        <v>14. Astrocaryum</v>
      </c>
    </row>
    <row r="74" ht="14.25" customHeight="1">
      <c r="A74" s="68" t="s">
        <v>116</v>
      </c>
      <c r="B74" s="68">
        <v>14.0</v>
      </c>
      <c r="C74" s="10" t="s">
        <v>396</v>
      </c>
      <c r="G74" s="32" t="s">
        <v>2172</v>
      </c>
      <c r="I74" s="32" t="s">
        <v>596</v>
      </c>
      <c r="K74" s="32" t="s">
        <v>3143</v>
      </c>
      <c r="M74" s="32" t="s">
        <v>596</v>
      </c>
      <c r="N74" s="32">
        <v>39.0</v>
      </c>
      <c r="P74" s="32" t="str">
        <f t="shared" si="1"/>
        <v>39. Malpighiaceae</v>
      </c>
      <c r="R74" s="32" t="str">
        <f t="shared" si="2"/>
        <v>14. Attalea</v>
      </c>
    </row>
    <row r="75" ht="14.25" customHeight="1">
      <c r="A75" s="68" t="s">
        <v>116</v>
      </c>
      <c r="B75" s="68">
        <v>14.0</v>
      </c>
      <c r="C75" s="10" t="s">
        <v>426</v>
      </c>
      <c r="G75" s="32" t="s">
        <v>2377</v>
      </c>
      <c r="I75" s="32" t="s">
        <v>45</v>
      </c>
      <c r="K75" s="32" t="s">
        <v>472</v>
      </c>
      <c r="M75" s="32" t="s">
        <v>45</v>
      </c>
      <c r="N75" s="32">
        <v>40.0</v>
      </c>
      <c r="P75" s="32" t="str">
        <f t="shared" si="1"/>
        <v>40. Malvaceae</v>
      </c>
      <c r="R75" s="32" t="str">
        <f t="shared" si="2"/>
        <v>14. Bactris</v>
      </c>
    </row>
    <row r="76" ht="14.25" customHeight="1">
      <c r="A76" s="68" t="s">
        <v>116</v>
      </c>
      <c r="B76" s="68">
        <v>14.0</v>
      </c>
      <c r="C76" s="10" t="s">
        <v>485</v>
      </c>
      <c r="G76" s="32" t="s">
        <v>2419</v>
      </c>
      <c r="I76" s="32" t="s">
        <v>471</v>
      </c>
      <c r="K76" s="32" t="s">
        <v>2085</v>
      </c>
      <c r="M76" s="32" t="s">
        <v>471</v>
      </c>
      <c r="N76" s="32">
        <v>41.0</v>
      </c>
      <c r="P76" s="32" t="str">
        <f t="shared" si="1"/>
        <v>41. Melastomataceae</v>
      </c>
      <c r="R76" s="32" t="str">
        <f t="shared" si="2"/>
        <v>14. Bismarckia</v>
      </c>
    </row>
    <row r="77" ht="14.25" customHeight="1">
      <c r="A77" s="68" t="s">
        <v>116</v>
      </c>
      <c r="B77" s="68">
        <v>14.0</v>
      </c>
      <c r="C77" s="10" t="s">
        <v>529</v>
      </c>
      <c r="G77" s="32" t="s">
        <v>2655</v>
      </c>
      <c r="I77" s="32" t="s">
        <v>411</v>
      </c>
      <c r="K77" s="32" t="s">
        <v>476</v>
      </c>
      <c r="M77" s="32" t="s">
        <v>411</v>
      </c>
      <c r="N77" s="32">
        <v>42.0</v>
      </c>
      <c r="P77" s="32" t="str">
        <f t="shared" si="1"/>
        <v>42. Meliaceae</v>
      </c>
      <c r="R77" s="32" t="str">
        <f t="shared" si="2"/>
        <v>14. Brassiophoenix</v>
      </c>
    </row>
    <row r="78" ht="14.25" customHeight="1">
      <c r="A78" s="68" t="s">
        <v>116</v>
      </c>
      <c r="B78" s="68">
        <v>14.0</v>
      </c>
      <c r="C78" s="10" t="s">
        <v>752</v>
      </c>
      <c r="G78" s="32" t="s">
        <v>2890</v>
      </c>
      <c r="I78" s="32" t="s">
        <v>365</v>
      </c>
      <c r="K78" s="32" t="s">
        <v>481</v>
      </c>
      <c r="M78" s="32" t="s">
        <v>365</v>
      </c>
      <c r="N78" s="32">
        <v>43.0</v>
      </c>
      <c r="P78" s="32" t="str">
        <f t="shared" si="1"/>
        <v>43. Moraceae</v>
      </c>
      <c r="R78" s="32" t="str">
        <f t="shared" si="2"/>
        <v>14. Caryota</v>
      </c>
    </row>
    <row r="79" ht="14.25" customHeight="1">
      <c r="A79" s="68" t="s">
        <v>116</v>
      </c>
      <c r="B79" s="68">
        <v>14.0</v>
      </c>
      <c r="C79" s="10" t="s">
        <v>866</v>
      </c>
      <c r="F79" s="32" t="s">
        <v>328</v>
      </c>
      <c r="I79" s="32" t="s">
        <v>2069</v>
      </c>
      <c r="K79" s="32" t="s">
        <v>485</v>
      </c>
      <c r="M79" s="32" t="s">
        <v>2069</v>
      </c>
      <c r="N79" s="32">
        <v>44.0</v>
      </c>
      <c r="P79" s="32" t="str">
        <f t="shared" si="1"/>
        <v>44. Moringaceae</v>
      </c>
      <c r="R79" s="32" t="str">
        <f t="shared" si="2"/>
        <v>14. Ceroxylon</v>
      </c>
    </row>
    <row r="80" ht="14.25" customHeight="1">
      <c r="A80" s="68" t="s">
        <v>116</v>
      </c>
      <c r="B80" s="68">
        <v>14.0</v>
      </c>
      <c r="C80" s="10" t="s">
        <v>886</v>
      </c>
      <c r="G80" s="32" t="s">
        <v>327</v>
      </c>
      <c r="I80" s="32" t="s">
        <v>2081</v>
      </c>
      <c r="K80" s="32" t="s">
        <v>491</v>
      </c>
      <c r="M80" s="32" t="s">
        <v>2081</v>
      </c>
      <c r="N80" s="32">
        <v>45.0</v>
      </c>
      <c r="P80" s="32" t="str">
        <f t="shared" si="1"/>
        <v>45. Muntingiaceae</v>
      </c>
      <c r="R80" s="32" t="str">
        <f t="shared" si="2"/>
        <v>14. Chamaedorea</v>
      </c>
    </row>
    <row r="81" ht="14.25" customHeight="1">
      <c r="A81" s="68" t="s">
        <v>116</v>
      </c>
      <c r="B81" s="68">
        <v>14.0</v>
      </c>
      <c r="C81" s="10" t="s">
        <v>899</v>
      </c>
      <c r="F81" s="32" t="s">
        <v>116</v>
      </c>
      <c r="I81" s="32" t="s">
        <v>2062</v>
      </c>
      <c r="K81" s="32" t="s">
        <v>495</v>
      </c>
      <c r="M81" s="32" t="s">
        <v>2062</v>
      </c>
      <c r="N81" s="32">
        <v>46.0</v>
      </c>
      <c r="P81" s="32" t="str">
        <f t="shared" si="1"/>
        <v>46. Myricaceae</v>
      </c>
      <c r="R81" s="32" t="str">
        <f t="shared" si="2"/>
        <v>14. Chambeyronia</v>
      </c>
    </row>
    <row r="82" ht="14.25" customHeight="1">
      <c r="A82" s="68" t="s">
        <v>116</v>
      </c>
      <c r="B82" s="68">
        <v>14.0</v>
      </c>
      <c r="C82" s="10" t="s">
        <v>902</v>
      </c>
      <c r="G82" s="32" t="s">
        <v>118</v>
      </c>
      <c r="I82" s="32" t="s">
        <v>1049</v>
      </c>
      <c r="K82" s="32" t="s">
        <v>499</v>
      </c>
      <c r="M82" s="32" t="s">
        <v>1049</v>
      </c>
      <c r="N82" s="32">
        <v>47.0</v>
      </c>
      <c r="P82" s="32" t="str">
        <f t="shared" si="1"/>
        <v>47. Myristicaceae</v>
      </c>
      <c r="R82" s="32" t="str">
        <f t="shared" si="2"/>
        <v>14. Chelyocarpus</v>
      </c>
    </row>
    <row r="83" ht="14.25" customHeight="1">
      <c r="A83" s="68" t="s">
        <v>116</v>
      </c>
      <c r="B83" s="68">
        <v>14.0</v>
      </c>
      <c r="C83" s="10" t="s">
        <v>1023</v>
      </c>
      <c r="G83" s="32" t="s">
        <v>129</v>
      </c>
      <c r="I83" s="32" t="s">
        <v>3550</v>
      </c>
      <c r="K83" s="32" t="s">
        <v>503</v>
      </c>
      <c r="M83" s="32" t="s">
        <v>3550</v>
      </c>
      <c r="N83" s="32">
        <v>48.0</v>
      </c>
      <c r="P83" s="32" t="str">
        <f t="shared" si="1"/>
        <v>48. Myrsinaceae</v>
      </c>
      <c r="R83" s="32" t="str">
        <f t="shared" si="2"/>
        <v>14. Coccothrinax</v>
      </c>
    </row>
    <row r="84" ht="14.25" customHeight="1">
      <c r="A84" s="68" t="s">
        <v>116</v>
      </c>
      <c r="B84" s="68">
        <v>14.0</v>
      </c>
      <c r="C84" s="10" t="s">
        <v>1031</v>
      </c>
      <c r="G84" s="32" t="s">
        <v>162</v>
      </c>
      <c r="I84" s="32" t="s">
        <v>95</v>
      </c>
      <c r="K84" s="32" t="s">
        <v>510</v>
      </c>
      <c r="M84" s="32" t="s">
        <v>95</v>
      </c>
      <c r="N84" s="32">
        <v>49.0</v>
      </c>
      <c r="P84" s="32" t="str">
        <f t="shared" si="1"/>
        <v>49. Myrtaceae</v>
      </c>
      <c r="R84" s="32" t="str">
        <f t="shared" si="2"/>
        <v>14. Cocos</v>
      </c>
    </row>
    <row r="85" ht="14.25" customHeight="1">
      <c r="A85" s="68" t="s">
        <v>116</v>
      </c>
      <c r="B85" s="68">
        <v>14.0</v>
      </c>
      <c r="C85" s="10" t="s">
        <v>1136</v>
      </c>
      <c r="G85" s="32" t="s">
        <v>337</v>
      </c>
      <c r="I85" s="32" t="s">
        <v>6263</v>
      </c>
      <c r="K85" s="32" t="s">
        <v>517</v>
      </c>
      <c r="M85" s="32" t="s">
        <v>6263</v>
      </c>
      <c r="N85" s="32">
        <v>49.0</v>
      </c>
      <c r="P85" s="32" t="str">
        <f t="shared" si="1"/>
        <v>49. Myrtaceae sp.</v>
      </c>
      <c r="R85" s="32" t="str">
        <f t="shared" si="2"/>
        <v>14. Cryosophila</v>
      </c>
    </row>
    <row r="86" ht="14.25" customHeight="1">
      <c r="A86" s="68" t="s">
        <v>116</v>
      </c>
      <c r="B86" s="68">
        <v>14.0</v>
      </c>
      <c r="C86" s="10" t="s">
        <v>1197</v>
      </c>
      <c r="G86" s="32" t="s">
        <v>352</v>
      </c>
      <c r="I86" s="32" t="s">
        <v>516</v>
      </c>
      <c r="K86" s="32" t="s">
        <v>520</v>
      </c>
      <c r="M86" s="32" t="s">
        <v>516</v>
      </c>
      <c r="N86" s="32">
        <v>50.0</v>
      </c>
      <c r="P86" s="32" t="str">
        <f t="shared" si="1"/>
        <v>50. Nyctaginaceae</v>
      </c>
      <c r="R86" s="32" t="str">
        <f t="shared" si="2"/>
        <v>14. Cyrtostachys</v>
      </c>
    </row>
    <row r="87" ht="14.25" customHeight="1">
      <c r="A87" s="68" t="s">
        <v>116</v>
      </c>
      <c r="B87" s="68">
        <v>14.0</v>
      </c>
      <c r="C87" s="10" t="s">
        <v>1227</v>
      </c>
      <c r="G87" s="32" t="s">
        <v>359</v>
      </c>
      <c r="I87" s="32" t="s">
        <v>870</v>
      </c>
      <c r="K87" s="32" t="s">
        <v>525</v>
      </c>
      <c r="M87" s="32" t="s">
        <v>870</v>
      </c>
      <c r="N87" s="32">
        <v>51.0</v>
      </c>
      <c r="P87" s="32" t="str">
        <f t="shared" si="1"/>
        <v>51. Ochnaceae</v>
      </c>
      <c r="R87" s="32" t="str">
        <f t="shared" si="2"/>
        <v>14. Dictyocaryum</v>
      </c>
    </row>
    <row r="88" ht="14.25" customHeight="1">
      <c r="A88" s="68" t="s">
        <v>116</v>
      </c>
      <c r="B88" s="68">
        <v>14.0</v>
      </c>
      <c r="C88" s="10" t="s">
        <v>1290</v>
      </c>
      <c r="G88" s="32" t="s">
        <v>386</v>
      </c>
      <c r="I88" s="32" t="s">
        <v>2055</v>
      </c>
      <c r="K88" s="32" t="s">
        <v>529</v>
      </c>
      <c r="M88" s="32" t="s">
        <v>2055</v>
      </c>
      <c r="N88" s="32">
        <v>52.0</v>
      </c>
      <c r="P88" s="32" t="str">
        <f t="shared" si="1"/>
        <v>52. Olacaceae</v>
      </c>
      <c r="R88" s="32" t="str">
        <f t="shared" si="2"/>
        <v>14. Dypsis</v>
      </c>
    </row>
    <row r="89" ht="14.25" customHeight="1">
      <c r="A89" s="68" t="s">
        <v>116</v>
      </c>
      <c r="B89" s="68">
        <v>14.0</v>
      </c>
      <c r="C89" s="10" t="s">
        <v>1304</v>
      </c>
      <c r="G89" s="32" t="s">
        <v>396</v>
      </c>
      <c r="I89" s="32" t="s">
        <v>1496</v>
      </c>
      <c r="K89" s="32" t="s">
        <v>531</v>
      </c>
      <c r="M89" s="32" t="s">
        <v>1496</v>
      </c>
      <c r="N89" s="32">
        <v>53.0</v>
      </c>
      <c r="P89" s="32" t="str">
        <f t="shared" si="1"/>
        <v>53. Oleaceae</v>
      </c>
      <c r="R89" s="32" t="str">
        <f t="shared" si="2"/>
        <v>14. Elaeis</v>
      </c>
    </row>
    <row r="90" ht="14.25" customHeight="1">
      <c r="A90" s="68" t="s">
        <v>116</v>
      </c>
      <c r="B90" s="68">
        <v>14.0</v>
      </c>
      <c r="C90" s="10" t="s">
        <v>1420</v>
      </c>
      <c r="G90" s="32" t="s">
        <v>426</v>
      </c>
      <c r="I90" s="32" t="s">
        <v>1503</v>
      </c>
      <c r="K90" s="32" t="s">
        <v>534</v>
      </c>
      <c r="M90" s="32" t="s">
        <v>1503</v>
      </c>
      <c r="N90" s="32">
        <v>54.0</v>
      </c>
      <c r="P90" s="32" t="str">
        <f t="shared" si="1"/>
        <v>54. Onagraceae</v>
      </c>
      <c r="R90" s="32" t="str">
        <f t="shared" si="2"/>
        <v>14. Euterpe</v>
      </c>
    </row>
    <row r="91" ht="14.25" customHeight="1">
      <c r="A91" s="68" t="s">
        <v>116</v>
      </c>
      <c r="B91" s="68">
        <v>14.0</v>
      </c>
      <c r="C91" s="10" t="s">
        <v>1530</v>
      </c>
      <c r="G91" s="32" t="s">
        <v>485</v>
      </c>
      <c r="I91" s="32" t="s">
        <v>1362</v>
      </c>
      <c r="K91" s="32" t="s">
        <v>537</v>
      </c>
      <c r="M91" s="32" t="s">
        <v>1362</v>
      </c>
      <c r="N91" s="32">
        <v>55.0</v>
      </c>
      <c r="P91" s="32" t="str">
        <f t="shared" si="1"/>
        <v>55. Orobanchaceae</v>
      </c>
      <c r="R91" s="32" t="str">
        <f t="shared" si="2"/>
        <v>14. Geonoma</v>
      </c>
    </row>
    <row r="92" ht="14.25" customHeight="1">
      <c r="A92" s="68" t="s">
        <v>116</v>
      </c>
      <c r="B92" s="68">
        <v>14.0</v>
      </c>
      <c r="C92" s="10" t="s">
        <v>1651</v>
      </c>
      <c r="G92" s="32" t="s">
        <v>529</v>
      </c>
      <c r="I92" s="32" t="s">
        <v>407</v>
      </c>
      <c r="K92" s="32" t="s">
        <v>540</v>
      </c>
      <c r="M92" s="32" t="s">
        <v>407</v>
      </c>
      <c r="N92" s="32">
        <v>56.0</v>
      </c>
      <c r="P92" s="32" t="str">
        <f t="shared" si="1"/>
        <v>56. Oxalidaceae</v>
      </c>
      <c r="R92" s="32" t="str">
        <f t="shared" si="2"/>
        <v>14. Howea</v>
      </c>
    </row>
    <row r="93" ht="14.25" customHeight="1">
      <c r="A93" s="68" t="s">
        <v>116</v>
      </c>
      <c r="B93" s="68">
        <v>14.0</v>
      </c>
      <c r="C93" s="10" t="s">
        <v>1665</v>
      </c>
      <c r="G93" s="32" t="s">
        <v>752</v>
      </c>
      <c r="I93" s="32" t="s">
        <v>2211</v>
      </c>
      <c r="K93" s="32" t="s">
        <v>544</v>
      </c>
      <c r="M93" s="32" t="s">
        <v>2211</v>
      </c>
      <c r="N93" s="32">
        <v>57.0</v>
      </c>
      <c r="P93" s="32" t="str">
        <f t="shared" si="1"/>
        <v>57. Pandanaceae</v>
      </c>
      <c r="R93" s="32" t="str">
        <f t="shared" si="2"/>
        <v>14. Hyophorbe</v>
      </c>
    </row>
    <row r="94" ht="14.25" customHeight="1">
      <c r="A94" s="68" t="s">
        <v>116</v>
      </c>
      <c r="B94" s="68">
        <v>14.0</v>
      </c>
      <c r="C94" s="10" t="s">
        <v>1703</v>
      </c>
      <c r="G94" s="32" t="s">
        <v>866</v>
      </c>
      <c r="I94" s="32" t="s">
        <v>498</v>
      </c>
      <c r="K94" s="32" t="s">
        <v>555</v>
      </c>
      <c r="M94" s="32" t="s">
        <v>498</v>
      </c>
      <c r="N94" s="32">
        <v>58.0</v>
      </c>
      <c r="P94" s="32" t="str">
        <f t="shared" si="1"/>
        <v>58. Papaveraceae</v>
      </c>
      <c r="R94" s="32" t="str">
        <f t="shared" si="2"/>
        <v>14. Iriartea</v>
      </c>
    </row>
    <row r="95" ht="14.25" customHeight="1">
      <c r="A95" s="68" t="s">
        <v>116</v>
      </c>
      <c r="B95" s="68">
        <v>14.0</v>
      </c>
      <c r="C95" s="10" t="s">
        <v>1778</v>
      </c>
      <c r="G95" s="32" t="s">
        <v>886</v>
      </c>
      <c r="I95" s="32" t="s">
        <v>6264</v>
      </c>
      <c r="K95" s="32" t="s">
        <v>558</v>
      </c>
      <c r="M95" s="32" t="s">
        <v>6264</v>
      </c>
      <c r="N95" s="32">
        <v>58.0</v>
      </c>
      <c r="P95" s="32" t="str">
        <f t="shared" si="1"/>
        <v>58. Papaveraceae sp.</v>
      </c>
      <c r="R95" s="32" t="str">
        <f t="shared" si="2"/>
        <v>14. Laccospadix</v>
      </c>
    </row>
    <row r="96" ht="14.25" customHeight="1">
      <c r="A96" s="68" t="s">
        <v>116</v>
      </c>
      <c r="B96" s="68">
        <v>14.0</v>
      </c>
      <c r="C96" s="10" t="s">
        <v>1813</v>
      </c>
      <c r="G96" s="32" t="s">
        <v>899</v>
      </c>
      <c r="I96" s="32" t="s">
        <v>2226</v>
      </c>
      <c r="K96" s="32" t="s">
        <v>3153</v>
      </c>
      <c r="M96" s="32" t="s">
        <v>2226</v>
      </c>
      <c r="N96" s="32">
        <v>59.0</v>
      </c>
      <c r="P96" s="32" t="str">
        <f t="shared" si="1"/>
        <v>59. Passifloraceae</v>
      </c>
      <c r="R96" s="32" t="str">
        <f t="shared" si="2"/>
        <v>14. Latania</v>
      </c>
    </row>
    <row r="97" ht="14.25" customHeight="1">
      <c r="A97" s="68" t="s">
        <v>116</v>
      </c>
      <c r="B97" s="68">
        <v>14.0</v>
      </c>
      <c r="C97" s="10" t="s">
        <v>1855</v>
      </c>
      <c r="G97" s="32" t="s">
        <v>902</v>
      </c>
      <c r="I97" s="32" t="s">
        <v>2231</v>
      </c>
      <c r="K97" s="32" t="s">
        <v>563</v>
      </c>
      <c r="M97" s="32" t="s">
        <v>2231</v>
      </c>
      <c r="N97" s="32">
        <v>60.0</v>
      </c>
      <c r="P97" s="32" t="str">
        <f t="shared" si="1"/>
        <v>60. Paulowniaceae</v>
      </c>
      <c r="R97" s="32" t="str">
        <f t="shared" si="2"/>
        <v>14. Licuala</v>
      </c>
    </row>
    <row r="98" ht="14.25" customHeight="1">
      <c r="A98" s="68" t="s">
        <v>116</v>
      </c>
      <c r="B98" s="68">
        <v>14.0</v>
      </c>
      <c r="C98" s="10" t="s">
        <v>1882</v>
      </c>
      <c r="G98" s="32" t="s">
        <v>1023</v>
      </c>
      <c r="I98" s="32" t="s">
        <v>3547</v>
      </c>
      <c r="K98" s="32" t="s">
        <v>585</v>
      </c>
      <c r="M98" s="32" t="s">
        <v>3547</v>
      </c>
      <c r="N98" s="32">
        <v>61.0</v>
      </c>
      <c r="P98" s="32" t="str">
        <f t="shared" si="1"/>
        <v>61. Pentaphylacaceae</v>
      </c>
      <c r="R98" s="32" t="str">
        <f t="shared" si="2"/>
        <v>14. Livistona</v>
      </c>
    </row>
    <row r="99" ht="14.25" customHeight="1">
      <c r="A99" s="68" t="s">
        <v>116</v>
      </c>
      <c r="B99" s="68">
        <v>14.0</v>
      </c>
      <c r="C99" s="10" t="s">
        <v>1900</v>
      </c>
      <c r="G99" s="32" t="s">
        <v>1031</v>
      </c>
      <c r="I99" s="32" t="s">
        <v>2253</v>
      </c>
      <c r="K99" s="32" t="s">
        <v>589</v>
      </c>
      <c r="M99" s="32" t="s">
        <v>2253</v>
      </c>
      <c r="N99" s="32">
        <v>62.0</v>
      </c>
      <c r="P99" s="32" t="str">
        <f t="shared" si="1"/>
        <v>62. Peraceae</v>
      </c>
      <c r="R99" s="32" t="str">
        <f t="shared" si="2"/>
        <v>14. Lytocaryum</v>
      </c>
    </row>
    <row r="100" ht="14.25" customHeight="1">
      <c r="A100" s="68" t="s">
        <v>116</v>
      </c>
      <c r="B100" s="68">
        <v>14.0</v>
      </c>
      <c r="C100" s="10" t="s">
        <v>2137</v>
      </c>
      <c r="G100" s="32" t="s">
        <v>1136</v>
      </c>
      <c r="I100" s="32" t="s">
        <v>2276</v>
      </c>
      <c r="K100" s="32" t="s">
        <v>597</v>
      </c>
      <c r="M100" s="32" t="s">
        <v>2276</v>
      </c>
      <c r="N100" s="32">
        <v>63.0</v>
      </c>
      <c r="P100" s="32" t="str">
        <f t="shared" si="1"/>
        <v>63. Petiveriaceae</v>
      </c>
      <c r="R100" s="32" t="str">
        <f t="shared" si="2"/>
        <v>14. Normanbya</v>
      </c>
    </row>
    <row r="101" ht="14.25" customHeight="1">
      <c r="A101" s="68" t="s">
        <v>116</v>
      </c>
      <c r="B101" s="68">
        <v>14.0</v>
      </c>
      <c r="C101" s="10" t="s">
        <v>2163</v>
      </c>
      <c r="G101" s="32" t="s">
        <v>1197</v>
      </c>
      <c r="I101" s="32" t="s">
        <v>480</v>
      </c>
      <c r="K101" s="32" t="s">
        <v>603</v>
      </c>
      <c r="M101" s="32" t="s">
        <v>480</v>
      </c>
      <c r="N101" s="32">
        <v>64.0</v>
      </c>
      <c r="P101" s="32" t="str">
        <f t="shared" si="1"/>
        <v>64. Phyllanthaceae</v>
      </c>
      <c r="R101" s="32" t="str">
        <f t="shared" si="2"/>
        <v>14. Oenocarpus</v>
      </c>
    </row>
    <row r="102" ht="14.25" customHeight="1">
      <c r="A102" s="68" t="s">
        <v>116</v>
      </c>
      <c r="B102" s="68">
        <v>14.0</v>
      </c>
      <c r="C102" s="10" t="s">
        <v>2169</v>
      </c>
      <c r="G102" s="32" t="s">
        <v>1227</v>
      </c>
      <c r="I102" s="32" t="s">
        <v>2318</v>
      </c>
      <c r="K102" s="32" t="s">
        <v>611</v>
      </c>
      <c r="M102" s="32" t="s">
        <v>2318</v>
      </c>
      <c r="N102" s="32">
        <v>65.0</v>
      </c>
      <c r="P102" s="32" t="str">
        <f t="shared" si="1"/>
        <v>65. Phytolaccaceae</v>
      </c>
      <c r="R102" s="32" t="str">
        <f t="shared" si="2"/>
        <v>14. Orania</v>
      </c>
    </row>
    <row r="103" ht="14.25" customHeight="1">
      <c r="A103" s="68" t="s">
        <v>116</v>
      </c>
      <c r="B103" s="68">
        <v>14.0</v>
      </c>
      <c r="C103" s="10" t="s">
        <v>117</v>
      </c>
      <c r="G103" s="32" t="s">
        <v>1290</v>
      </c>
      <c r="I103" s="32" t="s">
        <v>2327</v>
      </c>
      <c r="K103" s="32" t="s">
        <v>615</v>
      </c>
      <c r="M103" s="32" t="s">
        <v>2327</v>
      </c>
      <c r="N103" s="32">
        <v>66.0</v>
      </c>
      <c r="P103" s="32" t="str">
        <f t="shared" si="1"/>
        <v>66. Pinaceae</v>
      </c>
      <c r="R103" s="32" t="str">
        <f t="shared" si="2"/>
        <v>14. Palma</v>
      </c>
    </row>
    <row r="104" ht="14.25" customHeight="1">
      <c r="A104" s="68" t="s">
        <v>116</v>
      </c>
      <c r="B104" s="68">
        <v>14.0</v>
      </c>
      <c r="C104" s="10" t="s">
        <v>2291</v>
      </c>
      <c r="G104" s="32" t="s">
        <v>1304</v>
      </c>
      <c r="I104" s="32" t="s">
        <v>2337</v>
      </c>
      <c r="K104" s="32" t="s">
        <v>631</v>
      </c>
      <c r="M104" s="32" t="s">
        <v>2337</v>
      </c>
      <c r="N104" s="32">
        <v>67.0</v>
      </c>
      <c r="P104" s="32" t="str">
        <f t="shared" si="1"/>
        <v>67. Piperaceae</v>
      </c>
      <c r="R104" s="32" t="str">
        <f t="shared" si="2"/>
        <v>14. Phoenix</v>
      </c>
    </row>
    <row r="105" ht="14.25" customHeight="1">
      <c r="A105" s="68" t="s">
        <v>116</v>
      </c>
      <c r="B105" s="68">
        <v>14.0</v>
      </c>
      <c r="C105" s="10" t="s">
        <v>2313</v>
      </c>
      <c r="G105" s="32" t="s">
        <v>1420</v>
      </c>
      <c r="I105" s="32" t="s">
        <v>2356</v>
      </c>
      <c r="K105" s="32" t="s">
        <v>640</v>
      </c>
      <c r="M105" s="32" t="s">
        <v>2356</v>
      </c>
      <c r="N105" s="32">
        <v>68.0</v>
      </c>
      <c r="P105" s="32" t="str">
        <f t="shared" si="1"/>
        <v>68. Pittosporaceae</v>
      </c>
      <c r="R105" s="32" t="str">
        <f t="shared" si="2"/>
        <v>14. Phytelephas</v>
      </c>
    </row>
    <row r="106" ht="14.25" customHeight="1">
      <c r="A106" s="68" t="s">
        <v>116</v>
      </c>
      <c r="B106" s="68">
        <v>14.0</v>
      </c>
      <c r="C106" s="10" t="s">
        <v>2468</v>
      </c>
      <c r="G106" s="32" t="s">
        <v>1530</v>
      </c>
      <c r="I106" s="32" t="s">
        <v>2386</v>
      </c>
      <c r="K106" s="32" t="s">
        <v>644</v>
      </c>
      <c r="M106" s="32" t="s">
        <v>2386</v>
      </c>
      <c r="N106" s="32">
        <v>69.0</v>
      </c>
      <c r="P106" s="32" t="str">
        <f t="shared" si="1"/>
        <v>69. Plumbaginaceae</v>
      </c>
      <c r="R106" s="32" t="str">
        <f t="shared" si="2"/>
        <v>14. Prestoea</v>
      </c>
    </row>
    <row r="107" ht="14.25" customHeight="1">
      <c r="A107" s="68" t="s">
        <v>116</v>
      </c>
      <c r="B107" s="68">
        <v>14.0</v>
      </c>
      <c r="C107" s="10" t="s">
        <v>2476</v>
      </c>
      <c r="G107" s="32" t="s">
        <v>1651</v>
      </c>
      <c r="I107" s="32" t="s">
        <v>431</v>
      </c>
      <c r="K107" s="32" t="s">
        <v>664</v>
      </c>
      <c r="M107" s="32" t="s">
        <v>431</v>
      </c>
      <c r="N107" s="32">
        <v>70.0</v>
      </c>
      <c r="P107" s="32" t="str">
        <f t="shared" si="1"/>
        <v>70. Poaceae</v>
      </c>
      <c r="R107" s="32" t="str">
        <f t="shared" si="2"/>
        <v>14. Pritchardia</v>
      </c>
    </row>
    <row r="108" ht="14.25" customHeight="1">
      <c r="A108" s="68" t="s">
        <v>116</v>
      </c>
      <c r="B108" s="68">
        <v>14.0</v>
      </c>
      <c r="C108" s="10" t="s">
        <v>2524</v>
      </c>
      <c r="G108" s="32" t="s">
        <v>1665</v>
      </c>
      <c r="I108" s="32" t="s">
        <v>2400</v>
      </c>
      <c r="K108" s="32" t="s">
        <v>6265</v>
      </c>
      <c r="M108" s="32" t="s">
        <v>2400</v>
      </c>
      <c r="N108" s="32">
        <v>71.0</v>
      </c>
      <c r="P108" s="32" t="str">
        <f t="shared" si="1"/>
        <v>71. Podocarpaceae</v>
      </c>
      <c r="R108" s="32" t="str">
        <f t="shared" si="2"/>
        <v>14. Ptychosperma</v>
      </c>
    </row>
    <row r="109" ht="14.25" customHeight="1">
      <c r="A109" s="68" t="s">
        <v>116</v>
      </c>
      <c r="B109" s="68">
        <v>14.0</v>
      </c>
      <c r="C109" s="10" t="s">
        <v>2556</v>
      </c>
      <c r="G109" s="32" t="s">
        <v>1703</v>
      </c>
      <c r="I109" s="32" t="s">
        <v>3235</v>
      </c>
      <c r="K109" s="32" t="s">
        <v>678</v>
      </c>
      <c r="M109" s="32" t="s">
        <v>3235</v>
      </c>
      <c r="N109" s="32">
        <v>72.0</v>
      </c>
      <c r="P109" s="32" t="str">
        <f t="shared" si="1"/>
        <v>72. Polygalaceae</v>
      </c>
      <c r="R109" s="32" t="str">
        <f t="shared" si="2"/>
        <v>14. Ravenea</v>
      </c>
    </row>
    <row r="110" ht="14.25" customHeight="1">
      <c r="A110" s="68" t="s">
        <v>116</v>
      </c>
      <c r="B110" s="68">
        <v>14.0</v>
      </c>
      <c r="C110" s="10" t="s">
        <v>2562</v>
      </c>
      <c r="G110" s="32" t="s">
        <v>1778</v>
      </c>
      <c r="I110" s="32" t="s">
        <v>1015</v>
      </c>
      <c r="K110" s="32" t="s">
        <v>682</v>
      </c>
      <c r="M110" s="32" t="s">
        <v>1015</v>
      </c>
      <c r="N110" s="32">
        <v>73.0</v>
      </c>
      <c r="P110" s="32" t="str">
        <f t="shared" si="1"/>
        <v>73. Polygonaceae</v>
      </c>
      <c r="R110" s="32" t="str">
        <f t="shared" si="2"/>
        <v>14. Rhapis</v>
      </c>
    </row>
    <row r="111" ht="14.25" customHeight="1">
      <c r="A111" s="68" t="s">
        <v>116</v>
      </c>
      <c r="B111" s="68">
        <v>14.0</v>
      </c>
      <c r="C111" s="10" t="s">
        <v>2571</v>
      </c>
      <c r="G111" s="32" t="s">
        <v>1813</v>
      </c>
      <c r="I111" s="32" t="s">
        <v>132</v>
      </c>
      <c r="K111" s="32" t="s">
        <v>694</v>
      </c>
      <c r="M111" s="32" t="s">
        <v>132</v>
      </c>
      <c r="N111" s="32">
        <v>74.0</v>
      </c>
      <c r="P111" s="32" t="str">
        <f t="shared" si="1"/>
        <v>74. Primulaceae</v>
      </c>
      <c r="R111" s="32" t="str">
        <f t="shared" si="2"/>
        <v>14. Rhopalostylis</v>
      </c>
    </row>
    <row r="112" ht="14.25" customHeight="1">
      <c r="A112" s="68" t="s">
        <v>116</v>
      </c>
      <c r="B112" s="68">
        <v>14.0</v>
      </c>
      <c r="C112" s="10" t="s">
        <v>2595</v>
      </c>
      <c r="G112" s="32" t="s">
        <v>1855</v>
      </c>
      <c r="I112" s="32" t="s">
        <v>1549</v>
      </c>
      <c r="K112" s="32" t="s">
        <v>697</v>
      </c>
      <c r="M112" s="32" t="s">
        <v>1549</v>
      </c>
      <c r="N112" s="32">
        <v>75.0</v>
      </c>
      <c r="P112" s="32" t="str">
        <f t="shared" si="1"/>
        <v>75. Proteaceae</v>
      </c>
      <c r="R112" s="32" t="str">
        <f t="shared" si="2"/>
        <v>14. Roystonea</v>
      </c>
    </row>
    <row r="113" ht="14.25" customHeight="1">
      <c r="A113" s="68" t="s">
        <v>116</v>
      </c>
      <c r="B113" s="68">
        <v>14.0</v>
      </c>
      <c r="C113" s="10" t="s">
        <v>2607</v>
      </c>
      <c r="G113" s="32" t="s">
        <v>1882</v>
      </c>
      <c r="I113" s="32" t="s">
        <v>2548</v>
      </c>
      <c r="K113" s="32" t="s">
        <v>699</v>
      </c>
      <c r="M113" s="32" t="s">
        <v>2548</v>
      </c>
      <c r="N113" s="32">
        <v>76.0</v>
      </c>
      <c r="P113" s="32" t="str">
        <f t="shared" si="1"/>
        <v>76. Quillajaceae</v>
      </c>
      <c r="R113" s="32" t="str">
        <f t="shared" si="2"/>
        <v>14. Sabal</v>
      </c>
    </row>
    <row r="114" ht="14.25" customHeight="1">
      <c r="A114" s="68" t="s">
        <v>116</v>
      </c>
      <c r="B114" s="68">
        <v>14.0</v>
      </c>
      <c r="C114" s="10" t="s">
        <v>2614</v>
      </c>
      <c r="G114" s="32" t="s">
        <v>1900</v>
      </c>
      <c r="I114" s="32" t="s">
        <v>1045</v>
      </c>
      <c r="K114" s="32" t="s">
        <v>704</v>
      </c>
      <c r="M114" s="32" t="s">
        <v>1045</v>
      </c>
      <c r="N114" s="32">
        <v>77.0</v>
      </c>
      <c r="P114" s="32" t="str">
        <f t="shared" si="1"/>
        <v>77. Rhamnaceae</v>
      </c>
      <c r="R114" s="32" t="str">
        <f t="shared" si="2"/>
        <v>14. Salacca</v>
      </c>
    </row>
    <row r="115" ht="14.25" customHeight="1">
      <c r="A115" s="68" t="s">
        <v>116</v>
      </c>
      <c r="B115" s="68">
        <v>14.0</v>
      </c>
      <c r="C115" s="10" t="s">
        <v>2707</v>
      </c>
      <c r="G115" s="32" t="s">
        <v>2137</v>
      </c>
      <c r="I115" s="32" t="s">
        <v>1105</v>
      </c>
      <c r="K115" s="32" t="s">
        <v>707</v>
      </c>
      <c r="M115" s="32" t="s">
        <v>1105</v>
      </c>
      <c r="N115" s="32">
        <v>78.0</v>
      </c>
      <c r="P115" s="32" t="str">
        <f t="shared" si="1"/>
        <v>78. Rosaceae</v>
      </c>
      <c r="R115" s="32" t="str">
        <f t="shared" si="2"/>
        <v>14. Socratea</v>
      </c>
    </row>
    <row r="116" ht="14.25" customHeight="1">
      <c r="A116" s="68" t="s">
        <v>116</v>
      </c>
      <c r="B116" s="68">
        <v>14.0</v>
      </c>
      <c r="C116" s="10" t="s">
        <v>2793</v>
      </c>
      <c r="G116" s="32" t="s">
        <v>2163</v>
      </c>
      <c r="I116" s="32" t="s">
        <v>6266</v>
      </c>
      <c r="K116" s="32" t="s">
        <v>714</v>
      </c>
      <c r="M116" s="32" t="s">
        <v>6266</v>
      </c>
      <c r="N116" s="32">
        <v>78.0</v>
      </c>
      <c r="P116" s="32" t="str">
        <f t="shared" si="1"/>
        <v>78. Rosaceae sp.</v>
      </c>
      <c r="R116" s="32" t="str">
        <f t="shared" si="2"/>
        <v>14. Syagrus</v>
      </c>
    </row>
    <row r="117" ht="14.25" customHeight="1">
      <c r="A117" s="68" t="s">
        <v>116</v>
      </c>
      <c r="B117" s="68">
        <v>14.0</v>
      </c>
      <c r="C117" s="10" t="s">
        <v>2911</v>
      </c>
      <c r="G117" s="32" t="s">
        <v>2169</v>
      </c>
      <c r="I117" s="32" t="s">
        <v>310</v>
      </c>
      <c r="K117" s="32" t="s">
        <v>718</v>
      </c>
      <c r="M117" s="32" t="s">
        <v>310</v>
      </c>
      <c r="N117" s="32">
        <v>79.0</v>
      </c>
      <c r="P117" s="32" t="str">
        <f t="shared" si="1"/>
        <v>79. Rubiaceae</v>
      </c>
      <c r="R117" s="32" t="str">
        <f t="shared" si="2"/>
        <v>14. Thrinax</v>
      </c>
    </row>
    <row r="118" ht="14.25" customHeight="1">
      <c r="A118" s="68" t="s">
        <v>116</v>
      </c>
      <c r="B118" s="68">
        <v>14.0</v>
      </c>
      <c r="C118" s="10" t="s">
        <v>2941</v>
      </c>
      <c r="G118" s="32" t="s">
        <v>117</v>
      </c>
      <c r="I118" s="32" t="s">
        <v>769</v>
      </c>
      <c r="K118" s="32" t="s">
        <v>722</v>
      </c>
      <c r="M118" s="32" t="s">
        <v>769</v>
      </c>
      <c r="N118" s="32">
        <v>80.0</v>
      </c>
      <c r="P118" s="32" t="str">
        <f t="shared" si="1"/>
        <v>80. Rutaceae</v>
      </c>
      <c r="R118" s="32" t="str">
        <f t="shared" si="2"/>
        <v>14. Trachycarpus</v>
      </c>
    </row>
    <row r="119" ht="14.25" customHeight="1">
      <c r="A119" s="68" t="s">
        <v>116</v>
      </c>
      <c r="B119" s="68">
        <v>14.0</v>
      </c>
      <c r="C119" s="10" t="s">
        <v>2978</v>
      </c>
      <c r="G119" s="32" t="s">
        <v>2291</v>
      </c>
      <c r="I119" s="32" t="s">
        <v>1997</v>
      </c>
      <c r="K119" s="32" t="s">
        <v>729</v>
      </c>
      <c r="M119" s="32" t="s">
        <v>1997</v>
      </c>
      <c r="N119" s="32">
        <v>81.0</v>
      </c>
      <c r="P119" s="32" t="str">
        <f t="shared" si="1"/>
        <v>81. Sabiaceae</v>
      </c>
      <c r="R119" s="32" t="str">
        <f t="shared" si="2"/>
        <v>14. Trithrinax</v>
      </c>
    </row>
    <row r="120" ht="14.25" customHeight="1">
      <c r="A120" s="68" t="s">
        <v>116</v>
      </c>
      <c r="B120" s="68">
        <v>14.0</v>
      </c>
      <c r="C120" s="10" t="s">
        <v>3057</v>
      </c>
      <c r="G120" s="32" t="s">
        <v>2313</v>
      </c>
      <c r="I120" s="32" t="s">
        <v>762</v>
      </c>
      <c r="K120" s="32" t="s">
        <v>732</v>
      </c>
      <c r="M120" s="32" t="s">
        <v>762</v>
      </c>
      <c r="N120" s="32">
        <v>82.0</v>
      </c>
      <c r="P120" s="32" t="str">
        <f t="shared" si="1"/>
        <v>82. Salicaceae</v>
      </c>
      <c r="R120" s="32" t="str">
        <f t="shared" si="2"/>
        <v>14. Washingtonia</v>
      </c>
    </row>
    <row r="121" ht="14.25" customHeight="1">
      <c r="A121" s="68" t="s">
        <v>116</v>
      </c>
      <c r="B121" s="68">
        <v>14.0</v>
      </c>
      <c r="C121" s="10" t="s">
        <v>3068</v>
      </c>
      <c r="G121" s="32" t="s">
        <v>2468</v>
      </c>
      <c r="I121" s="32" t="s">
        <v>3032</v>
      </c>
      <c r="K121" s="32" t="s">
        <v>736</v>
      </c>
      <c r="M121" s="32" t="s">
        <v>3032</v>
      </c>
      <c r="N121" s="32">
        <v>83.0</v>
      </c>
      <c r="P121" s="32" t="str">
        <f t="shared" si="1"/>
        <v>83. Santalaceae</v>
      </c>
      <c r="R121" s="32" t="str">
        <f t="shared" si="2"/>
        <v>14. Welfia</v>
      </c>
    </row>
    <row r="122" ht="14.25" customHeight="1">
      <c r="A122" s="68" t="s">
        <v>116</v>
      </c>
      <c r="B122" s="68">
        <v>14.0</v>
      </c>
      <c r="C122" s="10" t="s">
        <v>3071</v>
      </c>
      <c r="G122" s="32" t="s">
        <v>2476</v>
      </c>
      <c r="I122" s="32" t="s">
        <v>214</v>
      </c>
      <c r="K122" s="32" t="s">
        <v>739</v>
      </c>
      <c r="M122" s="32" t="s">
        <v>214</v>
      </c>
      <c r="N122" s="32">
        <v>84.0</v>
      </c>
      <c r="P122" s="32" t="str">
        <f t="shared" si="1"/>
        <v>84. Sapindaceae</v>
      </c>
      <c r="R122" s="32" t="str">
        <f t="shared" si="2"/>
        <v>14. Wettinia</v>
      </c>
    </row>
    <row r="123" ht="14.25" customHeight="1">
      <c r="A123" s="68" t="s">
        <v>116</v>
      </c>
      <c r="B123" s="68">
        <v>14.0</v>
      </c>
      <c r="C123" s="10" t="s">
        <v>3076</v>
      </c>
      <c r="G123" s="32" t="s">
        <v>2524</v>
      </c>
      <c r="I123" s="32" t="s">
        <v>918</v>
      </c>
      <c r="K123" s="32" t="s">
        <v>743</v>
      </c>
      <c r="M123" s="32" t="s">
        <v>918</v>
      </c>
      <c r="N123" s="32">
        <v>85.0</v>
      </c>
      <c r="P123" s="32" t="str">
        <f t="shared" si="1"/>
        <v>85. Sapotaceae</v>
      </c>
      <c r="R123" s="32" t="str">
        <f t="shared" si="2"/>
        <v>14. Wittmackanthus</v>
      </c>
    </row>
    <row r="124" ht="14.25" customHeight="1">
      <c r="A124" s="68" t="s">
        <v>116</v>
      </c>
      <c r="B124" s="68">
        <v>14.0</v>
      </c>
      <c r="C124" s="10" t="s">
        <v>3079</v>
      </c>
      <c r="G124" s="32" t="s">
        <v>2556</v>
      </c>
      <c r="I124" s="32" t="s">
        <v>6267</v>
      </c>
      <c r="K124" s="32" t="s">
        <v>746</v>
      </c>
      <c r="M124" s="32" t="s">
        <v>6267</v>
      </c>
      <c r="N124" s="32">
        <v>85.0</v>
      </c>
      <c r="P124" s="32" t="str">
        <f t="shared" si="1"/>
        <v>85. Sapotaceae sp.</v>
      </c>
      <c r="R124" s="32" t="str">
        <f t="shared" si="2"/>
        <v>14. Wodyetia</v>
      </c>
    </row>
    <row r="125" ht="14.25" customHeight="1">
      <c r="A125" s="68" t="s">
        <v>148</v>
      </c>
      <c r="B125" s="68">
        <v>15.0</v>
      </c>
      <c r="C125" s="10" t="s">
        <v>150</v>
      </c>
      <c r="G125" s="32" t="s">
        <v>2562</v>
      </c>
      <c r="I125" s="32" t="s">
        <v>584</v>
      </c>
      <c r="K125" s="32" t="s">
        <v>749</v>
      </c>
      <c r="M125" s="32" t="s">
        <v>584</v>
      </c>
      <c r="N125" s="32">
        <v>86.0</v>
      </c>
      <c r="P125" s="32" t="str">
        <f t="shared" si="1"/>
        <v>86. Scrophulariaceae</v>
      </c>
      <c r="R125" s="32" t="str">
        <f t="shared" si="2"/>
        <v>15. Agave</v>
      </c>
    </row>
    <row r="126" ht="14.25" customHeight="1">
      <c r="A126" s="68" t="s">
        <v>148</v>
      </c>
      <c r="B126" s="68">
        <v>15.0</v>
      </c>
      <c r="C126" s="10" t="s">
        <v>378</v>
      </c>
      <c r="G126" s="32" t="s">
        <v>2571</v>
      </c>
      <c r="I126" s="32" t="s">
        <v>2696</v>
      </c>
      <c r="K126" s="32" t="s">
        <v>752</v>
      </c>
      <c r="M126" s="32" t="s">
        <v>2696</v>
      </c>
      <c r="N126" s="32">
        <v>87.0</v>
      </c>
      <c r="P126" s="32" t="str">
        <f t="shared" si="1"/>
        <v>87. Simaroubaceae</v>
      </c>
      <c r="R126" s="32" t="str">
        <f t="shared" si="2"/>
        <v>15. Asparagus</v>
      </c>
    </row>
    <row r="127" ht="14.25" customHeight="1">
      <c r="A127" s="68" t="s">
        <v>148</v>
      </c>
      <c r="B127" s="68">
        <v>15.0</v>
      </c>
      <c r="C127" s="10" t="s">
        <v>461</v>
      </c>
      <c r="G127" s="32" t="s">
        <v>2595</v>
      </c>
      <c r="I127" s="32" t="s">
        <v>2700</v>
      </c>
      <c r="K127" s="32" t="s">
        <v>759</v>
      </c>
      <c r="M127" s="32" t="s">
        <v>2700</v>
      </c>
      <c r="N127" s="32">
        <v>88.0</v>
      </c>
      <c r="P127" s="32" t="str">
        <f t="shared" si="1"/>
        <v>88. Siparunaceae</v>
      </c>
      <c r="R127" s="32" t="str">
        <f t="shared" si="2"/>
        <v>15. Beaucarnea</v>
      </c>
    </row>
    <row r="128" ht="14.25" customHeight="1">
      <c r="A128" s="68" t="s">
        <v>148</v>
      </c>
      <c r="B128" s="68">
        <v>15.0</v>
      </c>
      <c r="C128" s="10" t="s">
        <v>1083</v>
      </c>
      <c r="G128" s="32" t="s">
        <v>2607</v>
      </c>
      <c r="I128" s="32" t="s">
        <v>103</v>
      </c>
      <c r="K128" s="32" t="s">
        <v>763</v>
      </c>
      <c r="M128" s="32" t="s">
        <v>103</v>
      </c>
      <c r="N128" s="32">
        <v>89.0</v>
      </c>
      <c r="P128" s="32" t="str">
        <f t="shared" si="1"/>
        <v>89. Solanaceae</v>
      </c>
      <c r="R128" s="32" t="str">
        <f t="shared" si="2"/>
        <v>15. Cordyline</v>
      </c>
    </row>
    <row r="129" ht="14.25" customHeight="1">
      <c r="A129" s="68" t="s">
        <v>148</v>
      </c>
      <c r="B129" s="68">
        <v>15.0</v>
      </c>
      <c r="C129" s="10" t="s">
        <v>1263</v>
      </c>
      <c r="G129" s="32" t="s">
        <v>2614</v>
      </c>
      <c r="I129" s="32" t="s">
        <v>6268</v>
      </c>
      <c r="K129" s="32" t="s">
        <v>770</v>
      </c>
      <c r="M129" s="32" t="s">
        <v>6268</v>
      </c>
      <c r="N129" s="32">
        <v>89.0</v>
      </c>
      <c r="P129" s="32" t="str">
        <f t="shared" si="1"/>
        <v>89. Solanaceae sp.</v>
      </c>
      <c r="R129" s="32" t="str">
        <f t="shared" si="2"/>
        <v>15. Dracaena</v>
      </c>
    </row>
    <row r="130" ht="14.25" customHeight="1">
      <c r="A130" s="68" t="s">
        <v>148</v>
      </c>
      <c r="B130" s="68">
        <v>15.0</v>
      </c>
      <c r="C130" s="10" t="s">
        <v>498</v>
      </c>
      <c r="G130" s="32" t="s">
        <v>2707</v>
      </c>
      <c r="I130" s="32" t="s">
        <v>3276</v>
      </c>
      <c r="K130" s="32" t="s">
        <v>775</v>
      </c>
      <c r="M130" s="32" t="s">
        <v>3276</v>
      </c>
      <c r="N130" s="32">
        <v>90.0</v>
      </c>
      <c r="P130" s="32" t="str">
        <f t="shared" si="1"/>
        <v>90. Staphyleaceae</v>
      </c>
      <c r="R130" s="32" t="str">
        <f t="shared" si="2"/>
        <v>15. Papaveraceae</v>
      </c>
    </row>
    <row r="131" ht="14.25" customHeight="1">
      <c r="A131" s="68" t="s">
        <v>148</v>
      </c>
      <c r="B131" s="68">
        <v>15.0</v>
      </c>
      <c r="C131" s="10" t="s">
        <v>2400</v>
      </c>
      <c r="G131" s="32" t="s">
        <v>2793</v>
      </c>
      <c r="I131" s="32" t="s">
        <v>2552</v>
      </c>
      <c r="K131" s="32" t="s">
        <v>785</v>
      </c>
      <c r="M131" s="32" t="s">
        <v>2552</v>
      </c>
      <c r="N131" s="32">
        <v>91.0</v>
      </c>
      <c r="P131" s="32" t="str">
        <f t="shared" si="1"/>
        <v>91. Strelitziaceae</v>
      </c>
      <c r="R131" s="32" t="str">
        <f t="shared" si="2"/>
        <v>15. Podocarpaceae</v>
      </c>
    </row>
    <row r="132" ht="14.25" customHeight="1">
      <c r="A132" s="68" t="s">
        <v>148</v>
      </c>
      <c r="B132" s="68">
        <v>15.0</v>
      </c>
      <c r="C132" s="10" t="s">
        <v>3085</v>
      </c>
      <c r="G132" s="32" t="s">
        <v>2911</v>
      </c>
      <c r="I132" s="32" t="s">
        <v>700</v>
      </c>
      <c r="K132" s="32" t="s">
        <v>789</v>
      </c>
      <c r="M132" s="32" t="s">
        <v>700</v>
      </c>
      <c r="N132" s="32">
        <v>92.0</v>
      </c>
      <c r="P132" s="32" t="str">
        <f t="shared" si="1"/>
        <v>92. Theaceae</v>
      </c>
      <c r="R132" s="32" t="str">
        <f t="shared" si="2"/>
        <v>15. Yucca</v>
      </c>
    </row>
    <row r="133" ht="14.25" customHeight="1">
      <c r="A133" s="68" t="s">
        <v>223</v>
      </c>
      <c r="B133" s="68">
        <v>16.0</v>
      </c>
      <c r="C133" s="10" t="s">
        <v>224</v>
      </c>
      <c r="G133" s="32" t="s">
        <v>2941</v>
      </c>
      <c r="I133" s="32" t="s">
        <v>3176</v>
      </c>
      <c r="K133" s="32" t="s">
        <v>793</v>
      </c>
      <c r="M133" s="32" t="s">
        <v>3176</v>
      </c>
      <c r="N133" s="32">
        <v>93.0</v>
      </c>
      <c r="P133" s="32" t="str">
        <f t="shared" si="1"/>
        <v>93. Thymelaeaceae</v>
      </c>
      <c r="R133" s="32" t="str">
        <f t="shared" si="2"/>
        <v>16. Aloe</v>
      </c>
    </row>
    <row r="134" ht="14.25" customHeight="1">
      <c r="A134" s="68" t="s">
        <v>362</v>
      </c>
      <c r="B134" s="68">
        <v>17.0</v>
      </c>
      <c r="C134" s="10" t="s">
        <v>361</v>
      </c>
      <c r="G134" s="32" t="s">
        <v>2978</v>
      </c>
      <c r="I134" s="32" t="s">
        <v>2984</v>
      </c>
      <c r="K134" s="32" t="s">
        <v>798</v>
      </c>
      <c r="M134" s="32" t="s">
        <v>2984</v>
      </c>
      <c r="N134" s="32">
        <v>94.0</v>
      </c>
      <c r="P134" s="32" t="str">
        <f t="shared" si="1"/>
        <v>94. Ulmaceae</v>
      </c>
      <c r="R134" s="32" t="str">
        <f t="shared" si="2"/>
        <v>17. Artemisia</v>
      </c>
    </row>
    <row r="135" ht="14.25" customHeight="1">
      <c r="A135" s="68" t="s">
        <v>362</v>
      </c>
      <c r="B135" s="68">
        <v>17.0</v>
      </c>
      <c r="C135" s="10" t="s">
        <v>362</v>
      </c>
      <c r="G135" s="32" t="s">
        <v>3057</v>
      </c>
      <c r="I135" s="32" t="s">
        <v>502</v>
      </c>
      <c r="K135" s="32" t="s">
        <v>804</v>
      </c>
      <c r="M135" s="32" t="s">
        <v>502</v>
      </c>
      <c r="N135" s="32">
        <v>95.0</v>
      </c>
      <c r="P135" s="32" t="str">
        <f t="shared" si="1"/>
        <v>95. Urticaceae</v>
      </c>
      <c r="R135" s="32" t="str">
        <f t="shared" si="2"/>
        <v>17. Asteraceae</v>
      </c>
    </row>
    <row r="136" ht="14.25" customHeight="1">
      <c r="A136" s="68" t="s">
        <v>362</v>
      </c>
      <c r="B136" s="68">
        <v>17.0</v>
      </c>
      <c r="C136" s="10" t="s">
        <v>415</v>
      </c>
      <c r="G136" s="32" t="s">
        <v>3068</v>
      </c>
      <c r="I136" s="32" t="s">
        <v>227</v>
      </c>
      <c r="K136" s="32" t="s">
        <v>809</v>
      </c>
      <c r="M136" s="32" t="s">
        <v>227</v>
      </c>
      <c r="N136" s="32">
        <v>96.0</v>
      </c>
      <c r="P136" s="32" t="str">
        <f t="shared" si="1"/>
        <v>96. Verbenaceae</v>
      </c>
      <c r="R136" s="32" t="str">
        <f t="shared" si="2"/>
        <v>17. Baccharis</v>
      </c>
    </row>
    <row r="137" ht="14.25" customHeight="1">
      <c r="A137" s="68" t="s">
        <v>362</v>
      </c>
      <c r="B137" s="68">
        <v>17.0</v>
      </c>
      <c r="C137" s="10" t="s">
        <v>520</v>
      </c>
      <c r="G137" s="32" t="s">
        <v>3071</v>
      </c>
      <c r="I137" s="32" t="s">
        <v>6269</v>
      </c>
      <c r="K137" s="32" t="s">
        <v>816</v>
      </c>
      <c r="M137" s="32" t="s">
        <v>6269</v>
      </c>
      <c r="N137" s="32">
        <v>96.0</v>
      </c>
      <c r="P137" s="32" t="str">
        <f t="shared" si="1"/>
        <v>96. Verbenaceae sp.</v>
      </c>
      <c r="R137" s="32" t="str">
        <f t="shared" si="2"/>
        <v>17. Brachylaena</v>
      </c>
    </row>
    <row r="138" ht="14.25" customHeight="1">
      <c r="A138" s="68" t="s">
        <v>362</v>
      </c>
      <c r="B138" s="68">
        <v>17.0</v>
      </c>
      <c r="C138" s="10" t="s">
        <v>911</v>
      </c>
      <c r="G138" s="32" t="s">
        <v>3076</v>
      </c>
      <c r="I138" s="32" t="s">
        <v>1830</v>
      </c>
      <c r="K138" s="32" t="s">
        <v>829</v>
      </c>
      <c r="M138" s="32" t="s">
        <v>1830</v>
      </c>
      <c r="N138" s="32">
        <v>97.0</v>
      </c>
      <c r="P138" s="32" t="str">
        <f t="shared" si="1"/>
        <v>97. Vitaceae</v>
      </c>
      <c r="R138" s="32" t="str">
        <f t="shared" si="2"/>
        <v>17. Chromolaena</v>
      </c>
    </row>
    <row r="139" ht="14.25" customHeight="1">
      <c r="A139" s="68" t="s">
        <v>362</v>
      </c>
      <c r="B139" s="68">
        <v>17.0</v>
      </c>
      <c r="C139" s="10" t="s">
        <v>987</v>
      </c>
      <c r="G139" s="32" t="s">
        <v>3079</v>
      </c>
      <c r="I139" s="32" t="s">
        <v>3051</v>
      </c>
      <c r="K139" s="32" t="s">
        <v>838</v>
      </c>
      <c r="M139" s="32" t="s">
        <v>3051</v>
      </c>
      <c r="N139" s="32">
        <v>98.0</v>
      </c>
      <c r="P139" s="32" t="str">
        <f t="shared" si="1"/>
        <v>98. Vochysiaceae</v>
      </c>
      <c r="R139" s="32" t="str">
        <f t="shared" si="2"/>
        <v>17. Clibadium</v>
      </c>
    </row>
    <row r="140" ht="14.25" customHeight="1">
      <c r="A140" s="68" t="s">
        <v>362</v>
      </c>
      <c r="B140" s="68">
        <v>17.0</v>
      </c>
      <c r="C140" s="10" t="s">
        <v>1200</v>
      </c>
      <c r="F140" s="32" t="s">
        <v>148</v>
      </c>
      <c r="I140" s="32" t="s">
        <v>3181</v>
      </c>
      <c r="K140" s="32" t="s">
        <v>3332</v>
      </c>
      <c r="M140" s="32" t="s">
        <v>3181</v>
      </c>
      <c r="N140" s="32">
        <v>99.0</v>
      </c>
      <c r="P140" s="32" t="str">
        <f t="shared" si="1"/>
        <v>99. Winteraceae</v>
      </c>
      <c r="R140" s="32" t="str">
        <f t="shared" si="2"/>
        <v>17. Dahlia</v>
      </c>
    </row>
    <row r="141" ht="14.25" customHeight="1">
      <c r="A141" s="68" t="s">
        <v>362</v>
      </c>
      <c r="B141" s="68">
        <v>17.0</v>
      </c>
      <c r="C141" s="10" t="s">
        <v>2044</v>
      </c>
      <c r="G141" s="32" t="s">
        <v>150</v>
      </c>
      <c r="I141" s="32" t="s">
        <v>851</v>
      </c>
      <c r="K141" s="32" t="s">
        <v>845</v>
      </c>
      <c r="M141" s="32" t="s">
        <v>851</v>
      </c>
      <c r="N141" s="32">
        <v>100.0</v>
      </c>
      <c r="P141" s="32" t="str">
        <f t="shared" si="1"/>
        <v>100. Zamiaceae</v>
      </c>
      <c r="R141" s="32" t="str">
        <f t="shared" si="2"/>
        <v>17. Mikania</v>
      </c>
    </row>
    <row r="142" ht="14.25" customHeight="1">
      <c r="A142" s="68" t="s">
        <v>362</v>
      </c>
      <c r="B142" s="68">
        <v>17.0</v>
      </c>
      <c r="C142" s="10" t="s">
        <v>2059</v>
      </c>
      <c r="G142" s="32" t="s">
        <v>378</v>
      </c>
      <c r="I142" s="32" t="s">
        <v>232</v>
      </c>
      <c r="K142" s="32" t="s">
        <v>852</v>
      </c>
      <c r="M142" s="32" t="s">
        <v>232</v>
      </c>
      <c r="N142" s="32">
        <v>101.0</v>
      </c>
      <c r="P142" s="32" t="str">
        <f t="shared" si="1"/>
        <v>101. Zingiberaceae</v>
      </c>
      <c r="R142" s="32" t="str">
        <f t="shared" si="2"/>
        <v>17. Montanoa</v>
      </c>
    </row>
    <row r="143" ht="14.25" customHeight="1">
      <c r="A143" s="68" t="s">
        <v>362</v>
      </c>
      <c r="B143" s="68">
        <v>17.0</v>
      </c>
      <c r="C143" s="10" t="s">
        <v>2134</v>
      </c>
      <c r="G143" s="32" t="s">
        <v>461</v>
      </c>
      <c r="I143" s="32" t="s">
        <v>588</v>
      </c>
      <c r="K143" s="32" t="s">
        <v>856</v>
      </c>
      <c r="M143" s="32" t="s">
        <v>588</v>
      </c>
      <c r="N143" s="32">
        <v>102.0</v>
      </c>
      <c r="P143" s="32" t="str">
        <f t="shared" si="1"/>
        <v>102. Zygophyllaceae</v>
      </c>
      <c r="R143" s="32" t="str">
        <f t="shared" si="2"/>
        <v>17. Neurolaena</v>
      </c>
    </row>
    <row r="144" ht="14.25" customHeight="1">
      <c r="A144" s="68" t="s">
        <v>362</v>
      </c>
      <c r="B144" s="68">
        <v>17.0</v>
      </c>
      <c r="C144" s="10" t="s">
        <v>2270</v>
      </c>
      <c r="G144" s="32" t="s">
        <v>1083</v>
      </c>
      <c r="I144" s="32" t="s">
        <v>6270</v>
      </c>
      <c r="K144" s="32" t="s">
        <v>866</v>
      </c>
      <c r="R144" s="32" t="str">
        <f t="shared" si="2"/>
        <v>17. Perymenium</v>
      </c>
    </row>
    <row r="145" ht="14.25" customHeight="1">
      <c r="A145" s="68" t="s">
        <v>362</v>
      </c>
      <c r="B145" s="68">
        <v>17.0</v>
      </c>
      <c r="C145" s="10" t="s">
        <v>3267</v>
      </c>
      <c r="G145" s="32" t="s">
        <v>1263</v>
      </c>
      <c r="K145" s="32" t="s">
        <v>871</v>
      </c>
      <c r="R145" s="32" t="str">
        <f t="shared" si="2"/>
        <v>17. Piptocoma</v>
      </c>
    </row>
    <row r="146" ht="14.25" customHeight="1">
      <c r="A146" s="68" t="s">
        <v>362</v>
      </c>
      <c r="B146" s="68">
        <v>17.0</v>
      </c>
      <c r="C146" s="10" t="s">
        <v>2887</v>
      </c>
      <c r="G146" s="32" t="s">
        <v>498</v>
      </c>
      <c r="K146" s="32" t="s">
        <v>874</v>
      </c>
      <c r="R146" s="32" t="str">
        <f t="shared" si="2"/>
        <v>17. Tessaria</v>
      </c>
    </row>
    <row r="147" ht="14.25" customHeight="1">
      <c r="A147" s="68" t="s">
        <v>362</v>
      </c>
      <c r="B147" s="68">
        <v>17.0</v>
      </c>
      <c r="C147" s="10" t="s">
        <v>2908</v>
      </c>
      <c r="G147" s="32" t="s">
        <v>2400</v>
      </c>
      <c r="K147" s="32" t="s">
        <v>883</v>
      </c>
      <c r="R147" s="32" t="str">
        <f t="shared" si="2"/>
        <v>17. Tithonia</v>
      </c>
    </row>
    <row r="148" ht="14.25" customHeight="1">
      <c r="A148" s="68" t="s">
        <v>362</v>
      </c>
      <c r="B148" s="68">
        <v>17.0</v>
      </c>
      <c r="C148" s="10" t="s">
        <v>3012</v>
      </c>
      <c r="G148" s="32" t="s">
        <v>3085</v>
      </c>
      <c r="K148" s="32" t="s">
        <v>886</v>
      </c>
      <c r="R148" s="32" t="str">
        <f t="shared" si="2"/>
        <v>17. Verbesina</v>
      </c>
    </row>
    <row r="149" ht="14.25" customHeight="1">
      <c r="A149" s="68" t="s">
        <v>362</v>
      </c>
      <c r="B149" s="68">
        <v>17.0</v>
      </c>
      <c r="C149" s="10" t="s">
        <v>3018</v>
      </c>
      <c r="F149" s="32" t="s">
        <v>223</v>
      </c>
      <c r="K149" s="32" t="s">
        <v>899</v>
      </c>
      <c r="R149" s="32" t="str">
        <f t="shared" si="2"/>
        <v>17. Vernonanthura</v>
      </c>
    </row>
    <row r="150" ht="14.25" customHeight="1">
      <c r="A150" s="68" t="s">
        <v>362</v>
      </c>
      <c r="B150" s="68">
        <v>17.0</v>
      </c>
      <c r="C150" s="10" t="s">
        <v>3015</v>
      </c>
      <c r="G150" s="32" t="s">
        <v>224</v>
      </c>
      <c r="K150" s="32" t="s">
        <v>902</v>
      </c>
      <c r="R150" s="32" t="str">
        <f t="shared" si="2"/>
        <v>17. Vernonia</v>
      </c>
    </row>
    <row r="151" ht="14.25" customHeight="1">
      <c r="A151" s="68" t="s">
        <v>464</v>
      </c>
      <c r="B151" s="68">
        <v>18.0</v>
      </c>
      <c r="C151" s="10" t="s">
        <v>465</v>
      </c>
      <c r="F151" s="32" t="s">
        <v>362</v>
      </c>
      <c r="K151" s="32" t="s">
        <v>908</v>
      </c>
      <c r="R151" s="32" t="str">
        <f t="shared" si="2"/>
        <v>18. Begonia</v>
      </c>
    </row>
    <row r="152" ht="14.25" customHeight="1">
      <c r="A152" s="68" t="s">
        <v>218</v>
      </c>
      <c r="B152" s="68">
        <v>19.0</v>
      </c>
      <c r="C152" s="10" t="s">
        <v>219</v>
      </c>
      <c r="G152" s="32" t="s">
        <v>361</v>
      </c>
      <c r="K152" s="32" t="s">
        <v>911</v>
      </c>
      <c r="R152" s="32" t="str">
        <f t="shared" si="2"/>
        <v>19. Alnus</v>
      </c>
    </row>
    <row r="153" ht="14.25" customHeight="1">
      <c r="A153" s="68" t="s">
        <v>248</v>
      </c>
      <c r="B153" s="68">
        <v>20.0</v>
      </c>
      <c r="C153" s="10" t="s">
        <v>249</v>
      </c>
      <c r="G153" s="32" t="s">
        <v>362</v>
      </c>
      <c r="K153" s="32" t="s">
        <v>915</v>
      </c>
      <c r="R153" s="32" t="str">
        <f t="shared" si="2"/>
        <v>20. Amphitecna</v>
      </c>
    </row>
    <row r="154" ht="14.25" customHeight="1">
      <c r="A154" s="68" t="s">
        <v>248</v>
      </c>
      <c r="B154" s="68">
        <v>20.0</v>
      </c>
      <c r="C154" s="10" t="s">
        <v>793</v>
      </c>
      <c r="G154" s="32" t="s">
        <v>415</v>
      </c>
      <c r="K154" s="32" t="s">
        <v>919</v>
      </c>
      <c r="R154" s="32" t="str">
        <f t="shared" si="2"/>
        <v>20. Catalpa</v>
      </c>
    </row>
    <row r="155" ht="14.25" customHeight="1">
      <c r="A155" s="68" t="s">
        <v>248</v>
      </c>
      <c r="B155" s="68">
        <v>20.0</v>
      </c>
      <c r="C155" s="10" t="s">
        <v>1125</v>
      </c>
      <c r="G155" s="32" t="s">
        <v>520</v>
      </c>
      <c r="K155" s="32" t="s">
        <v>905</v>
      </c>
      <c r="R155" s="32" t="str">
        <f t="shared" si="2"/>
        <v>20. Crescentia</v>
      </c>
    </row>
    <row r="156" ht="14.25" customHeight="1">
      <c r="A156" s="68" t="s">
        <v>248</v>
      </c>
      <c r="B156" s="68">
        <v>20.0</v>
      </c>
      <c r="C156" s="10" t="s">
        <v>1588</v>
      </c>
      <c r="G156" s="32" t="s">
        <v>911</v>
      </c>
      <c r="K156" s="32" t="s">
        <v>924</v>
      </c>
      <c r="R156" s="32" t="str">
        <f t="shared" si="2"/>
        <v>20. Handroanthus</v>
      </c>
    </row>
    <row r="157" ht="14.25" customHeight="1">
      <c r="A157" s="68" t="s">
        <v>248</v>
      </c>
      <c r="B157" s="68">
        <v>20.0</v>
      </c>
      <c r="C157" s="10" t="s">
        <v>1715</v>
      </c>
      <c r="G157" s="32" t="s">
        <v>987</v>
      </c>
      <c r="K157" s="32" t="s">
        <v>929</v>
      </c>
      <c r="R157" s="32" t="str">
        <f t="shared" si="2"/>
        <v>20. Jacaranda</v>
      </c>
    </row>
    <row r="158" ht="14.25" customHeight="1">
      <c r="A158" s="68" t="s">
        <v>248</v>
      </c>
      <c r="B158" s="68">
        <v>20.0</v>
      </c>
      <c r="C158" s="10" t="s">
        <v>1767</v>
      </c>
      <c r="G158" s="32" t="s">
        <v>1200</v>
      </c>
      <c r="K158" s="32" t="s">
        <v>939</v>
      </c>
      <c r="R158" s="32" t="str">
        <f t="shared" si="2"/>
        <v>20. Kigelia</v>
      </c>
    </row>
    <row r="159" ht="14.25" customHeight="1">
      <c r="A159" s="68" t="s">
        <v>248</v>
      </c>
      <c r="B159" s="68">
        <v>20.0</v>
      </c>
      <c r="C159" s="10" t="s">
        <v>2742</v>
      </c>
      <c r="G159" s="32" t="s">
        <v>2044</v>
      </c>
      <c r="K159" s="32" t="s">
        <v>968</v>
      </c>
      <c r="R159" s="32" t="str">
        <f t="shared" si="2"/>
        <v>20. Spathodea</v>
      </c>
    </row>
    <row r="160" ht="14.25" customHeight="1">
      <c r="A160" s="68" t="s">
        <v>248</v>
      </c>
      <c r="B160" s="68">
        <v>20.0</v>
      </c>
      <c r="C160" s="10" t="s">
        <v>2814</v>
      </c>
      <c r="G160" s="32" t="s">
        <v>2059</v>
      </c>
      <c r="K160" s="32" t="s">
        <v>971</v>
      </c>
      <c r="R160" s="32" t="str">
        <f t="shared" si="2"/>
        <v>20. Tabebuia</v>
      </c>
    </row>
    <row r="161" ht="14.25" customHeight="1">
      <c r="A161" s="68" t="s">
        <v>248</v>
      </c>
      <c r="B161" s="68">
        <v>20.0</v>
      </c>
      <c r="C161" s="10" t="s">
        <v>2864</v>
      </c>
      <c r="G161" s="32" t="s">
        <v>2134</v>
      </c>
      <c r="K161" s="32" t="s">
        <v>976</v>
      </c>
      <c r="R161" s="32" t="str">
        <f t="shared" si="2"/>
        <v>20. Tecoma</v>
      </c>
    </row>
    <row r="162" ht="14.25" customHeight="1">
      <c r="A162" s="68" t="s">
        <v>490</v>
      </c>
      <c r="B162" s="68">
        <v>21.0</v>
      </c>
      <c r="C162" s="10" t="s">
        <v>491</v>
      </c>
      <c r="G162" s="32" t="s">
        <v>2270</v>
      </c>
      <c r="K162" s="32" t="s">
        <v>980</v>
      </c>
      <c r="R162" s="32" t="str">
        <f t="shared" si="2"/>
        <v>21. Bixa</v>
      </c>
    </row>
    <row r="163" ht="14.25" customHeight="1">
      <c r="A163" s="68" t="s">
        <v>1064</v>
      </c>
      <c r="B163" s="68">
        <v>22.0</v>
      </c>
      <c r="C163" s="10" t="s">
        <v>1065</v>
      </c>
      <c r="G163" s="32" t="s">
        <v>3267</v>
      </c>
      <c r="K163" s="32" t="s">
        <v>985</v>
      </c>
      <c r="R163" s="32" t="str">
        <f t="shared" si="2"/>
        <v>22. Cordia</v>
      </c>
    </row>
    <row r="164" ht="14.25" customHeight="1">
      <c r="A164" s="68" t="s">
        <v>1064</v>
      </c>
      <c r="B164" s="68">
        <v>22.0</v>
      </c>
      <c r="C164" s="10" t="s">
        <v>1067</v>
      </c>
      <c r="G164" s="32" t="s">
        <v>2887</v>
      </c>
      <c r="K164" s="32" t="s">
        <v>987</v>
      </c>
      <c r="R164" s="32" t="str">
        <f t="shared" si="2"/>
        <v>22. Guayubirá</v>
      </c>
    </row>
    <row r="165" ht="14.25" customHeight="1">
      <c r="A165" s="68" t="s">
        <v>1064</v>
      </c>
      <c r="B165" s="68">
        <v>22.0</v>
      </c>
      <c r="C165" s="10" t="s">
        <v>3282</v>
      </c>
      <c r="G165" s="32" t="s">
        <v>2908</v>
      </c>
      <c r="K165" s="32" t="s">
        <v>992</v>
      </c>
      <c r="R165" s="32" t="str">
        <f t="shared" si="2"/>
        <v>22. Tournefortia</v>
      </c>
    </row>
    <row r="166" ht="14.25" customHeight="1">
      <c r="A166" s="68" t="s">
        <v>3152</v>
      </c>
      <c r="B166" s="68">
        <v>23.0</v>
      </c>
      <c r="C166" s="10" t="s">
        <v>3153</v>
      </c>
      <c r="G166" s="32" t="s">
        <v>3012</v>
      </c>
      <c r="K166" s="32" t="s">
        <v>996</v>
      </c>
      <c r="R166" s="32" t="str">
        <f t="shared" si="2"/>
        <v>23. Brunellia</v>
      </c>
    </row>
    <row r="167" ht="14.25" customHeight="1">
      <c r="A167" s="68" t="s">
        <v>602</v>
      </c>
      <c r="B167" s="68">
        <v>24.0</v>
      </c>
      <c r="C167" s="10" t="s">
        <v>603</v>
      </c>
      <c r="G167" s="32" t="s">
        <v>3018</v>
      </c>
      <c r="K167" s="32" t="s">
        <v>1000</v>
      </c>
      <c r="R167" s="32" t="str">
        <f t="shared" si="2"/>
        <v>24. Bursera</v>
      </c>
    </row>
    <row r="168" ht="14.25" customHeight="1">
      <c r="A168" s="68" t="s">
        <v>602</v>
      </c>
      <c r="B168" s="68">
        <v>24.0</v>
      </c>
      <c r="C168" s="10" t="s">
        <v>2482</v>
      </c>
      <c r="G168" s="32" t="s">
        <v>3015</v>
      </c>
      <c r="K168" s="32" t="s">
        <v>1012</v>
      </c>
      <c r="R168" s="32" t="str">
        <f t="shared" si="2"/>
        <v>24. Protium</v>
      </c>
    </row>
    <row r="169" ht="14.25" customHeight="1">
      <c r="A169" s="68" t="s">
        <v>602</v>
      </c>
      <c r="B169" s="68">
        <v>24.0</v>
      </c>
      <c r="C169" s="10" t="s">
        <v>2950</v>
      </c>
      <c r="F169" s="32" t="s">
        <v>464</v>
      </c>
      <c r="K169" s="32" t="s">
        <v>1016</v>
      </c>
      <c r="R169" s="32" t="str">
        <f t="shared" si="2"/>
        <v>24. Trattinnickia</v>
      </c>
    </row>
    <row r="170" ht="14.25" customHeight="1">
      <c r="A170" s="68" t="s">
        <v>610</v>
      </c>
      <c r="B170" s="68">
        <v>25.0</v>
      </c>
      <c r="C170" s="10" t="s">
        <v>611</v>
      </c>
      <c r="G170" s="32" t="s">
        <v>465</v>
      </c>
      <c r="K170" s="32" t="s">
        <v>1023</v>
      </c>
      <c r="R170" s="32" t="str">
        <f t="shared" si="2"/>
        <v>25. Buxus</v>
      </c>
    </row>
    <row r="171" ht="14.25" customHeight="1">
      <c r="A171" s="68" t="s">
        <v>523</v>
      </c>
      <c r="B171" s="68">
        <v>26.0</v>
      </c>
      <c r="C171" s="10" t="s">
        <v>525</v>
      </c>
      <c r="F171" s="32" t="s">
        <v>218</v>
      </c>
      <c r="K171" s="32" t="s">
        <v>1026</v>
      </c>
      <c r="R171" s="32" t="str">
        <f t="shared" si="2"/>
        <v>26. Brasiliopuntia</v>
      </c>
    </row>
    <row r="172" ht="14.25" customHeight="1">
      <c r="A172" s="68" t="s">
        <v>523</v>
      </c>
      <c r="B172" s="68">
        <v>26.0</v>
      </c>
      <c r="C172" s="10" t="s">
        <v>856</v>
      </c>
      <c r="G172" s="32" t="s">
        <v>219</v>
      </c>
      <c r="K172" s="32" t="s">
        <v>1031</v>
      </c>
      <c r="R172" s="32" t="str">
        <f t="shared" si="2"/>
        <v>26. Cereus</v>
      </c>
    </row>
    <row r="173" ht="14.25" customHeight="1">
      <c r="A173" s="68" t="s">
        <v>523</v>
      </c>
      <c r="B173" s="68">
        <v>26.0</v>
      </c>
      <c r="C173" s="10" t="s">
        <v>2166</v>
      </c>
      <c r="F173" s="32" t="s">
        <v>248</v>
      </c>
      <c r="K173" s="32" t="s">
        <v>1034</v>
      </c>
      <c r="R173" s="32" t="str">
        <f t="shared" si="2"/>
        <v>26. Opuntia</v>
      </c>
    </row>
    <row r="174" ht="14.25" customHeight="1">
      <c r="A174" s="68" t="s">
        <v>523</v>
      </c>
      <c r="B174" s="68">
        <v>26.0</v>
      </c>
      <c r="C174" s="10" t="s">
        <v>2260</v>
      </c>
      <c r="G174" s="32" t="s">
        <v>249</v>
      </c>
      <c r="K174" s="32" t="s">
        <v>1037</v>
      </c>
      <c r="R174" s="32" t="str">
        <f t="shared" si="2"/>
        <v>26. Pereskia</v>
      </c>
    </row>
    <row r="175" ht="14.25" customHeight="1">
      <c r="A175" s="68" t="s">
        <v>681</v>
      </c>
      <c r="B175" s="68">
        <v>27.0</v>
      </c>
      <c r="C175" s="10" t="s">
        <v>682</v>
      </c>
      <c r="G175" s="32" t="s">
        <v>793</v>
      </c>
      <c r="K175" s="32" t="s">
        <v>1040</v>
      </c>
      <c r="R175" s="32" t="str">
        <f t="shared" si="2"/>
        <v>27. Calophyllum</v>
      </c>
    </row>
    <row r="176" ht="14.25" customHeight="1">
      <c r="A176" s="68" t="s">
        <v>681</v>
      </c>
      <c r="B176" s="68">
        <v>27.0</v>
      </c>
      <c r="C176" s="10" t="s">
        <v>1947</v>
      </c>
      <c r="G176" s="32" t="s">
        <v>1125</v>
      </c>
      <c r="K176" s="32" t="s">
        <v>1042</v>
      </c>
      <c r="R176" s="32" t="str">
        <f t="shared" si="2"/>
        <v>27. Mammea</v>
      </c>
    </row>
    <row r="177" ht="14.25" customHeight="1">
      <c r="A177" s="68" t="s">
        <v>2953</v>
      </c>
      <c r="B177" s="68">
        <v>28.0</v>
      </c>
      <c r="C177" s="10" t="s">
        <v>2954</v>
      </c>
      <c r="G177" s="32" t="s">
        <v>1588</v>
      </c>
      <c r="K177" s="32" t="s">
        <v>1046</v>
      </c>
      <c r="R177" s="32" t="str">
        <f t="shared" si="2"/>
        <v>28. Trema</v>
      </c>
    </row>
    <row r="178" ht="14.25" customHeight="1">
      <c r="A178" s="68" t="s">
        <v>710</v>
      </c>
      <c r="B178" s="68">
        <v>29.0</v>
      </c>
      <c r="C178" s="10" t="s">
        <v>1122</v>
      </c>
      <c r="G178" s="32" t="s">
        <v>1715</v>
      </c>
      <c r="K178" s="32" t="s">
        <v>1050</v>
      </c>
      <c r="R178" s="32" t="str">
        <f t="shared" si="2"/>
        <v>29. Crateva</v>
      </c>
    </row>
    <row r="179" ht="14.25" customHeight="1">
      <c r="A179" s="68" t="s">
        <v>710</v>
      </c>
      <c r="B179" s="68">
        <v>29.0</v>
      </c>
      <c r="C179" s="10" t="s">
        <v>711</v>
      </c>
      <c r="G179" s="32" t="s">
        <v>1767</v>
      </c>
      <c r="K179" s="32" t="s">
        <v>1053</v>
      </c>
      <c r="R179" s="32" t="str">
        <f t="shared" si="2"/>
        <v>29. Morisonia</v>
      </c>
    </row>
    <row r="180" ht="14.25" customHeight="1">
      <c r="A180" s="68" t="s">
        <v>710</v>
      </c>
      <c r="B180" s="68">
        <v>29.0</v>
      </c>
      <c r="C180" s="10" t="s">
        <v>2537</v>
      </c>
      <c r="G180" s="32" t="s">
        <v>2742</v>
      </c>
      <c r="K180" s="32" t="s">
        <v>1056</v>
      </c>
      <c r="R180" s="32" t="str">
        <f t="shared" si="2"/>
        <v>29. Quadrella</v>
      </c>
    </row>
    <row r="181" ht="14.25" customHeight="1">
      <c r="A181" s="68" t="s">
        <v>3371</v>
      </c>
      <c r="B181" s="68">
        <v>30.0</v>
      </c>
      <c r="C181" s="10" t="s">
        <v>976</v>
      </c>
      <c r="G181" s="32" t="s">
        <v>2814</v>
      </c>
      <c r="K181" s="32" t="s">
        <v>1059</v>
      </c>
      <c r="R181" s="32" t="str">
        <f t="shared" si="2"/>
        <v>30. Clavija</v>
      </c>
    </row>
    <row r="182" ht="14.25" customHeight="1">
      <c r="A182" s="68" t="s">
        <v>721</v>
      </c>
      <c r="B182" s="68">
        <v>31.0</v>
      </c>
      <c r="C182" s="10" t="s">
        <v>722</v>
      </c>
      <c r="G182" s="32" t="s">
        <v>2864</v>
      </c>
      <c r="K182" s="32" t="s">
        <v>1065</v>
      </c>
      <c r="R182" s="32" t="str">
        <f t="shared" si="2"/>
        <v>31. Carica</v>
      </c>
    </row>
    <row r="183" ht="14.25" customHeight="1">
      <c r="A183" s="68" t="s">
        <v>721</v>
      </c>
      <c r="B183" s="68">
        <v>31.0</v>
      </c>
      <c r="C183" s="10" t="s">
        <v>3001</v>
      </c>
      <c r="F183" s="32" t="s">
        <v>490</v>
      </c>
      <c r="K183" s="32" t="s">
        <v>1083</v>
      </c>
      <c r="R183" s="32" t="str">
        <f t="shared" si="2"/>
        <v>31. Vasconcellea</v>
      </c>
    </row>
    <row r="184" ht="14.25" customHeight="1">
      <c r="A184" s="68" t="s">
        <v>742</v>
      </c>
      <c r="B184" s="68">
        <v>32.0</v>
      </c>
      <c r="C184" s="10" t="s">
        <v>743</v>
      </c>
      <c r="G184" s="32" t="s">
        <v>491</v>
      </c>
      <c r="K184" s="32" t="s">
        <v>1091</v>
      </c>
      <c r="R184" s="32" t="str">
        <f t="shared" si="2"/>
        <v>32. Caryocar</v>
      </c>
    </row>
    <row r="185" ht="14.25" customHeight="1">
      <c r="A185" s="68" t="s">
        <v>788</v>
      </c>
      <c r="B185" s="68">
        <v>33.0</v>
      </c>
      <c r="C185" s="10" t="s">
        <v>789</v>
      </c>
      <c r="F185" s="32" t="s">
        <v>1064</v>
      </c>
      <c r="K185" s="32" t="s">
        <v>1094</v>
      </c>
      <c r="R185" s="32" t="str">
        <f t="shared" si="2"/>
        <v>33. Casuarina</v>
      </c>
    </row>
    <row r="186" ht="14.25" customHeight="1">
      <c r="A186" s="68" t="s">
        <v>837</v>
      </c>
      <c r="B186" s="68">
        <v>34.0</v>
      </c>
      <c r="C186" s="10" t="s">
        <v>838</v>
      </c>
      <c r="G186" s="32" t="s">
        <v>1065</v>
      </c>
      <c r="K186" s="32" t="s">
        <v>1098</v>
      </c>
      <c r="R186" s="32" t="str">
        <f t="shared" si="2"/>
        <v>34. Celastrus</v>
      </c>
    </row>
    <row r="187" ht="14.25" customHeight="1">
      <c r="A187" s="68" t="s">
        <v>837</v>
      </c>
      <c r="B187" s="68">
        <v>34.0</v>
      </c>
      <c r="C187" s="10" t="s">
        <v>1400</v>
      </c>
      <c r="G187" s="32" t="s">
        <v>1067</v>
      </c>
      <c r="K187" s="32" t="s">
        <v>1102</v>
      </c>
      <c r="R187" s="32" t="str">
        <f t="shared" si="2"/>
        <v>34. Euonymus</v>
      </c>
    </row>
    <row r="188" ht="14.25" customHeight="1">
      <c r="A188" s="68" t="s">
        <v>837</v>
      </c>
      <c r="B188" s="68">
        <v>34.0</v>
      </c>
      <c r="C188" s="10" t="s">
        <v>1975</v>
      </c>
      <c r="G188" s="32" t="s">
        <v>3282</v>
      </c>
      <c r="K188" s="32" t="s">
        <v>1106</v>
      </c>
      <c r="R188" s="32" t="str">
        <f t="shared" si="2"/>
        <v>34. Maytenus</v>
      </c>
    </row>
    <row r="189" ht="14.25" customHeight="1">
      <c r="A189" s="68" t="s">
        <v>837</v>
      </c>
      <c r="B189" s="68">
        <v>34.0</v>
      </c>
      <c r="C189" s="10" t="s">
        <v>3287</v>
      </c>
      <c r="F189" s="32" t="s">
        <v>3152</v>
      </c>
      <c r="K189" s="32" t="s">
        <v>1112</v>
      </c>
      <c r="R189" s="32" t="str">
        <f t="shared" si="2"/>
        <v>34. Salacia</v>
      </c>
    </row>
    <row r="190" ht="14.25" customHeight="1">
      <c r="A190" s="68" t="s">
        <v>914</v>
      </c>
      <c r="B190" s="68">
        <v>35.0</v>
      </c>
      <c r="C190" s="10" t="s">
        <v>915</v>
      </c>
      <c r="G190" s="32" t="s">
        <v>3153</v>
      </c>
      <c r="K190" s="32" t="s">
        <v>1116</v>
      </c>
      <c r="R190" s="32" t="str">
        <f t="shared" si="2"/>
        <v>35. Chrysobalanus</v>
      </c>
    </row>
    <row r="191" ht="14.25" customHeight="1">
      <c r="A191" s="68" t="s">
        <v>914</v>
      </c>
      <c r="B191" s="68">
        <v>35.0</v>
      </c>
      <c r="C191" s="10" t="s">
        <v>1846</v>
      </c>
      <c r="F191" s="32" t="s">
        <v>602</v>
      </c>
      <c r="K191" s="32" t="s">
        <v>1119</v>
      </c>
      <c r="R191" s="32" t="str">
        <f t="shared" si="2"/>
        <v>35. Licania</v>
      </c>
    </row>
    <row r="192" ht="14.25" customHeight="1">
      <c r="A192" s="68" t="s">
        <v>984</v>
      </c>
      <c r="B192" s="68">
        <v>36.0</v>
      </c>
      <c r="C192" s="10" t="s">
        <v>985</v>
      </c>
      <c r="G192" s="32" t="s">
        <v>603</v>
      </c>
      <c r="K192" s="32" t="s">
        <v>1122</v>
      </c>
      <c r="R192" s="32" t="str">
        <f t="shared" si="2"/>
        <v>36. Clethra</v>
      </c>
    </row>
    <row r="193" ht="14.25" customHeight="1">
      <c r="A193" s="68" t="s">
        <v>999</v>
      </c>
      <c r="B193" s="68">
        <v>37.0</v>
      </c>
      <c r="C193" s="10" t="s">
        <v>1000</v>
      </c>
      <c r="G193" s="32" t="s">
        <v>2482</v>
      </c>
      <c r="K193" s="32" t="s">
        <v>1125</v>
      </c>
      <c r="R193" s="32" t="str">
        <f t="shared" si="2"/>
        <v>37. Clusia</v>
      </c>
    </row>
    <row r="194" ht="14.25" customHeight="1">
      <c r="A194" s="68" t="s">
        <v>999</v>
      </c>
      <c r="B194" s="68">
        <v>37.0</v>
      </c>
      <c r="C194" s="10" t="s">
        <v>1511</v>
      </c>
      <c r="G194" s="32" t="s">
        <v>2950</v>
      </c>
      <c r="K194" s="32" t="s">
        <v>3169</v>
      </c>
      <c r="R194" s="32" t="str">
        <f t="shared" si="2"/>
        <v>37. Garcinia</v>
      </c>
    </row>
    <row r="195" ht="14.25" customHeight="1">
      <c r="A195" s="68" t="s">
        <v>999</v>
      </c>
      <c r="B195" s="68">
        <v>37.0</v>
      </c>
      <c r="C195" s="10" t="s">
        <v>2935</v>
      </c>
      <c r="F195" s="32" t="s">
        <v>610</v>
      </c>
      <c r="K195" s="32" t="s">
        <v>1128</v>
      </c>
      <c r="R195" s="32" t="str">
        <f t="shared" si="2"/>
        <v>37. Tovomita</v>
      </c>
    </row>
    <row r="196" ht="14.25" customHeight="1">
      <c r="A196" s="68" t="s">
        <v>6260</v>
      </c>
      <c r="B196" s="68">
        <v>38.0</v>
      </c>
      <c r="C196" s="10" t="s">
        <v>1026</v>
      </c>
      <c r="G196" s="32" t="s">
        <v>611</v>
      </c>
      <c r="K196" s="32" t="s">
        <v>1136</v>
      </c>
      <c r="R196" s="32" t="str">
        <f t="shared" si="2"/>
        <v>38. Cochlospermum</v>
      </c>
    </row>
    <row r="197" ht="14.25" customHeight="1">
      <c r="A197" s="68" t="s">
        <v>574</v>
      </c>
      <c r="B197" s="68">
        <v>39.0</v>
      </c>
      <c r="C197" s="10" t="s">
        <v>1056</v>
      </c>
      <c r="F197" s="32" t="s">
        <v>523</v>
      </c>
      <c r="K197" s="32" t="s">
        <v>1139</v>
      </c>
      <c r="R197" s="32" t="str">
        <f t="shared" si="2"/>
        <v>39. Conocarpus</v>
      </c>
    </row>
    <row r="198" ht="14.25" customHeight="1">
      <c r="A198" s="68" t="s">
        <v>574</v>
      </c>
      <c r="B198" s="68">
        <v>39.0</v>
      </c>
      <c r="C198" s="10" t="s">
        <v>575</v>
      </c>
      <c r="G198" s="32" t="s">
        <v>525</v>
      </c>
      <c r="K198" s="32" t="s">
        <v>1143</v>
      </c>
      <c r="R198" s="32" t="str">
        <f t="shared" si="2"/>
        <v>39. Terminalia</v>
      </c>
    </row>
    <row r="199" ht="14.25" customHeight="1">
      <c r="A199" s="68" t="s">
        <v>2944</v>
      </c>
      <c r="B199" s="68">
        <v>40.0</v>
      </c>
      <c r="C199" s="10" t="s">
        <v>2945</v>
      </c>
      <c r="G199" s="32" t="s">
        <v>856</v>
      </c>
      <c r="K199" s="32" t="s">
        <v>1146</v>
      </c>
      <c r="R199" s="32" t="str">
        <f t="shared" si="2"/>
        <v>40. Tradescantia</v>
      </c>
    </row>
    <row r="200" ht="14.25" customHeight="1">
      <c r="A200" s="68" t="s">
        <v>1699</v>
      </c>
      <c r="B200" s="68">
        <v>41.0</v>
      </c>
      <c r="C200" s="10" t="s">
        <v>1700</v>
      </c>
      <c r="G200" s="32" t="s">
        <v>2166</v>
      </c>
      <c r="K200" s="32" t="s">
        <v>1151</v>
      </c>
      <c r="R200" s="32" t="str">
        <f t="shared" si="2"/>
        <v>41. Ipomoea</v>
      </c>
    </row>
    <row r="201" ht="14.25" customHeight="1">
      <c r="A201" s="68" t="s">
        <v>1090</v>
      </c>
      <c r="B201" s="68">
        <v>42.0</v>
      </c>
      <c r="C201" s="10" t="s">
        <v>1091</v>
      </c>
      <c r="G201" s="32" t="s">
        <v>2260</v>
      </c>
      <c r="K201" s="32" t="s">
        <v>1159</v>
      </c>
      <c r="R201" s="32" t="str">
        <f t="shared" si="2"/>
        <v>42. Coriaria</v>
      </c>
    </row>
    <row r="202" ht="14.25" customHeight="1">
      <c r="A202" s="68" t="s">
        <v>1101</v>
      </c>
      <c r="B202" s="68">
        <v>43.0</v>
      </c>
      <c r="C202" s="10" t="s">
        <v>1102</v>
      </c>
      <c r="F202" s="32" t="s">
        <v>681</v>
      </c>
      <c r="K202" s="32" t="s">
        <v>1164</v>
      </c>
      <c r="R202" s="32" t="str">
        <f t="shared" si="2"/>
        <v>43. Costus</v>
      </c>
    </row>
    <row r="203" ht="14.25" customHeight="1">
      <c r="A203" s="68" t="s">
        <v>3062</v>
      </c>
      <c r="B203" s="68">
        <v>44.0</v>
      </c>
      <c r="C203" s="10" t="s">
        <v>3063</v>
      </c>
      <c r="G203" s="32" t="s">
        <v>682</v>
      </c>
      <c r="K203" s="32" t="s">
        <v>1172</v>
      </c>
      <c r="R203" s="32" t="str">
        <f t="shared" si="2"/>
        <v>44. Weinmannia</v>
      </c>
    </row>
    <row r="204" ht="14.25" customHeight="1">
      <c r="A204" s="68" t="s">
        <v>673</v>
      </c>
      <c r="B204" s="68">
        <v>45.0</v>
      </c>
      <c r="C204" s="10" t="s">
        <v>678</v>
      </c>
      <c r="G204" s="32" t="s">
        <v>1947</v>
      </c>
      <c r="K204" s="32" t="s">
        <v>1175</v>
      </c>
      <c r="R204" s="32" t="str">
        <f t="shared" si="2"/>
        <v>45. Calocedrus</v>
      </c>
    </row>
    <row r="205" ht="14.25" customHeight="1">
      <c r="A205" s="68" t="s">
        <v>673</v>
      </c>
      <c r="B205" s="68">
        <v>45.0</v>
      </c>
      <c r="C205" s="10" t="s">
        <v>883</v>
      </c>
      <c r="F205" s="32" t="s">
        <v>2953</v>
      </c>
      <c r="K205" s="32" t="s">
        <v>1186</v>
      </c>
      <c r="R205" s="32" t="str">
        <f t="shared" si="2"/>
        <v>45. Chamaecyparis</v>
      </c>
    </row>
    <row r="206" ht="14.25" customHeight="1">
      <c r="A206" s="68" t="s">
        <v>673</v>
      </c>
      <c r="B206" s="68">
        <v>45.0</v>
      </c>
      <c r="C206" s="10" t="s">
        <v>1139</v>
      </c>
      <c r="G206" s="32" t="s">
        <v>2954</v>
      </c>
      <c r="K206" s="32" t="s">
        <v>1193</v>
      </c>
      <c r="R206" s="32" t="str">
        <f t="shared" si="2"/>
        <v>45. Cryptomeria</v>
      </c>
    </row>
    <row r="207" ht="14.25" customHeight="1">
      <c r="A207" s="68" t="s">
        <v>673</v>
      </c>
      <c r="B207" s="68">
        <v>45.0</v>
      </c>
      <c r="C207" s="10" t="s">
        <v>1151</v>
      </c>
      <c r="F207" s="32" t="s">
        <v>710</v>
      </c>
      <c r="K207" s="32" t="s">
        <v>1197</v>
      </c>
      <c r="R207" s="32" t="str">
        <f t="shared" si="2"/>
        <v>45. Cupressus</v>
      </c>
    </row>
    <row r="208" ht="14.25" customHeight="1">
      <c r="A208" s="68" t="s">
        <v>673</v>
      </c>
      <c r="B208" s="68">
        <v>45.0</v>
      </c>
      <c r="C208" s="10" t="s">
        <v>674</v>
      </c>
      <c r="G208" s="32" t="s">
        <v>1122</v>
      </c>
      <c r="K208" s="32" t="s">
        <v>1200</v>
      </c>
      <c r="R208" s="32" t="str">
        <f t="shared" si="2"/>
        <v>45. Hesperocyparis</v>
      </c>
    </row>
    <row r="209" ht="14.25" customHeight="1">
      <c r="A209" s="68" t="s">
        <v>673</v>
      </c>
      <c r="B209" s="68">
        <v>45.0</v>
      </c>
      <c r="C209" s="10" t="s">
        <v>1751</v>
      </c>
      <c r="G209" s="32" t="s">
        <v>711</v>
      </c>
      <c r="K209" s="32" t="s">
        <v>3177</v>
      </c>
      <c r="R209" s="32" t="str">
        <f t="shared" si="2"/>
        <v>45. Juniperus</v>
      </c>
    </row>
    <row r="210" ht="14.25" customHeight="1">
      <c r="A210" s="68" t="s">
        <v>673</v>
      </c>
      <c r="B210" s="68">
        <v>45.0</v>
      </c>
      <c r="C210" s="10" t="s">
        <v>2366</v>
      </c>
      <c r="G210" s="32" t="s">
        <v>2537</v>
      </c>
      <c r="K210" s="32" t="s">
        <v>1203</v>
      </c>
      <c r="R210" s="32" t="str">
        <f t="shared" si="2"/>
        <v>45. Platycladus</v>
      </c>
    </row>
    <row r="211" ht="14.25" customHeight="1">
      <c r="A211" s="68" t="s">
        <v>673</v>
      </c>
      <c r="B211" s="68">
        <v>45.0</v>
      </c>
      <c r="C211" s="10" t="s">
        <v>2861</v>
      </c>
      <c r="F211" s="32" t="s">
        <v>3371</v>
      </c>
      <c r="K211" s="32" t="s">
        <v>1206</v>
      </c>
      <c r="R211" s="32" t="str">
        <f t="shared" si="2"/>
        <v>45. Taxodium</v>
      </c>
    </row>
    <row r="212" ht="14.25" customHeight="1">
      <c r="A212" s="68" t="s">
        <v>1162</v>
      </c>
      <c r="B212" s="68">
        <v>46.0</v>
      </c>
      <c r="C212" s="10" t="s">
        <v>1164</v>
      </c>
      <c r="G212" s="32" t="s">
        <v>976</v>
      </c>
      <c r="K212" s="32" t="s">
        <v>1211</v>
      </c>
      <c r="R212" s="32" t="str">
        <f t="shared" si="2"/>
        <v>46. Cyathea</v>
      </c>
    </row>
    <row r="213" ht="14.25" customHeight="1">
      <c r="A213" s="68" t="s">
        <v>1171</v>
      </c>
      <c r="B213" s="68">
        <v>47.0</v>
      </c>
      <c r="C213" s="10" t="s">
        <v>1172</v>
      </c>
      <c r="F213" s="32" t="s">
        <v>721</v>
      </c>
      <c r="K213" s="32" t="s">
        <v>1214</v>
      </c>
      <c r="R213" s="32" t="str">
        <f t="shared" si="2"/>
        <v>47. Cyca</v>
      </c>
    </row>
    <row r="214" ht="14.25" customHeight="1">
      <c r="A214" s="68" t="s">
        <v>1171</v>
      </c>
      <c r="B214" s="68">
        <v>47.0</v>
      </c>
      <c r="C214" s="10" t="s">
        <v>1175</v>
      </c>
      <c r="G214" s="32" t="s">
        <v>722</v>
      </c>
      <c r="K214" s="32" t="s">
        <v>1218</v>
      </c>
      <c r="R214" s="32" t="str">
        <f t="shared" si="2"/>
        <v>47. Cycas</v>
      </c>
    </row>
    <row r="215" ht="14.25" customHeight="1">
      <c r="A215" s="68" t="s">
        <v>735</v>
      </c>
      <c r="B215" s="68">
        <v>48.0</v>
      </c>
      <c r="C215" s="10" t="s">
        <v>736</v>
      </c>
      <c r="G215" s="32" t="s">
        <v>3001</v>
      </c>
      <c r="K215" s="32" t="s">
        <v>1221</v>
      </c>
      <c r="R215" s="32" t="str">
        <f t="shared" si="2"/>
        <v>48. Carludovica</v>
      </c>
    </row>
    <row r="216" ht="14.25" customHeight="1">
      <c r="A216" s="68" t="s">
        <v>1185</v>
      </c>
      <c r="B216" s="68">
        <v>49.0</v>
      </c>
      <c r="C216" s="10" t="s">
        <v>1186</v>
      </c>
      <c r="F216" s="32" t="s">
        <v>742</v>
      </c>
      <c r="K216" s="32" t="s">
        <v>1224</v>
      </c>
      <c r="R216" s="32" t="str">
        <f t="shared" si="2"/>
        <v>49. Cyperus</v>
      </c>
    </row>
    <row r="217" ht="14.25" customHeight="1">
      <c r="A217" s="68" t="s">
        <v>1223</v>
      </c>
      <c r="B217" s="68">
        <v>50.0</v>
      </c>
      <c r="C217" s="10" t="s">
        <v>1224</v>
      </c>
      <c r="G217" s="32" t="s">
        <v>743</v>
      </c>
      <c r="K217" s="32" t="s">
        <v>1227</v>
      </c>
      <c r="R217" s="32" t="str">
        <f t="shared" si="2"/>
        <v>50. Dicksonia</v>
      </c>
    </row>
    <row r="218" ht="14.25" customHeight="1">
      <c r="A218" s="68" t="s">
        <v>1158</v>
      </c>
      <c r="B218" s="68">
        <v>51.0</v>
      </c>
      <c r="C218" s="10" t="s">
        <v>1159</v>
      </c>
      <c r="F218" s="32" t="s">
        <v>788</v>
      </c>
      <c r="K218" s="32" t="s">
        <v>1230</v>
      </c>
      <c r="R218" s="32" t="str">
        <f t="shared" si="2"/>
        <v>51. Curatella</v>
      </c>
    </row>
    <row r="219" ht="14.25" customHeight="1">
      <c r="A219" s="68" t="s">
        <v>1237</v>
      </c>
      <c r="B219" s="68">
        <v>21.0</v>
      </c>
      <c r="C219" s="10" t="s">
        <v>1238</v>
      </c>
      <c r="G219" s="32" t="s">
        <v>789</v>
      </c>
      <c r="K219" s="32" t="s">
        <v>1233</v>
      </c>
      <c r="R219" s="32" t="str">
        <f t="shared" si="2"/>
        <v>21. Diospyros</v>
      </c>
    </row>
    <row r="220" ht="14.25" customHeight="1">
      <c r="A220" s="68" t="s">
        <v>1309</v>
      </c>
      <c r="B220" s="68">
        <v>22.0</v>
      </c>
      <c r="C220" s="10" t="s">
        <v>1263</v>
      </c>
      <c r="F220" s="32" t="s">
        <v>837</v>
      </c>
      <c r="K220" s="32" t="s">
        <v>1238</v>
      </c>
      <c r="R220" s="32" t="str">
        <f t="shared" si="2"/>
        <v>22. Dracaena</v>
      </c>
    </row>
    <row r="221" ht="14.25" customHeight="1">
      <c r="A221" s="68" t="s">
        <v>1309</v>
      </c>
      <c r="B221" s="68">
        <v>22.0</v>
      </c>
      <c r="C221" s="10" t="s">
        <v>2704</v>
      </c>
      <c r="G221" s="32" t="s">
        <v>838</v>
      </c>
      <c r="K221" s="32" t="s">
        <v>1252</v>
      </c>
      <c r="R221" s="32" t="str">
        <f t="shared" si="2"/>
        <v>22. Sloanea</v>
      </c>
    </row>
    <row r="222" ht="14.25" customHeight="1">
      <c r="A222" s="68" t="s">
        <v>803</v>
      </c>
      <c r="B222" s="68">
        <v>23.0</v>
      </c>
      <c r="C222" s="10" t="s">
        <v>3143</v>
      </c>
      <c r="G222" s="32" t="s">
        <v>1400</v>
      </c>
      <c r="K222" s="32" t="s">
        <v>1255</v>
      </c>
      <c r="R222" s="32" t="str">
        <f t="shared" si="2"/>
        <v>23. Bejaria</v>
      </c>
    </row>
    <row r="223" ht="14.25" customHeight="1">
      <c r="A223" s="68" t="s">
        <v>803</v>
      </c>
      <c r="B223" s="68">
        <v>23.0</v>
      </c>
      <c r="C223" s="10" t="s">
        <v>804</v>
      </c>
      <c r="G223" s="32" t="s">
        <v>1975</v>
      </c>
      <c r="K223" s="32" t="s">
        <v>1258</v>
      </c>
      <c r="R223" s="32" t="str">
        <f t="shared" si="2"/>
        <v>23. Cavendishia</v>
      </c>
    </row>
    <row r="224" ht="14.25" customHeight="1">
      <c r="A224" s="68" t="s">
        <v>803</v>
      </c>
      <c r="B224" s="68">
        <v>23.0</v>
      </c>
      <c r="C224" s="10" t="s">
        <v>1844</v>
      </c>
      <c r="G224" s="32" t="s">
        <v>3287</v>
      </c>
      <c r="K224" s="32" t="s">
        <v>1260</v>
      </c>
      <c r="R224" s="32" t="str">
        <f t="shared" si="2"/>
        <v>23. Leucothoe</v>
      </c>
    </row>
    <row r="225" ht="14.25" customHeight="1">
      <c r="A225" s="68" t="s">
        <v>803</v>
      </c>
      <c r="B225" s="68">
        <v>23.0</v>
      </c>
      <c r="C225" s="10" t="s">
        <v>2565</v>
      </c>
      <c r="F225" s="32" t="s">
        <v>914</v>
      </c>
      <c r="K225" s="32" t="s">
        <v>1263</v>
      </c>
      <c r="R225" s="32" t="str">
        <f t="shared" si="2"/>
        <v>23. Rhododendron</v>
      </c>
    </row>
    <row r="226" ht="14.25" customHeight="1">
      <c r="A226" s="68" t="s">
        <v>1345</v>
      </c>
      <c r="B226" s="68">
        <v>24.0</v>
      </c>
      <c r="C226" s="10" t="s">
        <v>1346</v>
      </c>
      <c r="G226" s="32" t="s">
        <v>915</v>
      </c>
      <c r="K226" s="32" t="s">
        <v>3182</v>
      </c>
      <c r="R226" s="32" t="str">
        <f t="shared" si="2"/>
        <v>24. Erythroxylum</v>
      </c>
    </row>
    <row r="227" ht="14.25" customHeight="1">
      <c r="A227" s="68" t="s">
        <v>1349</v>
      </c>
      <c r="B227" s="68">
        <v>25.0</v>
      </c>
      <c r="C227" s="10" t="s">
        <v>1350</v>
      </c>
      <c r="G227" s="32" t="s">
        <v>1846</v>
      </c>
      <c r="K227" s="32" t="s">
        <v>1284</v>
      </c>
      <c r="R227" s="32" t="str">
        <f t="shared" si="2"/>
        <v>25. Escallonia</v>
      </c>
    </row>
    <row r="228" ht="14.25" customHeight="1">
      <c r="A228" s="68" t="s">
        <v>82</v>
      </c>
      <c r="B228" s="68">
        <v>26.0</v>
      </c>
      <c r="C228" s="10" t="s">
        <v>83</v>
      </c>
      <c r="F228" s="32" t="s">
        <v>984</v>
      </c>
      <c r="K228" s="32" t="s">
        <v>1290</v>
      </c>
      <c r="R228" s="32" t="str">
        <f t="shared" si="2"/>
        <v>26. Acalypha</v>
      </c>
    </row>
    <row r="229" ht="14.25" customHeight="1">
      <c r="A229" s="68" t="s">
        <v>82</v>
      </c>
      <c r="B229" s="68">
        <v>26.0</v>
      </c>
      <c r="C229" s="10" t="s">
        <v>183</v>
      </c>
      <c r="G229" s="32" t="s">
        <v>985</v>
      </c>
      <c r="K229" s="32" t="s">
        <v>1297</v>
      </c>
      <c r="R229" s="32" t="str">
        <f t="shared" si="2"/>
        <v>26. Alchornea</v>
      </c>
    </row>
    <row r="230" ht="14.25" customHeight="1">
      <c r="A230" s="68" t="s">
        <v>82</v>
      </c>
      <c r="B230" s="68">
        <v>26.0</v>
      </c>
      <c r="C230" s="10" t="s">
        <v>200</v>
      </c>
      <c r="F230" s="32" t="s">
        <v>999</v>
      </c>
      <c r="K230" s="32" t="s">
        <v>1304</v>
      </c>
      <c r="R230" s="32" t="str">
        <f t="shared" si="2"/>
        <v>26. Aleurites</v>
      </c>
    </row>
    <row r="231" ht="14.25" customHeight="1">
      <c r="A231" s="68" t="s">
        <v>82</v>
      </c>
      <c r="B231" s="68">
        <v>26.0</v>
      </c>
      <c r="C231" s="10" t="s">
        <v>481</v>
      </c>
      <c r="G231" s="32" t="s">
        <v>1000</v>
      </c>
      <c r="K231" s="32" t="s">
        <v>1310</v>
      </c>
      <c r="R231" s="32" t="str">
        <f t="shared" si="2"/>
        <v>26. Bischofia</v>
      </c>
    </row>
    <row r="232" ht="14.25" customHeight="1">
      <c r="A232" s="68" t="s">
        <v>82</v>
      </c>
      <c r="B232" s="68">
        <v>26.0</v>
      </c>
      <c r="C232" s="10" t="s">
        <v>749</v>
      </c>
      <c r="G232" s="32" t="s">
        <v>1511</v>
      </c>
      <c r="K232" s="32" t="s">
        <v>1314</v>
      </c>
      <c r="R232" s="32" t="str">
        <f t="shared" si="2"/>
        <v>26. Caryodendron</v>
      </c>
    </row>
    <row r="233" ht="14.25" customHeight="1">
      <c r="A233" s="68" t="s">
        <v>82</v>
      </c>
      <c r="B233" s="68">
        <v>26.0</v>
      </c>
      <c r="C233" s="10" t="s">
        <v>1012</v>
      </c>
      <c r="G233" s="32" t="s">
        <v>2935</v>
      </c>
      <c r="K233" s="32" t="s">
        <v>1317</v>
      </c>
      <c r="R233" s="32" t="str">
        <f t="shared" si="2"/>
        <v>26. Cnidoscolus</v>
      </c>
    </row>
    <row r="234" ht="14.25" customHeight="1">
      <c r="A234" s="68" t="s">
        <v>82</v>
      </c>
      <c r="B234" s="68">
        <v>26.0</v>
      </c>
      <c r="C234" s="10" t="s">
        <v>1034</v>
      </c>
      <c r="F234" s="32" t="s">
        <v>6260</v>
      </c>
      <c r="K234" s="32" t="s">
        <v>1320</v>
      </c>
      <c r="R234" s="32" t="str">
        <f t="shared" si="2"/>
        <v>26. Codiaeum</v>
      </c>
    </row>
    <row r="235" ht="14.25" customHeight="1">
      <c r="A235" s="68" t="s">
        <v>82</v>
      </c>
      <c r="B235" s="68">
        <v>26.0</v>
      </c>
      <c r="C235" s="10" t="s">
        <v>1128</v>
      </c>
      <c r="G235" s="32" t="s">
        <v>1026</v>
      </c>
      <c r="K235" s="32" t="s">
        <v>1323</v>
      </c>
      <c r="R235" s="32" t="str">
        <f t="shared" si="2"/>
        <v>26. Croton</v>
      </c>
    </row>
    <row r="236" ht="14.25" customHeight="1">
      <c r="A236" s="68" t="s">
        <v>82</v>
      </c>
      <c r="B236" s="68">
        <v>26.0</v>
      </c>
      <c r="C236" s="10" t="s">
        <v>1405</v>
      </c>
      <c r="F236" s="32" t="s">
        <v>574</v>
      </c>
      <c r="K236" s="32" t="s">
        <v>1326</v>
      </c>
      <c r="R236" s="32" t="str">
        <f t="shared" si="2"/>
        <v>26. Euphorbia</v>
      </c>
    </row>
    <row r="237" ht="14.25" customHeight="1">
      <c r="A237" s="68" t="s">
        <v>82</v>
      </c>
      <c r="B237" s="68">
        <v>26.0</v>
      </c>
      <c r="C237" s="10" t="s">
        <v>1615</v>
      </c>
      <c r="G237" s="32" t="s">
        <v>1056</v>
      </c>
      <c r="K237" s="32" t="s">
        <v>1346</v>
      </c>
      <c r="R237" s="32" t="str">
        <f t="shared" si="2"/>
        <v>26. Hevea</v>
      </c>
    </row>
    <row r="238" ht="14.25" customHeight="1">
      <c r="A238" s="68" t="s">
        <v>82</v>
      </c>
      <c r="B238" s="68">
        <v>26.0</v>
      </c>
      <c r="C238" s="10" t="s">
        <v>1638</v>
      </c>
      <c r="G238" s="32" t="s">
        <v>575</v>
      </c>
      <c r="K238" s="32" t="s">
        <v>1350</v>
      </c>
      <c r="R238" s="32" t="str">
        <f t="shared" si="2"/>
        <v>26. Hieronyma</v>
      </c>
    </row>
    <row r="239" ht="14.25" customHeight="1">
      <c r="A239" s="68" t="s">
        <v>82</v>
      </c>
      <c r="B239" s="68">
        <v>26.0</v>
      </c>
      <c r="C239" s="10" t="s">
        <v>1657</v>
      </c>
      <c r="F239" s="32" t="s">
        <v>2944</v>
      </c>
      <c r="K239" s="32" t="s">
        <v>1354</v>
      </c>
      <c r="R239" s="32" t="str">
        <f t="shared" si="2"/>
        <v>26. Hura</v>
      </c>
    </row>
    <row r="240" ht="14.25" customHeight="1">
      <c r="A240" s="68" t="s">
        <v>82</v>
      </c>
      <c r="B240" s="68">
        <v>26.0</v>
      </c>
      <c r="C240" s="10" t="s">
        <v>1733</v>
      </c>
      <c r="G240" s="32" t="s">
        <v>2945</v>
      </c>
      <c r="K240" s="32" t="s">
        <v>1363</v>
      </c>
      <c r="R240" s="32" t="str">
        <f t="shared" si="2"/>
        <v>26. Jatropha</v>
      </c>
    </row>
    <row r="241" ht="14.25" customHeight="1">
      <c r="A241" s="68" t="s">
        <v>82</v>
      </c>
      <c r="B241" s="68">
        <v>26.0</v>
      </c>
      <c r="C241" s="10" t="s">
        <v>1953</v>
      </c>
      <c r="F241" s="32" t="s">
        <v>1699</v>
      </c>
      <c r="K241" s="32" t="s">
        <v>1367</v>
      </c>
      <c r="R241" s="32" t="str">
        <f t="shared" si="2"/>
        <v>26. Manihot</v>
      </c>
    </row>
    <row r="242" ht="14.25" customHeight="1">
      <c r="A242" s="68" t="s">
        <v>82</v>
      </c>
      <c r="B242" s="68">
        <v>26.0</v>
      </c>
      <c r="C242" s="10" t="s">
        <v>2235</v>
      </c>
      <c r="G242" s="32" t="s">
        <v>1700</v>
      </c>
      <c r="K242" s="32" t="s">
        <v>1385</v>
      </c>
      <c r="R242" s="32" t="str">
        <f t="shared" si="2"/>
        <v>26. Pausandra</v>
      </c>
    </row>
    <row r="243" ht="14.25" customHeight="1">
      <c r="A243" s="68" t="s">
        <v>82</v>
      </c>
      <c r="B243" s="68">
        <v>26.0</v>
      </c>
      <c r="C243" s="10" t="s">
        <v>2579</v>
      </c>
      <c r="F243" s="32" t="s">
        <v>1090</v>
      </c>
      <c r="K243" s="32" t="s">
        <v>1400</v>
      </c>
      <c r="R243" s="32" t="str">
        <f t="shared" si="2"/>
        <v>26. Ricinus</v>
      </c>
    </row>
    <row r="244" ht="14.25" customHeight="1">
      <c r="A244" s="68" t="s">
        <v>82</v>
      </c>
      <c r="B244" s="68">
        <v>26.0</v>
      </c>
      <c r="C244" s="10" t="s">
        <v>2647</v>
      </c>
      <c r="G244" s="32" t="s">
        <v>1091</v>
      </c>
      <c r="K244" s="32" t="s">
        <v>1405</v>
      </c>
      <c r="R244" s="32" t="str">
        <f t="shared" si="2"/>
        <v>26. Sapium</v>
      </c>
    </row>
    <row r="245" ht="14.25" customHeight="1">
      <c r="A245" s="68" t="s">
        <v>34</v>
      </c>
      <c r="B245" s="68">
        <v>27.0</v>
      </c>
      <c r="C245" s="10" t="s">
        <v>38</v>
      </c>
      <c r="F245" s="32" t="s">
        <v>1101</v>
      </c>
      <c r="K245" s="32" t="s">
        <v>1420</v>
      </c>
      <c r="R245" s="32" t="str">
        <f t="shared" si="2"/>
        <v>27. Abarema</v>
      </c>
    </row>
    <row r="246" ht="14.25" customHeight="1">
      <c r="A246" s="68" t="s">
        <v>34</v>
      </c>
      <c r="B246" s="68">
        <v>27.0</v>
      </c>
      <c r="C246" s="10" t="s">
        <v>59</v>
      </c>
      <c r="G246" s="32" t="s">
        <v>1102</v>
      </c>
      <c r="K246" s="32" t="s">
        <v>1425</v>
      </c>
      <c r="R246" s="32" t="str">
        <f t="shared" si="2"/>
        <v>27. Acacia</v>
      </c>
    </row>
    <row r="247" ht="14.25" customHeight="1">
      <c r="A247" s="68" t="s">
        <v>34</v>
      </c>
      <c r="B247" s="68">
        <v>27.0</v>
      </c>
      <c r="C247" s="10" t="s">
        <v>110</v>
      </c>
      <c r="F247" s="32" t="s">
        <v>3062</v>
      </c>
      <c r="K247" s="32" t="s">
        <v>1428</v>
      </c>
      <c r="R247" s="32" t="str">
        <f t="shared" si="2"/>
        <v>27. Acosmium</v>
      </c>
    </row>
    <row r="248" ht="14.25" customHeight="1">
      <c r="A248" s="68" t="s">
        <v>34</v>
      </c>
      <c r="B248" s="68">
        <v>27.0</v>
      </c>
      <c r="C248" s="10" t="s">
        <v>113</v>
      </c>
      <c r="G248" s="32" t="s">
        <v>3063</v>
      </c>
      <c r="K248" s="32" t="s">
        <v>1485</v>
      </c>
      <c r="R248" s="32" t="str">
        <f t="shared" si="2"/>
        <v>27. Acrocarpus</v>
      </c>
    </row>
    <row r="249" ht="14.25" customHeight="1">
      <c r="A249" s="68" t="s">
        <v>34</v>
      </c>
      <c r="B249" s="68">
        <v>27.0</v>
      </c>
      <c r="C249" s="10" t="s">
        <v>122</v>
      </c>
      <c r="F249" s="32" t="s">
        <v>673</v>
      </c>
      <c r="K249" s="32" t="s">
        <v>1488</v>
      </c>
      <c r="R249" s="32" t="str">
        <f t="shared" si="2"/>
        <v>27. Adenanthera</v>
      </c>
    </row>
    <row r="250" ht="14.25" customHeight="1">
      <c r="A250" s="68" t="s">
        <v>34</v>
      </c>
      <c r="B250" s="68">
        <v>27.0</v>
      </c>
      <c r="C250" s="10" t="s">
        <v>168</v>
      </c>
      <c r="G250" s="32" t="s">
        <v>678</v>
      </c>
      <c r="K250" s="32" t="s">
        <v>1497</v>
      </c>
      <c r="R250" s="32" t="str">
        <f t="shared" si="2"/>
        <v>27. Albizia</v>
      </c>
    </row>
    <row r="251" ht="14.25" customHeight="1">
      <c r="A251" s="68" t="s">
        <v>34</v>
      </c>
      <c r="B251" s="68">
        <v>27.0</v>
      </c>
      <c r="C251" s="10" t="s">
        <v>242</v>
      </c>
      <c r="G251" s="32" t="s">
        <v>883</v>
      </c>
      <c r="K251" s="32" t="s">
        <v>1504</v>
      </c>
      <c r="R251" s="32" t="str">
        <f t="shared" si="2"/>
        <v>27. Amherstia</v>
      </c>
    </row>
    <row r="252" ht="14.25" customHeight="1">
      <c r="A252" s="68" t="s">
        <v>34</v>
      </c>
      <c r="B252" s="68">
        <v>27.0</v>
      </c>
      <c r="C252" s="10" t="s">
        <v>264</v>
      </c>
      <c r="G252" s="32" t="s">
        <v>1139</v>
      </c>
      <c r="K252" s="32" t="s">
        <v>3118</v>
      </c>
      <c r="R252" s="32" t="str">
        <f t="shared" si="2"/>
        <v>27. Andira</v>
      </c>
    </row>
    <row r="253" ht="14.25" customHeight="1">
      <c r="A253" s="68" t="s">
        <v>34</v>
      </c>
      <c r="B253" s="68">
        <v>27.0</v>
      </c>
      <c r="C253" s="10" t="s">
        <v>438</v>
      </c>
      <c r="G253" s="32" t="s">
        <v>1151</v>
      </c>
      <c r="K253" s="32" t="s">
        <v>1508</v>
      </c>
      <c r="R253" s="32" t="str">
        <f t="shared" si="2"/>
        <v>27. Bauhinia</v>
      </c>
    </row>
    <row r="254" ht="14.25" customHeight="1">
      <c r="A254" s="68" t="s">
        <v>34</v>
      </c>
      <c r="B254" s="68">
        <v>27.0</v>
      </c>
      <c r="C254" s="10" t="s">
        <v>544</v>
      </c>
      <c r="G254" s="32" t="s">
        <v>674</v>
      </c>
      <c r="K254" s="32" t="s">
        <v>1511</v>
      </c>
      <c r="R254" s="32" t="str">
        <f t="shared" si="2"/>
        <v>27. Brownea</v>
      </c>
    </row>
    <row r="255" ht="14.25" customHeight="1">
      <c r="A255" s="68" t="s">
        <v>34</v>
      </c>
      <c r="B255" s="68">
        <v>27.0</v>
      </c>
      <c r="C255" s="10" t="s">
        <v>555</v>
      </c>
      <c r="G255" s="32" t="s">
        <v>1751</v>
      </c>
      <c r="K255" s="32" t="s">
        <v>1518</v>
      </c>
      <c r="R255" s="32" t="str">
        <f t="shared" si="2"/>
        <v>27. Browneopsis</v>
      </c>
    </row>
    <row r="256" ht="14.25" customHeight="1">
      <c r="A256" s="68" t="s">
        <v>34</v>
      </c>
      <c r="B256" s="68">
        <v>27.0</v>
      </c>
      <c r="C256" s="10" t="s">
        <v>631</v>
      </c>
      <c r="G256" s="32" t="s">
        <v>2366</v>
      </c>
      <c r="K256" s="32" t="s">
        <v>1521</v>
      </c>
      <c r="R256" s="32" t="str">
        <f t="shared" si="2"/>
        <v>27. Caesalpinia</v>
      </c>
    </row>
    <row r="257" ht="14.25" customHeight="1">
      <c r="A257" s="68" t="s">
        <v>34</v>
      </c>
      <c r="B257" s="68">
        <v>27.0</v>
      </c>
      <c r="C257" s="10" t="s">
        <v>640</v>
      </c>
      <c r="G257" s="32" t="s">
        <v>2861</v>
      </c>
      <c r="K257" s="32" t="s">
        <v>1525</v>
      </c>
      <c r="R257" s="32" t="str">
        <f t="shared" si="2"/>
        <v>27. Cajanus</v>
      </c>
    </row>
    <row r="258" ht="14.25" customHeight="1">
      <c r="A258" s="68" t="s">
        <v>34</v>
      </c>
      <c r="B258" s="68">
        <v>27.0</v>
      </c>
      <c r="C258" s="10" t="s">
        <v>644</v>
      </c>
      <c r="F258" s="32" t="s">
        <v>1162</v>
      </c>
      <c r="K258" s="32" t="s">
        <v>1530</v>
      </c>
      <c r="R258" s="32" t="str">
        <f t="shared" si="2"/>
        <v>27. Calliandra</v>
      </c>
    </row>
    <row r="259" ht="14.25" customHeight="1">
      <c r="A259" s="68" t="s">
        <v>34</v>
      </c>
      <c r="B259" s="68">
        <v>27.0</v>
      </c>
      <c r="C259" s="10" t="s">
        <v>775</v>
      </c>
      <c r="G259" s="32" t="s">
        <v>1164</v>
      </c>
      <c r="K259" s="32" t="s">
        <v>1535</v>
      </c>
      <c r="R259" s="32" t="str">
        <f t="shared" si="2"/>
        <v>27. Cassia</v>
      </c>
    </row>
    <row r="260" ht="14.25" customHeight="1">
      <c r="A260" s="68" t="s">
        <v>34</v>
      </c>
      <c r="B260" s="68">
        <v>27.0</v>
      </c>
      <c r="C260" s="10" t="s">
        <v>3332</v>
      </c>
      <c r="F260" s="32" t="s">
        <v>1171</v>
      </c>
      <c r="K260" s="32" t="s">
        <v>1538</v>
      </c>
      <c r="R260" s="32" t="str">
        <f t="shared" si="2"/>
        <v>27. Cenostigma</v>
      </c>
    </row>
    <row r="261" ht="14.25" customHeight="1">
      <c r="A261" s="68" t="s">
        <v>34</v>
      </c>
      <c r="B261" s="68">
        <v>27.0</v>
      </c>
      <c r="C261" s="10" t="s">
        <v>845</v>
      </c>
      <c r="G261" s="32" t="s">
        <v>1172</v>
      </c>
      <c r="K261" s="32" t="s">
        <v>1541</v>
      </c>
      <c r="R261" s="32" t="str">
        <f t="shared" si="2"/>
        <v>27. Centrolobium</v>
      </c>
    </row>
    <row r="262" ht="14.25" customHeight="1">
      <c r="A262" s="68" t="s">
        <v>34</v>
      </c>
      <c r="B262" s="68">
        <v>27.0</v>
      </c>
      <c r="C262" s="10" t="s">
        <v>908</v>
      </c>
      <c r="G262" s="32" t="s">
        <v>1175</v>
      </c>
      <c r="K262" s="32" t="s">
        <v>1546</v>
      </c>
      <c r="R262" s="32" t="str">
        <f t="shared" si="2"/>
        <v>27. Chloroleucon</v>
      </c>
    </row>
    <row r="263" ht="14.25" customHeight="1">
      <c r="A263" s="68" t="s">
        <v>34</v>
      </c>
      <c r="B263" s="68">
        <v>27.0</v>
      </c>
      <c r="C263" s="10" t="s">
        <v>971</v>
      </c>
      <c r="F263" s="32" t="s">
        <v>735</v>
      </c>
      <c r="K263" s="32" t="s">
        <v>1550</v>
      </c>
      <c r="R263" s="32" t="str">
        <f t="shared" si="2"/>
        <v>27. Clathrotropis</v>
      </c>
    </row>
    <row r="264" ht="14.25" customHeight="1">
      <c r="A264" s="68" t="s">
        <v>34</v>
      </c>
      <c r="B264" s="68">
        <v>27.0</v>
      </c>
      <c r="C264" s="10" t="s">
        <v>996</v>
      </c>
      <c r="G264" s="32" t="s">
        <v>736</v>
      </c>
      <c r="K264" s="32" t="s">
        <v>1554</v>
      </c>
      <c r="R264" s="32" t="str">
        <f t="shared" si="2"/>
        <v>27. Clitoria</v>
      </c>
    </row>
    <row r="265" ht="14.25" customHeight="1">
      <c r="A265" s="68" t="s">
        <v>34</v>
      </c>
      <c r="B265" s="68">
        <v>27.0</v>
      </c>
      <c r="C265" s="10" t="s">
        <v>1040</v>
      </c>
      <c r="F265" s="32" t="s">
        <v>1185</v>
      </c>
      <c r="K265" s="32" t="s">
        <v>1557</v>
      </c>
      <c r="R265" s="32" t="str">
        <f t="shared" si="2"/>
        <v>27. Cojoba</v>
      </c>
    </row>
    <row r="266" ht="14.25" customHeight="1">
      <c r="A266" s="68" t="s">
        <v>34</v>
      </c>
      <c r="B266" s="68">
        <v>27.0</v>
      </c>
      <c r="C266" s="10" t="s">
        <v>1059</v>
      </c>
      <c r="G266" s="32" t="s">
        <v>1186</v>
      </c>
      <c r="K266" s="32" t="s">
        <v>1562</v>
      </c>
      <c r="R266" s="32" t="str">
        <f t="shared" si="2"/>
        <v>27. Copaifera</v>
      </c>
    </row>
    <row r="267" ht="14.25" customHeight="1">
      <c r="A267" s="68" t="s">
        <v>34</v>
      </c>
      <c r="B267" s="68">
        <v>27.0</v>
      </c>
      <c r="C267" s="10" t="s">
        <v>1203</v>
      </c>
      <c r="F267" s="32" t="s">
        <v>1223</v>
      </c>
      <c r="K267" s="32" t="s">
        <v>1567</v>
      </c>
      <c r="R267" s="32" t="str">
        <f t="shared" si="2"/>
        <v>27. Delonix</v>
      </c>
    </row>
    <row r="268" ht="14.25" customHeight="1">
      <c r="A268" s="68" t="s">
        <v>34</v>
      </c>
      <c r="B268" s="68">
        <v>27.0</v>
      </c>
      <c r="C268" s="10" t="s">
        <v>1218</v>
      </c>
      <c r="G268" s="32" t="s">
        <v>1224</v>
      </c>
      <c r="K268" s="32" t="s">
        <v>1067</v>
      </c>
      <c r="R268" s="32" t="str">
        <f t="shared" si="2"/>
        <v>27. Dialium</v>
      </c>
    </row>
    <row r="269" ht="14.25" customHeight="1">
      <c r="A269" s="68" t="s">
        <v>34</v>
      </c>
      <c r="B269" s="68">
        <v>27.0</v>
      </c>
      <c r="C269" s="10" t="s">
        <v>1252</v>
      </c>
      <c r="F269" s="32" t="s">
        <v>1158</v>
      </c>
      <c r="K269" s="32" t="s">
        <v>1570</v>
      </c>
      <c r="R269" s="32" t="str">
        <f t="shared" si="2"/>
        <v>27. Dipteryx</v>
      </c>
    </row>
    <row r="270" ht="14.25" customHeight="1">
      <c r="A270" s="68" t="s">
        <v>34</v>
      </c>
      <c r="B270" s="68">
        <v>27.0</v>
      </c>
      <c r="C270" s="10" t="s">
        <v>1310</v>
      </c>
      <c r="G270" s="32" t="s">
        <v>1159</v>
      </c>
      <c r="K270" s="32" t="s">
        <v>1573</v>
      </c>
      <c r="R270" s="32" t="str">
        <f t="shared" si="2"/>
        <v>27. Elaeocarpus</v>
      </c>
    </row>
    <row r="271" ht="14.25" customHeight="1">
      <c r="A271" s="68" t="s">
        <v>34</v>
      </c>
      <c r="B271" s="68">
        <v>27.0</v>
      </c>
      <c r="C271" s="10" t="s">
        <v>1317</v>
      </c>
      <c r="F271" s="32" t="s">
        <v>1237</v>
      </c>
      <c r="K271" s="32" t="s">
        <v>1582</v>
      </c>
      <c r="R271" s="32" t="str">
        <f t="shared" si="2"/>
        <v>27. Enterolobium</v>
      </c>
    </row>
    <row r="272" ht="14.25" customHeight="1">
      <c r="A272" s="68" t="s">
        <v>34</v>
      </c>
      <c r="B272" s="68">
        <v>27.0</v>
      </c>
      <c r="C272" s="10" t="s">
        <v>1320</v>
      </c>
      <c r="G272" s="32" t="s">
        <v>1238</v>
      </c>
      <c r="K272" s="32" t="s">
        <v>1585</v>
      </c>
      <c r="R272" s="32" t="str">
        <f t="shared" si="2"/>
        <v>27. Eperua</v>
      </c>
    </row>
    <row r="273" ht="14.25" customHeight="1">
      <c r="A273" s="68" t="s">
        <v>34</v>
      </c>
      <c r="B273" s="68">
        <v>27.0</v>
      </c>
      <c r="C273" s="10" t="s">
        <v>1326</v>
      </c>
      <c r="F273" s="32" t="s">
        <v>1309</v>
      </c>
      <c r="K273" s="32" t="s">
        <v>1588</v>
      </c>
      <c r="R273" s="32" t="str">
        <f t="shared" si="2"/>
        <v>27. Erythrina</v>
      </c>
    </row>
    <row r="274" ht="14.25" customHeight="1">
      <c r="A274" s="68" t="s">
        <v>34</v>
      </c>
      <c r="B274" s="68">
        <v>27.0</v>
      </c>
      <c r="C274" s="10" t="s">
        <v>1525</v>
      </c>
      <c r="G274" s="32" t="s">
        <v>1263</v>
      </c>
      <c r="K274" s="32" t="s">
        <v>1597</v>
      </c>
      <c r="R274" s="32" t="str">
        <f t="shared" si="2"/>
        <v>27. Geoffroea</v>
      </c>
    </row>
    <row r="275" ht="14.25" customHeight="1">
      <c r="A275" s="68" t="s">
        <v>34</v>
      </c>
      <c r="B275" s="68">
        <v>27.0</v>
      </c>
      <c r="C275" s="10" t="s">
        <v>1535</v>
      </c>
      <c r="G275" s="32" t="s">
        <v>2704</v>
      </c>
      <c r="K275" s="32" t="s">
        <v>1600</v>
      </c>
      <c r="R275" s="32" t="str">
        <f t="shared" si="2"/>
        <v>27. Gliricidia</v>
      </c>
    </row>
    <row r="276" ht="14.25" customHeight="1">
      <c r="A276" s="68" t="s">
        <v>34</v>
      </c>
      <c r="B276" s="68">
        <v>27.0</v>
      </c>
      <c r="C276" s="10" t="s">
        <v>1660</v>
      </c>
      <c r="F276" s="32" t="s">
        <v>803</v>
      </c>
      <c r="K276" s="32" t="s">
        <v>1603</v>
      </c>
      <c r="R276" s="32" t="str">
        <f t="shared" si="2"/>
        <v>27. Hymenaea</v>
      </c>
    </row>
    <row r="277" ht="14.25" customHeight="1">
      <c r="A277" s="68" t="s">
        <v>34</v>
      </c>
      <c r="B277" s="68">
        <v>27.0</v>
      </c>
      <c r="C277" s="10" t="s">
        <v>1674</v>
      </c>
      <c r="G277" s="32" t="s">
        <v>3143</v>
      </c>
      <c r="K277" s="32" t="s">
        <v>1607</v>
      </c>
      <c r="R277" s="32" t="str">
        <f t="shared" si="2"/>
        <v>27. Indigofera</v>
      </c>
    </row>
    <row r="278" ht="14.25" customHeight="1">
      <c r="A278" s="68" t="s">
        <v>34</v>
      </c>
      <c r="B278" s="68">
        <v>27.0</v>
      </c>
      <c r="C278" s="10" t="s">
        <v>1677</v>
      </c>
      <c r="G278" s="32" t="s">
        <v>804</v>
      </c>
      <c r="K278" s="32" t="s">
        <v>1612</v>
      </c>
      <c r="R278" s="32" t="str">
        <f t="shared" si="2"/>
        <v>27. Inga</v>
      </c>
    </row>
    <row r="279" ht="14.25" customHeight="1">
      <c r="A279" s="68" t="s">
        <v>34</v>
      </c>
      <c r="B279" s="68">
        <v>27.0</v>
      </c>
      <c r="C279" s="10" t="s">
        <v>1775</v>
      </c>
      <c r="G279" s="32" t="s">
        <v>1844</v>
      </c>
      <c r="K279" s="32" t="s">
        <v>674</v>
      </c>
      <c r="R279" s="32" t="str">
        <f t="shared" si="2"/>
        <v>27. Laburnum</v>
      </c>
    </row>
    <row r="280" ht="14.25" customHeight="1">
      <c r="A280" s="68" t="s">
        <v>34</v>
      </c>
      <c r="B280" s="68">
        <v>27.0</v>
      </c>
      <c r="C280" s="10" t="s">
        <v>1822</v>
      </c>
      <c r="G280" s="32" t="s">
        <v>2565</v>
      </c>
      <c r="K280" s="32" t="s">
        <v>1615</v>
      </c>
      <c r="R280" s="32" t="str">
        <f t="shared" si="2"/>
        <v>27. Lecointea</v>
      </c>
    </row>
    <row r="281" ht="14.25" customHeight="1">
      <c r="A281" s="68" t="s">
        <v>34</v>
      </c>
      <c r="B281" s="68">
        <v>27.0</v>
      </c>
      <c r="C281" s="10" t="s">
        <v>1839</v>
      </c>
      <c r="F281" s="32" t="s">
        <v>1345</v>
      </c>
      <c r="K281" s="32" t="s">
        <v>1618</v>
      </c>
      <c r="R281" s="32" t="str">
        <f t="shared" si="2"/>
        <v>27. Leucaena</v>
      </c>
    </row>
    <row r="282" ht="14.25" customHeight="1">
      <c r="A282" s="68" t="s">
        <v>34</v>
      </c>
      <c r="B282" s="68">
        <v>27.0</v>
      </c>
      <c r="C282" s="10" t="s">
        <v>622</v>
      </c>
      <c r="G282" s="32" t="s">
        <v>1346</v>
      </c>
      <c r="K282" s="32" t="s">
        <v>1638</v>
      </c>
      <c r="R282" s="32" t="str">
        <f t="shared" si="2"/>
        <v>27. Libidibia</v>
      </c>
    </row>
    <row r="283" ht="14.25" customHeight="1">
      <c r="A283" s="68" t="s">
        <v>34</v>
      </c>
      <c r="B283" s="68">
        <v>27.0</v>
      </c>
      <c r="C283" s="10" t="s">
        <v>1889</v>
      </c>
      <c r="F283" s="32" t="s">
        <v>1349</v>
      </c>
      <c r="K283" s="32" t="s">
        <v>1641</v>
      </c>
      <c r="R283" s="32" t="str">
        <f t="shared" si="2"/>
        <v>27. Lonchocarpus</v>
      </c>
    </row>
    <row r="284" ht="14.25" customHeight="1">
      <c r="A284" s="68" t="s">
        <v>34</v>
      </c>
      <c r="B284" s="68">
        <v>27.0</v>
      </c>
      <c r="C284" s="10" t="s">
        <v>1905</v>
      </c>
      <c r="G284" s="32" t="s">
        <v>1350</v>
      </c>
      <c r="K284" s="32" t="s">
        <v>1645</v>
      </c>
      <c r="R284" s="32" t="str">
        <f t="shared" si="2"/>
        <v>27. Machaerium</v>
      </c>
    </row>
    <row r="285" ht="14.25" customHeight="1">
      <c r="A285" s="68" t="s">
        <v>34</v>
      </c>
      <c r="B285" s="68">
        <v>27.0</v>
      </c>
      <c r="C285" s="10" t="s">
        <v>1917</v>
      </c>
      <c r="F285" s="32" t="s">
        <v>82</v>
      </c>
      <c r="K285" s="32" t="s">
        <v>1648</v>
      </c>
      <c r="R285" s="32" t="str">
        <f t="shared" si="2"/>
        <v>27. Macrolobium</v>
      </c>
    </row>
    <row r="286" ht="14.25" customHeight="1">
      <c r="A286" s="68" t="s">
        <v>34</v>
      </c>
      <c r="B286" s="68">
        <v>27.0</v>
      </c>
      <c r="C286" s="10" t="s">
        <v>2047</v>
      </c>
      <c r="G286" s="32" t="s">
        <v>83</v>
      </c>
      <c r="K286" s="32" t="s">
        <v>1651</v>
      </c>
      <c r="R286" s="32" t="str">
        <f t="shared" si="2"/>
        <v>27. Millettia</v>
      </c>
    </row>
    <row r="287" ht="14.25" customHeight="1">
      <c r="A287" s="68" t="s">
        <v>34</v>
      </c>
      <c r="B287" s="68">
        <v>27.0</v>
      </c>
      <c r="C287" s="10" t="s">
        <v>2050</v>
      </c>
      <c r="G287" s="32" t="s">
        <v>183</v>
      </c>
      <c r="K287" s="32" t="s">
        <v>1654</v>
      </c>
      <c r="R287" s="32" t="str">
        <f t="shared" si="2"/>
        <v>27. Mimosa</v>
      </c>
    </row>
    <row r="288" ht="14.25" customHeight="1">
      <c r="A288" s="68" t="s">
        <v>34</v>
      </c>
      <c r="B288" s="68">
        <v>27.0</v>
      </c>
      <c r="C288" s="10" t="s">
        <v>2114</v>
      </c>
      <c r="G288" s="32" t="s">
        <v>200</v>
      </c>
      <c r="K288" s="32" t="s">
        <v>1657</v>
      </c>
      <c r="R288" s="32" t="str">
        <f t="shared" si="2"/>
        <v>27. Myroxylon</v>
      </c>
    </row>
    <row r="289" ht="14.25" customHeight="1">
      <c r="A289" s="68" t="s">
        <v>34</v>
      </c>
      <c r="B289" s="68">
        <v>27.0</v>
      </c>
      <c r="C289" s="10" t="s">
        <v>2175</v>
      </c>
      <c r="G289" s="32" t="s">
        <v>481</v>
      </c>
      <c r="K289" s="32" t="s">
        <v>1660</v>
      </c>
      <c r="R289" s="32" t="str">
        <f t="shared" si="2"/>
        <v>27. Ormosia</v>
      </c>
    </row>
    <row r="290" ht="14.25" customHeight="1">
      <c r="A290" s="68" t="s">
        <v>34</v>
      </c>
      <c r="B290" s="68">
        <v>27.0</v>
      </c>
      <c r="C290" s="10" t="s">
        <v>2216</v>
      </c>
      <c r="G290" s="32" t="s">
        <v>749</v>
      </c>
      <c r="K290" s="32" t="s">
        <v>1665</v>
      </c>
      <c r="R290" s="32" t="str">
        <f t="shared" si="2"/>
        <v>27. Paraserianthes</v>
      </c>
    </row>
    <row r="291" ht="14.25" customHeight="1">
      <c r="A291" s="68" t="s">
        <v>34</v>
      </c>
      <c r="B291" s="68">
        <v>27.0</v>
      </c>
      <c r="C291" s="10" t="s">
        <v>2219</v>
      </c>
      <c r="G291" s="32" t="s">
        <v>1012</v>
      </c>
      <c r="K291" s="32" t="s">
        <v>1671</v>
      </c>
      <c r="R291" s="32" t="str">
        <f t="shared" si="2"/>
        <v>27. Parkia</v>
      </c>
    </row>
    <row r="292" ht="14.25" customHeight="1">
      <c r="A292" s="68" t="s">
        <v>34</v>
      </c>
      <c r="B292" s="68">
        <v>27.0</v>
      </c>
      <c r="C292" s="10" t="s">
        <v>2223</v>
      </c>
      <c r="G292" s="32" t="s">
        <v>1034</v>
      </c>
      <c r="K292" s="32" t="s">
        <v>1674</v>
      </c>
      <c r="R292" s="32" t="str">
        <f t="shared" si="2"/>
        <v>27. Parkinsonia</v>
      </c>
    </row>
    <row r="293" ht="14.25" customHeight="1">
      <c r="A293" s="68" t="s">
        <v>34</v>
      </c>
      <c r="B293" s="68">
        <v>27.0</v>
      </c>
      <c r="C293" s="10" t="s">
        <v>2241</v>
      </c>
      <c r="G293" s="32" t="s">
        <v>1128</v>
      </c>
      <c r="K293" s="32" t="s">
        <v>1677</v>
      </c>
      <c r="R293" s="32" t="str">
        <f t="shared" si="2"/>
        <v>27. Peltogyne</v>
      </c>
    </row>
    <row r="294" ht="14.25" customHeight="1">
      <c r="A294" s="68" t="s">
        <v>34</v>
      </c>
      <c r="B294" s="68">
        <v>27.0</v>
      </c>
      <c r="C294" s="10" t="s">
        <v>2244</v>
      </c>
      <c r="G294" s="32" t="s">
        <v>1405</v>
      </c>
      <c r="K294" s="32" t="s">
        <v>1700</v>
      </c>
      <c r="R294" s="32" t="str">
        <f t="shared" si="2"/>
        <v>27. Peltophorum</v>
      </c>
    </row>
    <row r="295" ht="14.25" customHeight="1">
      <c r="A295" s="68" t="s">
        <v>34</v>
      </c>
      <c r="B295" s="68">
        <v>27.0</v>
      </c>
      <c r="C295" s="10" t="s">
        <v>2247</v>
      </c>
      <c r="G295" s="32" t="s">
        <v>1615</v>
      </c>
      <c r="K295" s="32" t="s">
        <v>1703</v>
      </c>
      <c r="R295" s="32" t="str">
        <f t="shared" si="2"/>
        <v>27. Pentaclethra</v>
      </c>
    </row>
    <row r="296" ht="14.25" customHeight="1">
      <c r="A296" s="68" t="s">
        <v>34</v>
      </c>
      <c r="B296" s="68">
        <v>27.0</v>
      </c>
      <c r="C296" s="10" t="s">
        <v>2352</v>
      </c>
      <c r="G296" s="32" t="s">
        <v>1638</v>
      </c>
      <c r="K296" s="32" t="s">
        <v>1706</v>
      </c>
      <c r="R296" s="32" t="str">
        <f t="shared" si="2"/>
        <v>27. Pithecellobium</v>
      </c>
    </row>
    <row r="297" ht="14.25" customHeight="1">
      <c r="A297" s="68" t="s">
        <v>34</v>
      </c>
      <c r="B297" s="68">
        <v>27.0</v>
      </c>
      <c r="C297" s="10" t="s">
        <v>2369</v>
      </c>
      <c r="G297" s="32" t="s">
        <v>1657</v>
      </c>
      <c r="K297" s="32" t="s">
        <v>1709</v>
      </c>
      <c r="R297" s="32" t="str">
        <f t="shared" si="2"/>
        <v>27. Platymiscium</v>
      </c>
    </row>
    <row r="298" ht="14.25" customHeight="1">
      <c r="A298" s="68" t="s">
        <v>34</v>
      </c>
      <c r="B298" s="68">
        <v>27.0</v>
      </c>
      <c r="C298" s="10" t="s">
        <v>2374</v>
      </c>
      <c r="G298" s="32" t="s">
        <v>1733</v>
      </c>
      <c r="K298" s="32" t="s">
        <v>1715</v>
      </c>
      <c r="R298" s="32" t="str">
        <f t="shared" si="2"/>
        <v>27. Platypodium</v>
      </c>
    </row>
    <row r="299" ht="14.25" customHeight="1">
      <c r="A299" s="68" t="s">
        <v>34</v>
      </c>
      <c r="B299" s="68">
        <v>27.0</v>
      </c>
      <c r="C299" s="10" t="s">
        <v>2410</v>
      </c>
      <c r="G299" s="32" t="s">
        <v>1953</v>
      </c>
      <c r="K299" s="32" t="s">
        <v>1726</v>
      </c>
      <c r="R299" s="32" t="str">
        <f t="shared" si="2"/>
        <v>27. Poeppigia</v>
      </c>
    </row>
    <row r="300" ht="14.25" customHeight="1">
      <c r="A300" s="68" t="s">
        <v>34</v>
      </c>
      <c r="B300" s="68">
        <v>27.0</v>
      </c>
      <c r="C300" s="10" t="s">
        <v>2432</v>
      </c>
      <c r="G300" s="32" t="s">
        <v>2235</v>
      </c>
      <c r="K300" s="32" t="s">
        <v>1733</v>
      </c>
      <c r="R300" s="32" t="str">
        <f t="shared" si="2"/>
        <v>27. Pongamia</v>
      </c>
    </row>
    <row r="301" ht="14.25" customHeight="1">
      <c r="A301" s="68" t="s">
        <v>34</v>
      </c>
      <c r="B301" s="68">
        <v>27.0</v>
      </c>
      <c r="C301" s="10" t="s">
        <v>2473</v>
      </c>
      <c r="G301" s="32" t="s">
        <v>2579</v>
      </c>
      <c r="K301" s="32" t="s">
        <v>1744</v>
      </c>
      <c r="R301" s="32" t="str">
        <f t="shared" si="2"/>
        <v>27. Prioria</v>
      </c>
    </row>
    <row r="302" ht="14.25" customHeight="1">
      <c r="A302" s="68" t="s">
        <v>34</v>
      </c>
      <c r="B302" s="68">
        <v>27.0</v>
      </c>
      <c r="C302" s="10" t="s">
        <v>2479</v>
      </c>
      <c r="G302" s="32" t="s">
        <v>2647</v>
      </c>
      <c r="K302" s="32" t="s">
        <v>1751</v>
      </c>
      <c r="R302" s="32" t="str">
        <f t="shared" si="2"/>
        <v>27. Prosopis</v>
      </c>
    </row>
    <row r="303" ht="14.25" customHeight="1">
      <c r="A303" s="68" t="s">
        <v>34</v>
      </c>
      <c r="B303" s="68">
        <v>27.0</v>
      </c>
      <c r="C303" s="10" t="s">
        <v>2498</v>
      </c>
      <c r="F303" s="32" t="s">
        <v>34</v>
      </c>
      <c r="K303" s="32" t="s">
        <v>1758</v>
      </c>
      <c r="R303" s="32" t="str">
        <f t="shared" si="2"/>
        <v>27. Pseudosamanea</v>
      </c>
    </row>
    <row r="304" ht="14.25" customHeight="1">
      <c r="A304" s="68" t="s">
        <v>34</v>
      </c>
      <c r="B304" s="68">
        <v>27.0</v>
      </c>
      <c r="C304" s="10" t="s">
        <v>2517</v>
      </c>
      <c r="G304" s="32" t="s">
        <v>38</v>
      </c>
      <c r="K304" s="32" t="s">
        <v>1767</v>
      </c>
      <c r="R304" s="32" t="str">
        <f t="shared" si="2"/>
        <v>27. Pterocarpus</v>
      </c>
    </row>
    <row r="305" ht="14.25" customHeight="1">
      <c r="A305" s="68" t="s">
        <v>34</v>
      </c>
      <c r="B305" s="68">
        <v>27.0</v>
      </c>
      <c r="C305" s="10" t="s">
        <v>2528</v>
      </c>
      <c r="G305" s="32" t="s">
        <v>59</v>
      </c>
      <c r="K305" s="32" t="s">
        <v>3111</v>
      </c>
      <c r="R305" s="32" t="str">
        <f t="shared" si="2"/>
        <v>27. Pueraria</v>
      </c>
    </row>
    <row r="306" ht="14.25" customHeight="1">
      <c r="A306" s="68" t="s">
        <v>34</v>
      </c>
      <c r="B306" s="68">
        <v>27.0</v>
      </c>
      <c r="C306" s="10" t="s">
        <v>2629</v>
      </c>
      <c r="G306" s="32" t="s">
        <v>110</v>
      </c>
      <c r="K306" s="32" t="s">
        <v>1770</v>
      </c>
      <c r="R306" s="32" t="str">
        <f t="shared" si="2"/>
        <v>27. Samanea</v>
      </c>
    </row>
    <row r="307" ht="14.25" customHeight="1">
      <c r="A307" s="68" t="s">
        <v>34</v>
      </c>
      <c r="B307" s="68">
        <v>27.0</v>
      </c>
      <c r="C307" s="10" t="s">
        <v>2667</v>
      </c>
      <c r="G307" s="32" t="s">
        <v>113</v>
      </c>
      <c r="K307" s="32" t="s">
        <v>1775</v>
      </c>
      <c r="R307" s="32" t="str">
        <f t="shared" si="2"/>
        <v>27. Schizolobium</v>
      </c>
    </row>
    <row r="308" ht="14.25" customHeight="1">
      <c r="A308" s="68" t="s">
        <v>34</v>
      </c>
      <c r="B308" s="68">
        <v>27.0</v>
      </c>
      <c r="C308" s="10" t="s">
        <v>782</v>
      </c>
      <c r="G308" s="32" t="s">
        <v>122</v>
      </c>
      <c r="K308" s="32" t="s">
        <v>1778</v>
      </c>
      <c r="R308" s="32" t="str">
        <f t="shared" si="2"/>
        <v>27. Senna</v>
      </c>
    </row>
    <row r="309" ht="14.25" customHeight="1">
      <c r="A309" s="68" t="s">
        <v>34</v>
      </c>
      <c r="B309" s="68">
        <v>27.0</v>
      </c>
      <c r="C309" s="10" t="s">
        <v>2690</v>
      </c>
      <c r="G309" s="32" t="s">
        <v>168</v>
      </c>
      <c r="K309" s="32" t="s">
        <v>1782</v>
      </c>
      <c r="R309" s="32" t="str">
        <f t="shared" si="2"/>
        <v>27. Sesbania</v>
      </c>
    </row>
    <row r="310" ht="14.25" customHeight="1">
      <c r="A310" s="68" t="s">
        <v>34</v>
      </c>
      <c r="B310" s="68">
        <v>27.0</v>
      </c>
      <c r="C310" s="10" t="s">
        <v>2770</v>
      </c>
      <c r="G310" s="32" t="s">
        <v>242</v>
      </c>
      <c r="K310" s="32" t="s">
        <v>1785</v>
      </c>
      <c r="R310" s="32" t="str">
        <f t="shared" si="2"/>
        <v>27. Stryphnodendron</v>
      </c>
    </row>
    <row r="311" ht="14.25" customHeight="1">
      <c r="A311" s="68" t="s">
        <v>34</v>
      </c>
      <c r="B311" s="68">
        <v>27.0</v>
      </c>
      <c r="C311" s="10" t="s">
        <v>2776</v>
      </c>
      <c r="G311" s="32" t="s">
        <v>264</v>
      </c>
      <c r="K311" s="32" t="s">
        <v>1788</v>
      </c>
      <c r="R311" s="32" t="str">
        <f t="shared" si="2"/>
        <v>27. Swartzia</v>
      </c>
    </row>
    <row r="312" ht="14.25" customHeight="1">
      <c r="A312" s="68" t="s">
        <v>34</v>
      </c>
      <c r="B312" s="68">
        <v>27.0</v>
      </c>
      <c r="C312" s="10" t="s">
        <v>2846</v>
      </c>
      <c r="G312" s="32" t="s">
        <v>438</v>
      </c>
      <c r="K312" s="32" t="s">
        <v>1791</v>
      </c>
      <c r="R312" s="32" t="str">
        <f t="shared" si="2"/>
        <v>27. Tachigali</v>
      </c>
    </row>
    <row r="313" ht="14.25" customHeight="1">
      <c r="A313" s="68" t="s">
        <v>34</v>
      </c>
      <c r="B313" s="68">
        <v>27.0</v>
      </c>
      <c r="C313" s="10" t="s">
        <v>2855</v>
      </c>
      <c r="G313" s="32" t="s">
        <v>544</v>
      </c>
      <c r="K313" s="32" t="s">
        <v>1801</v>
      </c>
      <c r="R313" s="32" t="str">
        <f t="shared" si="2"/>
        <v>27. Tamarindus</v>
      </c>
    </row>
    <row r="314" ht="14.25" customHeight="1">
      <c r="A314" s="68" t="s">
        <v>34</v>
      </c>
      <c r="B314" s="68">
        <v>27.0</v>
      </c>
      <c r="C314" s="10" t="s">
        <v>637</v>
      </c>
      <c r="G314" s="32" t="s">
        <v>555</v>
      </c>
      <c r="K314" s="32" t="s">
        <v>1806</v>
      </c>
      <c r="R314" s="32" t="str">
        <f t="shared" si="2"/>
        <v>27. Tara</v>
      </c>
    </row>
    <row r="315" ht="14.25" customHeight="1">
      <c r="A315" s="68" t="s">
        <v>34</v>
      </c>
      <c r="B315" s="68">
        <v>27.0</v>
      </c>
      <c r="C315" s="10" t="s">
        <v>2995</v>
      </c>
      <c r="G315" s="32" t="s">
        <v>631</v>
      </c>
      <c r="K315" s="32" t="s">
        <v>1813</v>
      </c>
      <c r="R315" s="32" t="str">
        <f t="shared" si="2"/>
        <v>27. Vachellia</v>
      </c>
    </row>
    <row r="316" ht="14.25" customHeight="1">
      <c r="A316" s="68" t="s">
        <v>34</v>
      </c>
      <c r="B316" s="68">
        <v>27.0</v>
      </c>
      <c r="C316" s="10" t="s">
        <v>3007</v>
      </c>
      <c r="G316" s="32" t="s">
        <v>640</v>
      </c>
      <c r="K316" s="32" t="s">
        <v>158</v>
      </c>
      <c r="R316" s="32" t="str">
        <f t="shared" si="2"/>
        <v>27. Vatairea</v>
      </c>
    </row>
    <row r="317" ht="14.25" customHeight="1">
      <c r="A317" s="68" t="s">
        <v>34</v>
      </c>
      <c r="B317" s="68">
        <v>27.0</v>
      </c>
      <c r="C317" s="10" t="s">
        <v>3104</v>
      </c>
      <c r="G317" s="32" t="s">
        <v>644</v>
      </c>
      <c r="K317" s="32" t="s">
        <v>1819</v>
      </c>
      <c r="R317" s="32" t="str">
        <f t="shared" si="2"/>
        <v>27. Zygia</v>
      </c>
    </row>
    <row r="318" ht="14.25" customHeight="1">
      <c r="A318" s="68" t="s">
        <v>6261</v>
      </c>
      <c r="B318" s="68">
        <v>27.0</v>
      </c>
      <c r="C318" s="10" t="s">
        <v>631</v>
      </c>
      <c r="G318" s="32" t="s">
        <v>775</v>
      </c>
      <c r="K318" s="32" t="s">
        <v>1822</v>
      </c>
      <c r="R318" s="32" t="str">
        <f t="shared" si="2"/>
        <v>27. Caesalpinia</v>
      </c>
    </row>
    <row r="319" ht="14.25" customHeight="1">
      <c r="A319" s="68" t="s">
        <v>2543</v>
      </c>
      <c r="B319" s="68">
        <v>28.0</v>
      </c>
      <c r="C319" s="10" t="s">
        <v>2544</v>
      </c>
      <c r="G319" s="32" t="s">
        <v>3332</v>
      </c>
      <c r="K319" s="32" t="s">
        <v>1825</v>
      </c>
      <c r="R319" s="32" t="str">
        <f t="shared" si="2"/>
        <v>28. Quercus</v>
      </c>
    </row>
    <row r="320" ht="14.25" customHeight="1">
      <c r="A320" s="68" t="s">
        <v>403</v>
      </c>
      <c r="B320" s="68">
        <v>29.0</v>
      </c>
      <c r="C320" s="10" t="s">
        <v>404</v>
      </c>
      <c r="G320" s="32" t="s">
        <v>845</v>
      </c>
      <c r="K320" s="32" t="s">
        <v>1831</v>
      </c>
      <c r="R320" s="32" t="str">
        <f t="shared" si="2"/>
        <v>29. Aucuba</v>
      </c>
    </row>
    <row r="321" ht="14.25" customHeight="1">
      <c r="A321" s="68" t="s">
        <v>1913</v>
      </c>
      <c r="B321" s="68">
        <v>30.0</v>
      </c>
      <c r="C321" s="10" t="s">
        <v>1706</v>
      </c>
      <c r="G321" s="32" t="s">
        <v>908</v>
      </c>
      <c r="K321" s="32" t="s">
        <v>1836</v>
      </c>
      <c r="R321" s="32" t="str">
        <f t="shared" si="2"/>
        <v>30. Isertia</v>
      </c>
    </row>
    <row r="322" ht="14.25" customHeight="1">
      <c r="A322" s="68" t="s">
        <v>1913</v>
      </c>
      <c r="B322" s="68">
        <v>30.0</v>
      </c>
      <c r="C322" s="10" t="s">
        <v>1914</v>
      </c>
      <c r="G322" s="32" t="s">
        <v>971</v>
      </c>
      <c r="K322" s="32" t="s">
        <v>1839</v>
      </c>
      <c r="R322" s="32" t="str">
        <f t="shared" si="2"/>
        <v>30. Macrocarpaea</v>
      </c>
    </row>
    <row r="323" ht="14.25" customHeight="1">
      <c r="A323" s="68" t="s">
        <v>3036</v>
      </c>
      <c r="B323" s="68">
        <v>31.0</v>
      </c>
      <c r="C323" s="10" t="s">
        <v>3037</v>
      </c>
      <c r="G323" s="32" t="s">
        <v>996</v>
      </c>
      <c r="K323" s="32" t="s">
        <v>1844</v>
      </c>
      <c r="R323" s="32" t="str">
        <f t="shared" si="2"/>
        <v>31. Vismia</v>
      </c>
    </row>
    <row r="324" ht="14.25" customHeight="1">
      <c r="A324" s="68" t="s">
        <v>203</v>
      </c>
      <c r="B324" s="68">
        <v>32.0</v>
      </c>
      <c r="C324" s="10" t="s">
        <v>739</v>
      </c>
      <c r="G324" s="32" t="s">
        <v>1040</v>
      </c>
      <c r="K324" s="32" t="s">
        <v>622</v>
      </c>
      <c r="R324" s="32" t="str">
        <f t="shared" si="2"/>
        <v>32. Carya</v>
      </c>
    </row>
    <row r="325" ht="14.25" customHeight="1">
      <c r="A325" s="68" t="s">
        <v>203</v>
      </c>
      <c r="B325" s="68">
        <v>32.0</v>
      </c>
      <c r="C325" s="10" t="s">
        <v>1744</v>
      </c>
      <c r="G325" s="32" t="s">
        <v>1059</v>
      </c>
      <c r="K325" s="32" t="s">
        <v>1846</v>
      </c>
      <c r="R325" s="32" t="str">
        <f t="shared" si="2"/>
        <v>32. Juglans</v>
      </c>
    </row>
    <row r="326" ht="14.25" customHeight="1">
      <c r="A326" s="68" t="s">
        <v>1781</v>
      </c>
      <c r="B326" s="68">
        <v>33.0</v>
      </c>
      <c r="C326" s="10" t="s">
        <v>1782</v>
      </c>
      <c r="G326" s="32" t="s">
        <v>1203</v>
      </c>
      <c r="K326" s="32" t="s">
        <v>1852</v>
      </c>
      <c r="R326" s="32" t="str">
        <f t="shared" si="2"/>
        <v>33. Lacistema</v>
      </c>
    </row>
    <row r="327" ht="14.25" customHeight="1">
      <c r="A327" s="68" t="s">
        <v>136</v>
      </c>
      <c r="B327" s="68">
        <v>34.0</v>
      </c>
      <c r="C327" s="10" t="s">
        <v>137</v>
      </c>
      <c r="G327" s="32" t="s">
        <v>1218</v>
      </c>
      <c r="K327" s="32" t="s">
        <v>1855</v>
      </c>
      <c r="R327" s="32" t="str">
        <f t="shared" si="2"/>
        <v>34. Aegiphila</v>
      </c>
    </row>
    <row r="328" ht="14.25" customHeight="1">
      <c r="A328" s="68" t="s">
        <v>136</v>
      </c>
      <c r="B328" s="68">
        <v>34.0</v>
      </c>
      <c r="C328" s="10" t="s">
        <v>664</v>
      </c>
      <c r="G328" s="32" t="s">
        <v>1252</v>
      </c>
      <c r="K328" s="32" t="s">
        <v>1860</v>
      </c>
      <c r="R328" s="32" t="str">
        <f t="shared" si="2"/>
        <v>34. Callicarpa</v>
      </c>
    </row>
    <row r="329" ht="14.25" customHeight="1">
      <c r="A329" s="68" t="s">
        <v>136</v>
      </c>
      <c r="B329" s="68">
        <v>34.0</v>
      </c>
      <c r="C329" s="10" t="s">
        <v>980</v>
      </c>
      <c r="G329" s="32" t="s">
        <v>1310</v>
      </c>
      <c r="K329" s="32" t="s">
        <v>3114</v>
      </c>
      <c r="R329" s="32" t="str">
        <f t="shared" si="2"/>
        <v>34. Clerodendrum</v>
      </c>
    </row>
    <row r="330" ht="14.25" customHeight="1">
      <c r="A330" s="68" t="s">
        <v>136</v>
      </c>
      <c r="B330" s="68">
        <v>34.0</v>
      </c>
      <c r="C330" s="10" t="s">
        <v>1042</v>
      </c>
      <c r="G330" s="32" t="s">
        <v>1317</v>
      </c>
      <c r="K330" s="32" t="s">
        <v>1873</v>
      </c>
      <c r="R330" s="32" t="str">
        <f t="shared" si="2"/>
        <v>34. Coleus</v>
      </c>
    </row>
    <row r="331" ht="14.25" customHeight="1">
      <c r="A331" s="68" t="s">
        <v>136</v>
      </c>
      <c r="B331" s="68">
        <v>34.0</v>
      </c>
      <c r="C331" s="10" t="s">
        <v>1094</v>
      </c>
      <c r="G331" s="32" t="s">
        <v>1320</v>
      </c>
      <c r="K331" s="32" t="s">
        <v>1876</v>
      </c>
      <c r="R331" s="32" t="str">
        <f t="shared" si="2"/>
        <v>34. Cornutia</v>
      </c>
    </row>
    <row r="332" ht="14.25" customHeight="1">
      <c r="A332" s="68" t="s">
        <v>136</v>
      </c>
      <c r="B332" s="68">
        <v>34.0</v>
      </c>
      <c r="C332" s="10" t="s">
        <v>1538</v>
      </c>
      <c r="G332" s="32" t="s">
        <v>1326</v>
      </c>
      <c r="K332" s="32" t="s">
        <v>1879</v>
      </c>
      <c r="R332" s="32" t="str">
        <f t="shared" si="2"/>
        <v>34. Gmelina</v>
      </c>
    </row>
    <row r="333" ht="14.25" customHeight="1">
      <c r="A333" s="68" t="s">
        <v>136</v>
      </c>
      <c r="B333" s="68">
        <v>34.0</v>
      </c>
      <c r="C333" s="10" t="s">
        <v>1648</v>
      </c>
      <c r="G333" s="32" t="s">
        <v>1525</v>
      </c>
      <c r="K333" s="32" t="s">
        <v>1882</v>
      </c>
      <c r="R333" s="32" t="str">
        <f t="shared" si="2"/>
        <v>34. Holmskioldia</v>
      </c>
    </row>
    <row r="334" ht="14.25" customHeight="1">
      <c r="A334" s="68" t="s">
        <v>136</v>
      </c>
      <c r="B334" s="68">
        <v>34.0</v>
      </c>
      <c r="C334" s="10" t="s">
        <v>3230</v>
      </c>
      <c r="G334" s="32" t="s">
        <v>1535</v>
      </c>
      <c r="K334" s="32" t="s">
        <v>1889</v>
      </c>
      <c r="R334" s="32" t="str">
        <f t="shared" si="2"/>
        <v>34. Melissa</v>
      </c>
    </row>
    <row r="335" ht="14.25" customHeight="1">
      <c r="A335" s="68" t="s">
        <v>136</v>
      </c>
      <c r="B335" s="68">
        <v>34.0</v>
      </c>
      <c r="C335" s="10" t="s">
        <v>3121</v>
      </c>
      <c r="G335" s="32" t="s">
        <v>1660</v>
      </c>
      <c r="K335" s="32" t="s">
        <v>1894</v>
      </c>
      <c r="R335" s="32" t="str">
        <f t="shared" si="2"/>
        <v>34. Mentha</v>
      </c>
    </row>
    <row r="336" ht="14.25" customHeight="1">
      <c r="A336" s="68" t="s">
        <v>136</v>
      </c>
      <c r="B336" s="68">
        <v>34.0</v>
      </c>
      <c r="C336" s="10" t="s">
        <v>2273</v>
      </c>
      <c r="G336" s="32" t="s">
        <v>1674</v>
      </c>
      <c r="K336" s="32" t="s">
        <v>1897</v>
      </c>
      <c r="R336" s="32" t="str">
        <f t="shared" si="2"/>
        <v>34. Petitia</v>
      </c>
    </row>
    <row r="337" ht="14.25" customHeight="1">
      <c r="A337" s="68" t="s">
        <v>136</v>
      </c>
      <c r="B337" s="68">
        <v>34.0</v>
      </c>
      <c r="C337" s="10" t="s">
        <v>3259</v>
      </c>
      <c r="G337" s="32" t="s">
        <v>1677</v>
      </c>
      <c r="K337" s="32" t="s">
        <v>1900</v>
      </c>
      <c r="R337" s="32" t="str">
        <f t="shared" si="2"/>
        <v>34. Rosmarinus</v>
      </c>
    </row>
    <row r="338" ht="14.25" customHeight="1">
      <c r="A338" s="68" t="s">
        <v>136</v>
      </c>
      <c r="B338" s="68">
        <v>34.0</v>
      </c>
      <c r="C338" s="10" t="s">
        <v>2624</v>
      </c>
      <c r="G338" s="32" t="s">
        <v>1775</v>
      </c>
      <c r="K338" s="32" t="s">
        <v>1902</v>
      </c>
      <c r="R338" s="32" t="str">
        <f t="shared" si="2"/>
        <v>34. Salvia</v>
      </c>
    </row>
    <row r="339" ht="14.25" customHeight="1">
      <c r="A339" s="68" t="s">
        <v>136</v>
      </c>
      <c r="B339" s="68">
        <v>34.0</v>
      </c>
      <c r="C339" s="10" t="s">
        <v>2869</v>
      </c>
      <c r="G339" s="32" t="s">
        <v>1822</v>
      </c>
      <c r="K339" s="32" t="s">
        <v>1905</v>
      </c>
      <c r="R339" s="32" t="str">
        <f t="shared" si="2"/>
        <v>34. Tectona</v>
      </c>
    </row>
    <row r="340" ht="14.25" customHeight="1">
      <c r="A340" s="68" t="s">
        <v>136</v>
      </c>
      <c r="B340" s="68">
        <v>34.0</v>
      </c>
      <c r="C340" s="10" t="s">
        <v>3042</v>
      </c>
      <c r="G340" s="32" t="s">
        <v>1839</v>
      </c>
      <c r="K340" s="32" t="s">
        <v>1910</v>
      </c>
      <c r="R340" s="32" t="str">
        <f t="shared" si="2"/>
        <v>34. Vitex</v>
      </c>
    </row>
    <row r="341" ht="14.25" customHeight="1">
      <c r="A341" s="68" t="s">
        <v>158</v>
      </c>
      <c r="B341" s="68">
        <v>35.0</v>
      </c>
      <c r="C341" s="10" t="s">
        <v>159</v>
      </c>
      <c r="G341" s="32" t="s">
        <v>622</v>
      </c>
      <c r="K341" s="32" t="s">
        <v>1914</v>
      </c>
      <c r="R341" s="32" t="str">
        <f t="shared" si="2"/>
        <v>35. Aiouea</v>
      </c>
    </row>
    <row r="342" ht="14.25" customHeight="1">
      <c r="A342" s="68" t="s">
        <v>158</v>
      </c>
      <c r="B342" s="68">
        <v>35.0</v>
      </c>
      <c r="C342" s="10" t="s">
        <v>271</v>
      </c>
      <c r="G342" s="32" t="s">
        <v>1889</v>
      </c>
      <c r="K342" s="32" t="s">
        <v>1917</v>
      </c>
      <c r="R342" s="32" t="str">
        <f t="shared" si="2"/>
        <v>35. Aniba</v>
      </c>
    </row>
    <row r="343" ht="14.25" customHeight="1">
      <c r="A343" s="68" t="s">
        <v>158</v>
      </c>
      <c r="B343" s="68">
        <v>35.0</v>
      </c>
      <c r="C343" s="10" t="s">
        <v>468</v>
      </c>
      <c r="G343" s="32" t="s">
        <v>1905</v>
      </c>
      <c r="K343" s="32" t="s">
        <v>1921</v>
      </c>
      <c r="R343" s="32" t="str">
        <f t="shared" si="2"/>
        <v>35. Beilschmiedia</v>
      </c>
    </row>
    <row r="344" ht="14.25" customHeight="1">
      <c r="A344" s="68" t="s">
        <v>158</v>
      </c>
      <c r="B344" s="68">
        <v>35.0</v>
      </c>
      <c r="C344" s="10" t="s">
        <v>746</v>
      </c>
      <c r="G344" s="32" t="s">
        <v>1917</v>
      </c>
      <c r="K344" s="32" t="s">
        <v>1931</v>
      </c>
      <c r="R344" s="32" t="str">
        <f t="shared" si="2"/>
        <v>35. Caryodaphnopsis</v>
      </c>
    </row>
    <row r="345" ht="14.25" customHeight="1">
      <c r="A345" s="68" t="s">
        <v>158</v>
      </c>
      <c r="B345" s="68">
        <v>35.0</v>
      </c>
      <c r="C345" s="10" t="s">
        <v>924</v>
      </c>
      <c r="G345" s="32" t="s">
        <v>2047</v>
      </c>
      <c r="K345" s="32" t="s">
        <v>1939</v>
      </c>
      <c r="R345" s="32" t="str">
        <f t="shared" si="2"/>
        <v>35. Cinnamomum</v>
      </c>
    </row>
    <row r="346" ht="14.25" customHeight="1">
      <c r="A346" s="68" t="s">
        <v>158</v>
      </c>
      <c r="B346" s="68">
        <v>35.0</v>
      </c>
      <c r="C346" s="10" t="s">
        <v>1314</v>
      </c>
      <c r="G346" s="32" t="s">
        <v>2050</v>
      </c>
      <c r="K346" s="32" t="s">
        <v>45</v>
      </c>
      <c r="R346" s="32" t="str">
        <f t="shared" si="2"/>
        <v>35. Endlicheria</v>
      </c>
    </row>
    <row r="347" ht="14.25" customHeight="1">
      <c r="A347" s="68" t="s">
        <v>158</v>
      </c>
      <c r="B347" s="68">
        <v>35.0</v>
      </c>
      <c r="C347" s="10" t="s">
        <v>1819</v>
      </c>
      <c r="G347" s="32" t="s">
        <v>2114</v>
      </c>
      <c r="K347" s="32" t="s">
        <v>1942</v>
      </c>
      <c r="R347" s="32" t="str">
        <f t="shared" si="2"/>
        <v>35. Laurus</v>
      </c>
    </row>
    <row r="348" ht="14.25" customHeight="1">
      <c r="A348" s="68" t="s">
        <v>158</v>
      </c>
      <c r="B348" s="68">
        <v>35.0</v>
      </c>
      <c r="C348" s="10" t="s">
        <v>1852</v>
      </c>
      <c r="G348" s="32" t="s">
        <v>2175</v>
      </c>
      <c r="K348" s="32" t="s">
        <v>1947</v>
      </c>
      <c r="R348" s="32" t="str">
        <f t="shared" si="2"/>
        <v>35. Licaria</v>
      </c>
    </row>
    <row r="349" ht="14.25" customHeight="1">
      <c r="A349" s="68" t="s">
        <v>158</v>
      </c>
      <c r="B349" s="68">
        <v>35.0</v>
      </c>
      <c r="C349" s="10" t="s">
        <v>1879</v>
      </c>
      <c r="G349" s="32" t="s">
        <v>2216</v>
      </c>
      <c r="K349" s="32" t="s">
        <v>1950</v>
      </c>
      <c r="R349" s="32" t="str">
        <f t="shared" si="2"/>
        <v>35. Litsea</v>
      </c>
    </row>
    <row r="350" ht="14.25" customHeight="1">
      <c r="A350" s="68" t="s">
        <v>158</v>
      </c>
      <c r="B350" s="68">
        <v>35.0</v>
      </c>
      <c r="C350" s="10" t="s">
        <v>2006</v>
      </c>
      <c r="G350" s="32" t="s">
        <v>2219</v>
      </c>
      <c r="K350" s="32" t="s">
        <v>1953</v>
      </c>
      <c r="R350" s="32" t="str">
        <f t="shared" si="2"/>
        <v>35. Mespilodaphne</v>
      </c>
    </row>
    <row r="351" ht="14.25" customHeight="1">
      <c r="A351" s="68" t="s">
        <v>158</v>
      </c>
      <c r="B351" s="68">
        <v>35.0</v>
      </c>
      <c r="C351" s="10" t="s">
        <v>2122</v>
      </c>
      <c r="G351" s="32" t="s">
        <v>2223</v>
      </c>
      <c r="K351" s="32" t="s">
        <v>1956</v>
      </c>
      <c r="R351" s="32" t="str">
        <f t="shared" si="2"/>
        <v>35. Nectandra</v>
      </c>
    </row>
    <row r="352" ht="14.25" customHeight="1">
      <c r="A352" s="68" t="s">
        <v>158</v>
      </c>
      <c r="B352" s="68">
        <v>35.0</v>
      </c>
      <c r="C352" s="10" t="s">
        <v>2148</v>
      </c>
      <c r="G352" s="32" t="s">
        <v>2241</v>
      </c>
      <c r="K352" s="32" t="s">
        <v>1961</v>
      </c>
      <c r="R352" s="32" t="str">
        <f t="shared" si="2"/>
        <v>35. Ocotea</v>
      </c>
    </row>
    <row r="353" ht="14.25" customHeight="1">
      <c r="A353" s="68" t="s">
        <v>158</v>
      </c>
      <c r="B353" s="68">
        <v>35.0</v>
      </c>
      <c r="C353" s="10" t="s">
        <v>2263</v>
      </c>
      <c r="G353" s="32" t="s">
        <v>2244</v>
      </c>
      <c r="K353" s="32" t="s">
        <v>1964</v>
      </c>
      <c r="R353" s="32" t="str">
        <f t="shared" si="2"/>
        <v>35. Persea</v>
      </c>
    </row>
    <row r="354" ht="14.25" customHeight="1">
      <c r="A354" s="68" t="s">
        <v>158</v>
      </c>
      <c r="B354" s="68">
        <v>35.0</v>
      </c>
      <c r="C354" s="10" t="s">
        <v>2383</v>
      </c>
      <c r="G354" s="32" t="s">
        <v>2247</v>
      </c>
      <c r="K354" s="32" t="s">
        <v>1967</v>
      </c>
      <c r="R354" s="32" t="str">
        <f t="shared" si="2"/>
        <v>35. Pleurothyrium</v>
      </c>
    </row>
    <row r="355" ht="14.25" customHeight="1">
      <c r="A355" s="68" t="s">
        <v>158</v>
      </c>
      <c r="B355" s="68">
        <v>35.0</v>
      </c>
      <c r="C355" s="10" t="s">
        <v>2568</v>
      </c>
      <c r="G355" s="32" t="s">
        <v>2352</v>
      </c>
      <c r="K355" s="32" t="s">
        <v>1972</v>
      </c>
      <c r="R355" s="32" t="str">
        <f t="shared" si="2"/>
        <v>35. Rhodostemonodaphne</v>
      </c>
    </row>
    <row r="356" ht="14.25" customHeight="1">
      <c r="A356" s="68" t="s">
        <v>6262</v>
      </c>
      <c r="B356" s="68">
        <v>35.0</v>
      </c>
      <c r="C356" s="10" t="s">
        <v>6265</v>
      </c>
      <c r="G356" s="32" t="s">
        <v>2369</v>
      </c>
      <c r="K356" s="32" t="s">
        <v>1975</v>
      </c>
      <c r="R356" s="32" t="str">
        <f t="shared" si="2"/>
        <v>35. Callistemon</v>
      </c>
    </row>
    <row r="357" ht="14.25" customHeight="1">
      <c r="A357" s="68" t="s">
        <v>728</v>
      </c>
      <c r="B357" s="68">
        <v>36.0</v>
      </c>
      <c r="C357" s="10" t="s">
        <v>729</v>
      </c>
      <c r="G357" s="32" t="s">
        <v>2374</v>
      </c>
      <c r="K357" s="32" t="s">
        <v>1978</v>
      </c>
      <c r="R357" s="32" t="str">
        <f t="shared" si="2"/>
        <v>36. Cariniana</v>
      </c>
    </row>
    <row r="358" ht="14.25" customHeight="1">
      <c r="A358" s="68" t="s">
        <v>728</v>
      </c>
      <c r="B358" s="68">
        <v>36.0</v>
      </c>
      <c r="C358" s="10" t="s">
        <v>1112</v>
      </c>
      <c r="G358" s="32" t="s">
        <v>2410</v>
      </c>
      <c r="K358" s="32" t="s">
        <v>667</v>
      </c>
      <c r="R358" s="32" t="str">
        <f t="shared" si="2"/>
        <v>36. Couratari</v>
      </c>
    </row>
    <row r="359" ht="14.25" customHeight="1">
      <c r="A359" s="68" t="s">
        <v>728</v>
      </c>
      <c r="B359" s="68">
        <v>36.0</v>
      </c>
      <c r="C359" s="10" t="s">
        <v>1116</v>
      </c>
      <c r="G359" s="32" t="s">
        <v>2432</v>
      </c>
      <c r="K359" s="32" t="s">
        <v>1983</v>
      </c>
      <c r="R359" s="32" t="str">
        <f t="shared" si="2"/>
        <v>36. Couroupita</v>
      </c>
    </row>
    <row r="360" ht="14.25" customHeight="1">
      <c r="A360" s="68" t="s">
        <v>728</v>
      </c>
      <c r="B360" s="68">
        <v>36.0</v>
      </c>
      <c r="C360" s="10" t="s">
        <v>1354</v>
      </c>
      <c r="G360" s="32" t="s">
        <v>2473</v>
      </c>
      <c r="K360" s="32" t="s">
        <v>1986</v>
      </c>
      <c r="R360" s="32" t="str">
        <f t="shared" si="2"/>
        <v>36. Eschweilera</v>
      </c>
    </row>
    <row r="361" ht="14.25" customHeight="1">
      <c r="A361" s="68" t="s">
        <v>728</v>
      </c>
      <c r="B361" s="68">
        <v>36.0</v>
      </c>
      <c r="C361" s="10" t="s">
        <v>1573</v>
      </c>
      <c r="G361" s="32" t="s">
        <v>2479</v>
      </c>
      <c r="K361" s="32" t="s">
        <v>1989</v>
      </c>
      <c r="R361" s="32" t="str">
        <f t="shared" si="2"/>
        <v>36. Gustavia</v>
      </c>
    </row>
    <row r="362" ht="14.25" customHeight="1">
      <c r="A362" s="68" t="s">
        <v>728</v>
      </c>
      <c r="B362" s="68">
        <v>36.0</v>
      </c>
      <c r="C362" s="10" t="s">
        <v>1825</v>
      </c>
      <c r="G362" s="32" t="s">
        <v>2498</v>
      </c>
      <c r="K362" s="32" t="s">
        <v>1998</v>
      </c>
      <c r="R362" s="32" t="str">
        <f t="shared" si="2"/>
        <v>36. Lecythis</v>
      </c>
    </row>
    <row r="363" ht="14.25" customHeight="1">
      <c r="A363" s="68" t="s">
        <v>125</v>
      </c>
      <c r="B363" s="68">
        <v>37.0</v>
      </c>
      <c r="C363" s="10" t="s">
        <v>1791</v>
      </c>
      <c r="G363" s="32" t="s">
        <v>2517</v>
      </c>
      <c r="K363" s="32" t="s">
        <v>3230</v>
      </c>
      <c r="R363" s="32" t="str">
        <f t="shared" si="2"/>
        <v>37. Lafoensia</v>
      </c>
    </row>
    <row r="364" ht="14.25" customHeight="1">
      <c r="A364" s="68" t="s">
        <v>125</v>
      </c>
      <c r="B364" s="68">
        <v>37.0</v>
      </c>
      <c r="C364" s="10" t="s">
        <v>1801</v>
      </c>
      <c r="G364" s="32" t="s">
        <v>2528</v>
      </c>
      <c r="K364" s="32" t="s">
        <v>3121</v>
      </c>
      <c r="R364" s="32" t="str">
        <f t="shared" si="2"/>
        <v>37. Lagerstroemia</v>
      </c>
    </row>
    <row r="365" ht="14.25" customHeight="1">
      <c r="A365" s="68" t="s">
        <v>125</v>
      </c>
      <c r="B365" s="68">
        <v>37.0</v>
      </c>
      <c r="C365" s="10" t="s">
        <v>2531</v>
      </c>
      <c r="G365" s="32" t="s">
        <v>2629</v>
      </c>
      <c r="K365" s="32" t="s">
        <v>2003</v>
      </c>
      <c r="R365" s="32" t="str">
        <f t="shared" si="2"/>
        <v>37. Punica</v>
      </c>
    </row>
    <row r="366" ht="14.25" customHeight="1">
      <c r="A366" s="68" t="s">
        <v>1920</v>
      </c>
      <c r="B366" s="68">
        <v>38.0</v>
      </c>
      <c r="C366" s="10" t="s">
        <v>1921</v>
      </c>
      <c r="G366" s="32" t="s">
        <v>2667</v>
      </c>
      <c r="K366" s="32" t="s">
        <v>2006</v>
      </c>
      <c r="R366" s="32" t="str">
        <f t="shared" si="2"/>
        <v>38. Magnolia</v>
      </c>
    </row>
    <row r="367" ht="14.25" customHeight="1">
      <c r="A367" s="68" t="s">
        <v>596</v>
      </c>
      <c r="B367" s="68">
        <v>39.0</v>
      </c>
      <c r="C367" s="10" t="s">
        <v>597</v>
      </c>
      <c r="G367" s="32" t="s">
        <v>782</v>
      </c>
      <c r="K367" s="32" t="s">
        <v>2010</v>
      </c>
      <c r="R367" s="32" t="str">
        <f t="shared" si="2"/>
        <v>39. Bunchosia</v>
      </c>
    </row>
    <row r="368" ht="14.25" customHeight="1">
      <c r="A368" s="68" t="s">
        <v>596</v>
      </c>
      <c r="B368" s="68">
        <v>39.0</v>
      </c>
      <c r="C368" s="10" t="s">
        <v>615</v>
      </c>
      <c r="G368" s="32" t="s">
        <v>2690</v>
      </c>
      <c r="K368" s="32" t="s">
        <v>2044</v>
      </c>
      <c r="R368" s="32" t="str">
        <f t="shared" si="2"/>
        <v>39. Byrsonima</v>
      </c>
    </row>
    <row r="369" ht="14.25" customHeight="1">
      <c r="A369" s="68" t="s">
        <v>596</v>
      </c>
      <c r="B369" s="68">
        <v>39.0</v>
      </c>
      <c r="C369" s="10" t="s">
        <v>1508</v>
      </c>
      <c r="G369" s="32" t="s">
        <v>2770</v>
      </c>
      <c r="K369" s="32" t="s">
        <v>2047</v>
      </c>
      <c r="R369" s="32" t="str">
        <f t="shared" si="2"/>
        <v>39. Galphimia</v>
      </c>
    </row>
    <row r="370" ht="14.25" customHeight="1">
      <c r="A370" s="68" t="s">
        <v>596</v>
      </c>
      <c r="B370" s="68">
        <v>39.0</v>
      </c>
      <c r="C370" s="10" t="s">
        <v>1931</v>
      </c>
      <c r="G370" s="32" t="s">
        <v>2776</v>
      </c>
      <c r="K370" s="32" t="s">
        <v>2050</v>
      </c>
      <c r="R370" s="32" t="str">
        <f t="shared" si="2"/>
        <v>39. Malpighia</v>
      </c>
    </row>
    <row r="371" ht="14.25" customHeight="1">
      <c r="A371" s="68" t="s">
        <v>596</v>
      </c>
      <c r="B371" s="68">
        <v>39.0</v>
      </c>
      <c r="C371" s="10" t="s">
        <v>2739</v>
      </c>
      <c r="G371" s="32" t="s">
        <v>2846</v>
      </c>
      <c r="K371" s="32" t="s">
        <v>2056</v>
      </c>
      <c r="R371" s="32" t="str">
        <f t="shared" si="2"/>
        <v>39. Spachea</v>
      </c>
    </row>
    <row r="372" ht="14.25" customHeight="1">
      <c r="A372" s="68" t="s">
        <v>45</v>
      </c>
      <c r="B372" s="68">
        <v>40.0</v>
      </c>
      <c r="C372" s="10" t="s">
        <v>48</v>
      </c>
      <c r="G372" s="32" t="s">
        <v>2855</v>
      </c>
      <c r="K372" s="32" t="s">
        <v>3236</v>
      </c>
      <c r="R372" s="32" t="str">
        <f t="shared" si="2"/>
        <v>40. Abelmoschus</v>
      </c>
    </row>
    <row r="373" ht="14.25" customHeight="1">
      <c r="A373" s="68" t="s">
        <v>45</v>
      </c>
      <c r="B373" s="68">
        <v>40.0</v>
      </c>
      <c r="C373" s="10" t="s">
        <v>50</v>
      </c>
      <c r="G373" s="32" t="s">
        <v>637</v>
      </c>
      <c r="K373" s="32" t="s">
        <v>2416</v>
      </c>
      <c r="R373" s="32" t="str">
        <f t="shared" si="2"/>
        <v>40. Abutilon</v>
      </c>
    </row>
    <row r="374" ht="14.25" customHeight="1">
      <c r="A374" s="68" t="s">
        <v>45</v>
      </c>
      <c r="B374" s="68">
        <v>40.0</v>
      </c>
      <c r="C374" s="10" t="s">
        <v>314</v>
      </c>
      <c r="G374" s="32" t="s">
        <v>2995</v>
      </c>
      <c r="K374" s="32" t="s">
        <v>2059</v>
      </c>
      <c r="R374" s="32" t="str">
        <f t="shared" si="2"/>
        <v>40. Apeiba</v>
      </c>
    </row>
    <row r="375" ht="14.25" customHeight="1">
      <c r="A375" s="68" t="s">
        <v>45</v>
      </c>
      <c r="B375" s="68">
        <v>40.0</v>
      </c>
      <c r="C375" s="10" t="s">
        <v>510</v>
      </c>
      <c r="G375" s="32" t="s">
        <v>3007</v>
      </c>
      <c r="K375" s="32" t="s">
        <v>2063</v>
      </c>
      <c r="R375" s="32" t="str">
        <f t="shared" si="2"/>
        <v>40. Bombax</v>
      </c>
    </row>
    <row r="376" ht="14.25" customHeight="1">
      <c r="A376" s="68" t="s">
        <v>45</v>
      </c>
      <c r="B376" s="68">
        <v>40.0</v>
      </c>
      <c r="C376" s="10" t="s">
        <v>798</v>
      </c>
      <c r="G376" s="32" t="s">
        <v>3104</v>
      </c>
      <c r="K376" s="32" t="s">
        <v>2066</v>
      </c>
      <c r="R376" s="32" t="str">
        <f t="shared" si="2"/>
        <v>40. Cavanillesia</v>
      </c>
    </row>
    <row r="377" ht="14.25" customHeight="1">
      <c r="A377" s="68" t="s">
        <v>45</v>
      </c>
      <c r="B377" s="68">
        <v>40.0</v>
      </c>
      <c r="C377" s="10" t="s">
        <v>829</v>
      </c>
      <c r="F377" s="32" t="s">
        <v>6261</v>
      </c>
      <c r="K377" s="32" t="s">
        <v>2068</v>
      </c>
      <c r="R377" s="32" t="str">
        <f t="shared" si="2"/>
        <v>40. Ceiba</v>
      </c>
    </row>
    <row r="378" ht="14.25" customHeight="1">
      <c r="A378" s="68" t="s">
        <v>45</v>
      </c>
      <c r="B378" s="68">
        <v>40.0</v>
      </c>
      <c r="C378" s="10" t="s">
        <v>1258</v>
      </c>
      <c r="G378" s="32" t="s">
        <v>631</v>
      </c>
      <c r="K378" s="32" t="s">
        <v>711</v>
      </c>
      <c r="R378" s="32" t="str">
        <f t="shared" si="2"/>
        <v>40. Dombeya</v>
      </c>
    </row>
    <row r="379" ht="14.25" customHeight="1">
      <c r="A379" s="68" t="s">
        <v>45</v>
      </c>
      <c r="B379" s="68">
        <v>40.0</v>
      </c>
      <c r="C379" s="10" t="s">
        <v>1541</v>
      </c>
      <c r="F379" s="32" t="s">
        <v>2543</v>
      </c>
      <c r="K379" s="32" t="s">
        <v>2074</v>
      </c>
      <c r="R379" s="32" t="str">
        <f t="shared" si="2"/>
        <v>40. Gossypium</v>
      </c>
    </row>
    <row r="380" ht="14.25" customHeight="1">
      <c r="A380" s="68" t="s">
        <v>45</v>
      </c>
      <c r="B380" s="68">
        <v>40.0</v>
      </c>
      <c r="C380" s="10" t="s">
        <v>1570</v>
      </c>
      <c r="G380" s="32" t="s">
        <v>2544</v>
      </c>
      <c r="K380" s="32" t="s">
        <v>2082</v>
      </c>
      <c r="R380" s="32" t="str">
        <f t="shared" si="2"/>
        <v>40. Guazuma</v>
      </c>
    </row>
    <row r="381" ht="14.25" customHeight="1">
      <c r="A381" s="68" t="s">
        <v>45</v>
      </c>
      <c r="B381" s="68">
        <v>40.0</v>
      </c>
      <c r="C381" s="10" t="s">
        <v>1585</v>
      </c>
      <c r="F381" s="32" t="s">
        <v>403</v>
      </c>
      <c r="K381" s="32" t="s">
        <v>2088</v>
      </c>
      <c r="R381" s="32" t="str">
        <f t="shared" si="2"/>
        <v>40. Hampea</v>
      </c>
    </row>
    <row r="382" ht="14.25" customHeight="1">
      <c r="A382" s="68" t="s">
        <v>45</v>
      </c>
      <c r="B382" s="68">
        <v>40.0</v>
      </c>
      <c r="C382" s="10" t="s">
        <v>1603</v>
      </c>
      <c r="G382" s="32" t="s">
        <v>404</v>
      </c>
      <c r="K382" s="32" t="s">
        <v>2091</v>
      </c>
      <c r="R382" s="32" t="str">
        <f t="shared" si="2"/>
        <v>40. Heliocarpus</v>
      </c>
    </row>
    <row r="383" ht="14.25" customHeight="1">
      <c r="A383" s="68" t="s">
        <v>45</v>
      </c>
      <c r="B383" s="68">
        <v>40.0</v>
      </c>
      <c r="C383" s="10" t="s">
        <v>1612</v>
      </c>
      <c r="F383" s="32" t="s">
        <v>1913</v>
      </c>
      <c r="K383" s="32" t="s">
        <v>2098</v>
      </c>
      <c r="R383" s="32" t="str">
        <f t="shared" si="2"/>
        <v>40. Herrania</v>
      </c>
    </row>
    <row r="384" ht="14.25" customHeight="1">
      <c r="A384" s="68" t="s">
        <v>45</v>
      </c>
      <c r="B384" s="68">
        <v>40.0</v>
      </c>
      <c r="C384" s="10" t="s">
        <v>1618</v>
      </c>
      <c r="G384" s="32" t="s">
        <v>1706</v>
      </c>
      <c r="K384" s="32" t="s">
        <v>2108</v>
      </c>
      <c r="R384" s="32" t="str">
        <f t="shared" si="2"/>
        <v>40. Hibiscus</v>
      </c>
    </row>
    <row r="385" ht="14.25" customHeight="1">
      <c r="A385" s="68" t="s">
        <v>45</v>
      </c>
      <c r="B385" s="68">
        <v>40.0</v>
      </c>
      <c r="C385" s="10" t="s">
        <v>1645</v>
      </c>
      <c r="G385" s="32" t="s">
        <v>1914</v>
      </c>
      <c r="K385" s="32" t="s">
        <v>2114</v>
      </c>
      <c r="R385" s="32" t="str">
        <f t="shared" si="2"/>
        <v>40. Hoheria</v>
      </c>
    </row>
    <row r="386" ht="14.25" customHeight="1">
      <c r="A386" s="68" t="s">
        <v>45</v>
      </c>
      <c r="B386" s="68">
        <v>40.0</v>
      </c>
      <c r="C386" s="10" t="s">
        <v>3111</v>
      </c>
      <c r="F386" s="32" t="s">
        <v>3036</v>
      </c>
      <c r="K386" s="32" t="s">
        <v>2117</v>
      </c>
      <c r="R386" s="32" t="str">
        <f t="shared" si="2"/>
        <v>40. Kleinhovia</v>
      </c>
    </row>
    <row r="387" ht="14.25" customHeight="1">
      <c r="A387" s="68" t="s">
        <v>45</v>
      </c>
      <c r="B387" s="68">
        <v>40.0</v>
      </c>
      <c r="C387" s="10" t="s">
        <v>1897</v>
      </c>
      <c r="G387" s="32" t="s">
        <v>3037</v>
      </c>
      <c r="K387" s="32" t="s">
        <v>3569</v>
      </c>
      <c r="R387" s="32" t="str">
        <f t="shared" si="2"/>
        <v>40. Luehea</v>
      </c>
    </row>
    <row r="388" ht="14.25" customHeight="1">
      <c r="A388" s="68" t="s">
        <v>45</v>
      </c>
      <c r="B388" s="68">
        <v>40.0</v>
      </c>
      <c r="C388" s="10" t="s">
        <v>1942</v>
      </c>
      <c r="F388" s="32" t="s">
        <v>203</v>
      </c>
      <c r="K388" s="32" t="s">
        <v>95</v>
      </c>
      <c r="R388" s="32" t="str">
        <f t="shared" si="2"/>
        <v>40. Malvaviscus</v>
      </c>
    </row>
    <row r="389" ht="14.25" customHeight="1">
      <c r="A389" s="68" t="s">
        <v>45</v>
      </c>
      <c r="B389" s="68">
        <v>40.0</v>
      </c>
      <c r="C389" s="10" t="s">
        <v>1967</v>
      </c>
      <c r="G389" s="32" t="s">
        <v>739</v>
      </c>
      <c r="K389" s="32" t="s">
        <v>2122</v>
      </c>
      <c r="R389" s="32" t="str">
        <f t="shared" si="2"/>
        <v>40. Matisia</v>
      </c>
    </row>
    <row r="390" ht="14.25" customHeight="1">
      <c r="A390" s="68" t="s">
        <v>45</v>
      </c>
      <c r="B390" s="68">
        <v>40.0</v>
      </c>
      <c r="C390" s="10" t="s">
        <v>2145</v>
      </c>
      <c r="G390" s="32" t="s">
        <v>1744</v>
      </c>
      <c r="K390" s="32" t="s">
        <v>311</v>
      </c>
      <c r="R390" s="32" t="str">
        <f t="shared" si="2"/>
        <v>40. Ochroma</v>
      </c>
    </row>
    <row r="391" ht="14.25" customHeight="1">
      <c r="A391" s="68" t="s">
        <v>45</v>
      </c>
      <c r="B391" s="68">
        <v>40.0</v>
      </c>
      <c r="C391" s="10" t="s">
        <v>2185</v>
      </c>
      <c r="F391" s="32" t="s">
        <v>1781</v>
      </c>
      <c r="K391" s="32" t="s">
        <v>2128</v>
      </c>
      <c r="R391" s="32" t="str">
        <f t="shared" si="2"/>
        <v>40. Pachira</v>
      </c>
    </row>
    <row r="392" ht="14.25" customHeight="1">
      <c r="A392" s="68" t="s">
        <v>45</v>
      </c>
      <c r="B392" s="68">
        <v>40.0</v>
      </c>
      <c r="C392" s="10" t="s">
        <v>2238</v>
      </c>
      <c r="G392" s="32" t="s">
        <v>1782</v>
      </c>
      <c r="K392" s="32" t="s">
        <v>2131</v>
      </c>
      <c r="R392" s="32" t="str">
        <f t="shared" si="2"/>
        <v>40. Pavonia</v>
      </c>
    </row>
    <row r="393" ht="14.25" customHeight="1">
      <c r="A393" s="68" t="s">
        <v>45</v>
      </c>
      <c r="B393" s="68">
        <v>40.0</v>
      </c>
      <c r="C393" s="10" t="s">
        <v>2495</v>
      </c>
      <c r="F393" s="32" t="s">
        <v>136</v>
      </c>
      <c r="K393" s="32" t="s">
        <v>2134</v>
      </c>
      <c r="R393" s="32" t="str">
        <f t="shared" si="2"/>
        <v>40. Pseudobombax</v>
      </c>
    </row>
    <row r="394" ht="14.25" customHeight="1">
      <c r="A394" s="68" t="s">
        <v>45</v>
      </c>
      <c r="B394" s="68">
        <v>40.0</v>
      </c>
      <c r="C394" s="10" t="s">
        <v>2540</v>
      </c>
      <c r="G394" s="32" t="s">
        <v>137</v>
      </c>
      <c r="K394" s="32" t="s">
        <v>2137</v>
      </c>
      <c r="R394" s="32" t="str">
        <f t="shared" si="2"/>
        <v>40. Quararibea</v>
      </c>
    </row>
    <row r="395" ht="14.25" customHeight="1">
      <c r="A395" s="68" t="s">
        <v>45</v>
      </c>
      <c r="B395" s="68">
        <v>40.0</v>
      </c>
      <c r="C395" s="10" t="s">
        <v>2693</v>
      </c>
      <c r="G395" s="32" t="s">
        <v>664</v>
      </c>
      <c r="K395" s="32" t="s">
        <v>2140</v>
      </c>
      <c r="R395" s="32" t="str">
        <f t="shared" si="2"/>
        <v>40. Sida</v>
      </c>
    </row>
    <row r="396" ht="14.25" customHeight="1">
      <c r="A396" s="68" t="s">
        <v>45</v>
      </c>
      <c r="B396" s="68">
        <v>40.0</v>
      </c>
      <c r="C396" s="10" t="s">
        <v>103</v>
      </c>
      <c r="G396" s="32" t="s">
        <v>980</v>
      </c>
      <c r="K396" s="32" t="s">
        <v>2145</v>
      </c>
      <c r="R396" s="32" t="str">
        <f t="shared" si="2"/>
        <v>40. Solanaceae</v>
      </c>
    </row>
    <row r="397" ht="14.25" customHeight="1">
      <c r="A397" s="68" t="s">
        <v>45</v>
      </c>
      <c r="B397" s="68">
        <v>40.0</v>
      </c>
      <c r="C397" s="10" t="s">
        <v>2745</v>
      </c>
      <c r="G397" s="32" t="s">
        <v>1042</v>
      </c>
      <c r="K397" s="32" t="s">
        <v>2148</v>
      </c>
      <c r="R397" s="32" t="str">
        <f t="shared" si="2"/>
        <v>40. Spirotheca</v>
      </c>
    </row>
    <row r="398" ht="14.25" customHeight="1">
      <c r="A398" s="68" t="s">
        <v>45</v>
      </c>
      <c r="B398" s="68">
        <v>40.0</v>
      </c>
      <c r="C398" s="10" t="s">
        <v>2767</v>
      </c>
      <c r="G398" s="32" t="s">
        <v>1094</v>
      </c>
      <c r="K398" s="32" t="s">
        <v>2163</v>
      </c>
      <c r="R398" s="32" t="str">
        <f t="shared" si="2"/>
        <v>40. Sterculia</v>
      </c>
    </row>
    <row r="399" ht="14.25" customHeight="1">
      <c r="A399" s="68" t="s">
        <v>45</v>
      </c>
      <c r="B399" s="68">
        <v>40.0</v>
      </c>
      <c r="C399" s="10" t="s">
        <v>2849</v>
      </c>
      <c r="G399" s="32" t="s">
        <v>1538</v>
      </c>
      <c r="K399" s="32" t="s">
        <v>2166</v>
      </c>
      <c r="R399" s="32" t="str">
        <f t="shared" si="2"/>
        <v>40. Talipariti</v>
      </c>
    </row>
    <row r="400" ht="14.25" customHeight="1">
      <c r="A400" s="68" t="s">
        <v>45</v>
      </c>
      <c r="B400" s="68">
        <v>40.0</v>
      </c>
      <c r="C400" s="10" t="s">
        <v>2893</v>
      </c>
      <c r="G400" s="32" t="s">
        <v>1648</v>
      </c>
      <c r="K400" s="32" t="s">
        <v>2169</v>
      </c>
      <c r="R400" s="32" t="str">
        <f t="shared" si="2"/>
        <v>40. Theobroma</v>
      </c>
    </row>
    <row r="401" ht="14.25" customHeight="1">
      <c r="A401" s="68" t="s">
        <v>45</v>
      </c>
      <c r="B401" s="68">
        <v>40.0</v>
      </c>
      <c r="C401" s="10" t="s">
        <v>2900</v>
      </c>
      <c r="G401" s="32" t="s">
        <v>3230</v>
      </c>
      <c r="K401" s="32" t="s">
        <v>2172</v>
      </c>
      <c r="R401" s="32" t="str">
        <f t="shared" si="2"/>
        <v>40. Thespesia</v>
      </c>
    </row>
    <row r="402" ht="14.25" customHeight="1">
      <c r="A402" s="68" t="s">
        <v>45</v>
      </c>
      <c r="B402" s="68">
        <v>40.0</v>
      </c>
      <c r="C402" s="10" t="s">
        <v>2930</v>
      </c>
      <c r="G402" s="32" t="s">
        <v>3121</v>
      </c>
      <c r="K402" s="32" t="s">
        <v>2175</v>
      </c>
      <c r="R402" s="32" t="str">
        <f t="shared" si="2"/>
        <v>40. Tilia</v>
      </c>
    </row>
    <row r="403" ht="14.25" customHeight="1">
      <c r="A403" s="68" t="s">
        <v>45</v>
      </c>
      <c r="B403" s="68">
        <v>40.0</v>
      </c>
      <c r="C403" s="10" t="s">
        <v>2969</v>
      </c>
      <c r="G403" s="32" t="s">
        <v>2273</v>
      </c>
      <c r="K403" s="32" t="s">
        <v>2180</v>
      </c>
      <c r="R403" s="32" t="str">
        <f t="shared" si="2"/>
        <v>40. Trichospermum</v>
      </c>
    </row>
    <row r="404" ht="14.25" customHeight="1">
      <c r="A404" s="68" t="s">
        <v>45</v>
      </c>
      <c r="B404" s="68">
        <v>40.0</v>
      </c>
      <c r="C404" s="10" t="s">
        <v>3004</v>
      </c>
      <c r="G404" s="32" t="s">
        <v>3259</v>
      </c>
      <c r="K404" s="32" t="s">
        <v>2182</v>
      </c>
      <c r="R404" s="32" t="str">
        <f t="shared" si="2"/>
        <v>40. Vasivaea</v>
      </c>
    </row>
    <row r="405" ht="14.25" customHeight="1">
      <c r="A405" s="68" t="s">
        <v>45</v>
      </c>
      <c r="B405" s="68">
        <v>40.0</v>
      </c>
      <c r="C405" s="10" t="s">
        <v>227</v>
      </c>
      <c r="G405" s="32" t="s">
        <v>2624</v>
      </c>
      <c r="K405" s="32" t="s">
        <v>2185</v>
      </c>
      <c r="R405" s="32" t="str">
        <f t="shared" si="2"/>
        <v>40. Verbenaceae</v>
      </c>
    </row>
    <row r="406" ht="14.25" customHeight="1">
      <c r="A406" s="68" t="s">
        <v>471</v>
      </c>
      <c r="B406" s="68">
        <v>41.0</v>
      </c>
      <c r="C406" s="10" t="s">
        <v>472</v>
      </c>
      <c r="G406" s="32" t="s">
        <v>2869</v>
      </c>
      <c r="K406" s="32" t="s">
        <v>2196</v>
      </c>
      <c r="R406" s="32" t="str">
        <f t="shared" si="2"/>
        <v>41. Bellucia</v>
      </c>
    </row>
    <row r="407" ht="14.25" customHeight="1">
      <c r="A407" s="68" t="s">
        <v>471</v>
      </c>
      <c r="B407" s="68">
        <v>41.0</v>
      </c>
      <c r="C407" s="10" t="s">
        <v>531</v>
      </c>
      <c r="G407" s="32" t="s">
        <v>3042</v>
      </c>
      <c r="K407" s="32" t="s">
        <v>2201</v>
      </c>
      <c r="R407" s="32" t="str">
        <f t="shared" si="2"/>
        <v>41. Breonia</v>
      </c>
    </row>
    <row r="408" ht="14.25" customHeight="1">
      <c r="A408" s="68" t="s">
        <v>471</v>
      </c>
      <c r="B408" s="68">
        <v>41.0</v>
      </c>
      <c r="C408" s="10" t="s">
        <v>871</v>
      </c>
      <c r="F408" s="32" t="s">
        <v>158</v>
      </c>
      <c r="K408" s="32" t="s">
        <v>117</v>
      </c>
      <c r="R408" s="32" t="str">
        <f t="shared" si="2"/>
        <v>41. Cespedesia</v>
      </c>
    </row>
    <row r="409" ht="14.25" customHeight="1">
      <c r="A409" s="68" t="s">
        <v>471</v>
      </c>
      <c r="B409" s="68">
        <v>41.0</v>
      </c>
      <c r="C409" s="10" t="s">
        <v>992</v>
      </c>
      <c r="G409" s="32" t="s">
        <v>159</v>
      </c>
      <c r="K409" s="32" t="s">
        <v>2210</v>
      </c>
      <c r="R409" s="32" t="str">
        <f t="shared" si="2"/>
        <v>41. Clidemia</v>
      </c>
    </row>
    <row r="410" ht="14.25" customHeight="1">
      <c r="A410" s="68" t="s">
        <v>471</v>
      </c>
      <c r="B410" s="68">
        <v>41.0</v>
      </c>
      <c r="C410" s="10" t="s">
        <v>1206</v>
      </c>
      <c r="G410" s="32" t="s">
        <v>271</v>
      </c>
      <c r="K410" s="32" t="s">
        <v>498</v>
      </c>
      <c r="R410" s="32" t="str">
        <f t="shared" si="2"/>
        <v>41. Delostoma</v>
      </c>
    </row>
    <row r="411" ht="14.25" customHeight="1">
      <c r="A411" s="68" t="s">
        <v>471</v>
      </c>
      <c r="B411" s="68">
        <v>41.0</v>
      </c>
      <c r="C411" s="10" t="s">
        <v>1983</v>
      </c>
      <c r="G411" s="32" t="s">
        <v>468</v>
      </c>
      <c r="K411" s="32" t="s">
        <v>2216</v>
      </c>
      <c r="R411" s="32" t="str">
        <f t="shared" si="2"/>
        <v>41. Melastoma</v>
      </c>
    </row>
    <row r="412" ht="14.25" customHeight="1">
      <c r="A412" s="68" t="s">
        <v>471</v>
      </c>
      <c r="B412" s="68">
        <v>41.0</v>
      </c>
      <c r="C412" s="10" t="s">
        <v>2003</v>
      </c>
      <c r="G412" s="32" t="s">
        <v>746</v>
      </c>
      <c r="K412" s="32" t="s">
        <v>2219</v>
      </c>
      <c r="R412" s="32" t="str">
        <f t="shared" si="2"/>
        <v>41. Meriania</v>
      </c>
    </row>
    <row r="413" ht="14.25" customHeight="1">
      <c r="A413" s="68" t="s">
        <v>471</v>
      </c>
      <c r="B413" s="68">
        <v>41.0</v>
      </c>
      <c r="C413" s="10" t="s">
        <v>2010</v>
      </c>
      <c r="G413" s="32" t="s">
        <v>924</v>
      </c>
      <c r="K413" s="32" t="s">
        <v>2223</v>
      </c>
      <c r="R413" s="32" t="str">
        <f t="shared" si="2"/>
        <v>41. Miconia</v>
      </c>
    </row>
    <row r="414" ht="14.25" customHeight="1">
      <c r="A414" s="68" t="s">
        <v>471</v>
      </c>
      <c r="B414" s="68">
        <v>41.0</v>
      </c>
      <c r="C414" s="10" t="s">
        <v>2919</v>
      </c>
      <c r="G414" s="32" t="s">
        <v>1314</v>
      </c>
      <c r="K414" s="32" t="s">
        <v>2227</v>
      </c>
      <c r="R414" s="32" t="str">
        <f t="shared" si="2"/>
        <v>41. Tibouchina</v>
      </c>
    </row>
    <row r="415" ht="14.25" customHeight="1">
      <c r="A415" s="68" t="s">
        <v>411</v>
      </c>
      <c r="B415" s="68">
        <v>42.0</v>
      </c>
      <c r="C415" s="10" t="s">
        <v>412</v>
      </c>
      <c r="G415" s="32" t="s">
        <v>1819</v>
      </c>
      <c r="K415" s="32" t="s">
        <v>2230</v>
      </c>
      <c r="R415" s="32" t="str">
        <f t="shared" si="2"/>
        <v>42. Azadirachta</v>
      </c>
    </row>
    <row r="416" ht="14.25" customHeight="1">
      <c r="A416" s="68" t="s">
        <v>411</v>
      </c>
      <c r="B416" s="68">
        <v>42.0</v>
      </c>
      <c r="C416" s="10" t="s">
        <v>718</v>
      </c>
      <c r="G416" s="32" t="s">
        <v>1852</v>
      </c>
      <c r="K416" s="32" t="s">
        <v>2235</v>
      </c>
      <c r="R416" s="32" t="str">
        <f t="shared" si="2"/>
        <v>42. Carapa</v>
      </c>
    </row>
    <row r="417" ht="14.25" customHeight="1">
      <c r="A417" s="68" t="s">
        <v>411</v>
      </c>
      <c r="B417" s="68">
        <v>42.0</v>
      </c>
      <c r="C417" s="10" t="s">
        <v>816</v>
      </c>
      <c r="G417" s="32" t="s">
        <v>1879</v>
      </c>
      <c r="K417" s="32" t="s">
        <v>2238</v>
      </c>
      <c r="R417" s="32" t="str">
        <f t="shared" si="2"/>
        <v>42. Cedrela</v>
      </c>
    </row>
    <row r="418" ht="14.25" customHeight="1">
      <c r="A418" s="68" t="s">
        <v>411</v>
      </c>
      <c r="B418" s="68">
        <v>42.0</v>
      </c>
      <c r="C418" s="10" t="s">
        <v>1297</v>
      </c>
      <c r="G418" s="32" t="s">
        <v>2006</v>
      </c>
      <c r="K418" s="32" t="s">
        <v>2241</v>
      </c>
      <c r="R418" s="32" t="str">
        <f t="shared" si="2"/>
        <v>42. Dysoxylum</v>
      </c>
    </row>
    <row r="419" ht="14.25" customHeight="1">
      <c r="A419" s="68" t="s">
        <v>411</v>
      </c>
      <c r="B419" s="68">
        <v>42.0</v>
      </c>
      <c r="C419" s="10" t="s">
        <v>1562</v>
      </c>
      <c r="G419" s="32" t="s">
        <v>2122</v>
      </c>
      <c r="K419" s="32" t="s">
        <v>2244</v>
      </c>
      <c r="R419" s="32" t="str">
        <f t="shared" si="2"/>
        <v>42. Guarea</v>
      </c>
    </row>
    <row r="420" ht="14.25" customHeight="1">
      <c r="A420" s="68" t="s">
        <v>411</v>
      </c>
      <c r="B420" s="68">
        <v>42.0</v>
      </c>
      <c r="C420" s="10" t="s">
        <v>1986</v>
      </c>
      <c r="G420" s="32" t="s">
        <v>2148</v>
      </c>
      <c r="K420" s="32" t="s">
        <v>2247</v>
      </c>
      <c r="R420" s="32" t="str">
        <f t="shared" si="2"/>
        <v>42. Melia</v>
      </c>
    </row>
    <row r="421" ht="14.25" customHeight="1">
      <c r="A421" s="68" t="s">
        <v>411</v>
      </c>
      <c r="B421" s="68">
        <v>42.0</v>
      </c>
      <c r="C421" s="10" t="s">
        <v>2600</v>
      </c>
      <c r="G421" s="32" t="s">
        <v>2263</v>
      </c>
      <c r="K421" s="32" t="s">
        <v>2250</v>
      </c>
      <c r="R421" s="32" t="str">
        <f t="shared" si="2"/>
        <v>42. Ruagea</v>
      </c>
    </row>
    <row r="422" ht="14.25" customHeight="1">
      <c r="A422" s="68" t="s">
        <v>411</v>
      </c>
      <c r="B422" s="68">
        <v>42.0</v>
      </c>
      <c r="C422" s="10" t="s">
        <v>2785</v>
      </c>
      <c r="G422" s="32" t="s">
        <v>2383</v>
      </c>
      <c r="K422" s="32" t="s">
        <v>2254</v>
      </c>
      <c r="R422" s="32" t="str">
        <f t="shared" si="2"/>
        <v>42. Swietenia</v>
      </c>
    </row>
    <row r="423" ht="14.25" customHeight="1">
      <c r="A423" s="68" t="s">
        <v>411</v>
      </c>
      <c r="B423" s="68">
        <v>42.0</v>
      </c>
      <c r="C423" s="10" t="s">
        <v>2960</v>
      </c>
      <c r="G423" s="32" t="s">
        <v>2568</v>
      </c>
      <c r="K423" s="32" t="s">
        <v>2257</v>
      </c>
      <c r="R423" s="32" t="str">
        <f t="shared" si="2"/>
        <v>42. Trichilia</v>
      </c>
    </row>
    <row r="424" ht="14.25" customHeight="1">
      <c r="A424" s="68" t="s">
        <v>365</v>
      </c>
      <c r="B424" s="68">
        <v>43.0</v>
      </c>
      <c r="C424" s="10" t="s">
        <v>366</v>
      </c>
      <c r="F424" s="32" t="s">
        <v>6262</v>
      </c>
      <c r="K424" s="32" t="s">
        <v>2260</v>
      </c>
      <c r="R424" s="32" t="str">
        <f t="shared" si="2"/>
        <v>43. Artocarpus</v>
      </c>
    </row>
    <row r="425" ht="14.25" customHeight="1">
      <c r="A425" s="68" t="s">
        <v>365</v>
      </c>
      <c r="B425" s="68">
        <v>43.0</v>
      </c>
      <c r="C425" s="10" t="s">
        <v>537</v>
      </c>
      <c r="G425" s="32" t="s">
        <v>6265</v>
      </c>
      <c r="K425" s="32" t="s">
        <v>2263</v>
      </c>
      <c r="R425" s="32" t="str">
        <f t="shared" si="2"/>
        <v>43. Brosimum</v>
      </c>
    </row>
    <row r="426" ht="14.25" customHeight="1">
      <c r="A426" s="68" t="s">
        <v>365</v>
      </c>
      <c r="B426" s="68">
        <v>43.0</v>
      </c>
      <c r="C426" s="10" t="s">
        <v>540</v>
      </c>
      <c r="F426" s="32" t="s">
        <v>728</v>
      </c>
      <c r="K426" s="32" t="s">
        <v>2270</v>
      </c>
      <c r="R426" s="32" t="str">
        <f t="shared" si="2"/>
        <v>43. Broussonetia</v>
      </c>
    </row>
    <row r="427" ht="14.25" customHeight="1">
      <c r="A427" s="68" t="s">
        <v>365</v>
      </c>
      <c r="B427" s="68">
        <v>43.0</v>
      </c>
      <c r="C427" s="10" t="s">
        <v>785</v>
      </c>
      <c r="G427" s="32" t="s">
        <v>729</v>
      </c>
      <c r="K427" s="32" t="s">
        <v>2273</v>
      </c>
      <c r="R427" s="32" t="str">
        <f t="shared" si="2"/>
        <v>43. Castilla</v>
      </c>
    </row>
    <row r="428" ht="14.25" customHeight="1">
      <c r="A428" s="68" t="s">
        <v>365</v>
      </c>
      <c r="B428" s="68">
        <v>43.0</v>
      </c>
      <c r="C428" s="10" t="s">
        <v>968</v>
      </c>
      <c r="G428" s="32" t="s">
        <v>1112</v>
      </c>
      <c r="K428" s="32" t="s">
        <v>2277</v>
      </c>
      <c r="R428" s="32" t="str">
        <f t="shared" si="2"/>
        <v>43. Clarisia</v>
      </c>
    </row>
    <row r="429" ht="14.25" customHeight="1">
      <c r="A429" s="68" t="s">
        <v>365</v>
      </c>
      <c r="B429" s="68">
        <v>43.0</v>
      </c>
      <c r="C429" s="10" t="s">
        <v>1428</v>
      </c>
      <c r="G429" s="32" t="s">
        <v>1116</v>
      </c>
      <c r="K429" s="32" t="s">
        <v>2280</v>
      </c>
      <c r="R429" s="32" t="str">
        <f t="shared" si="2"/>
        <v>43. Ficus</v>
      </c>
    </row>
    <row r="430" ht="14.25" customHeight="1">
      <c r="A430" s="68" t="s">
        <v>365</v>
      </c>
      <c r="B430" s="68">
        <v>43.0</v>
      </c>
      <c r="C430" s="10" t="s">
        <v>158</v>
      </c>
      <c r="G430" s="32" t="s">
        <v>1354</v>
      </c>
      <c r="K430" s="32" t="s">
        <v>2288</v>
      </c>
      <c r="R430" s="32" t="str">
        <f t="shared" si="2"/>
        <v>43. Lauraceae</v>
      </c>
    </row>
    <row r="431" ht="14.25" customHeight="1">
      <c r="A431" s="68" t="s">
        <v>365</v>
      </c>
      <c r="B431" s="68">
        <v>43.0</v>
      </c>
      <c r="C431" s="10" t="s">
        <v>1910</v>
      </c>
      <c r="G431" s="32" t="s">
        <v>1573</v>
      </c>
      <c r="K431" s="32" t="s">
        <v>2291</v>
      </c>
      <c r="R431" s="32" t="str">
        <f t="shared" si="2"/>
        <v>43. Maclura</v>
      </c>
    </row>
    <row r="432" ht="14.25" customHeight="1">
      <c r="A432" s="68" t="s">
        <v>365</v>
      </c>
      <c r="B432" s="68">
        <v>43.0</v>
      </c>
      <c r="C432" s="10" t="s">
        <v>45</v>
      </c>
      <c r="G432" s="32" t="s">
        <v>1825</v>
      </c>
      <c r="K432" s="32" t="s">
        <v>2302</v>
      </c>
      <c r="R432" s="32" t="str">
        <f t="shared" si="2"/>
        <v>43. Malvaceae</v>
      </c>
    </row>
    <row r="433" ht="14.25" customHeight="1">
      <c r="A433" s="68" t="s">
        <v>365</v>
      </c>
      <c r="B433" s="68">
        <v>43.0</v>
      </c>
      <c r="C433" s="10" t="s">
        <v>2074</v>
      </c>
      <c r="F433" s="32" t="s">
        <v>125</v>
      </c>
      <c r="K433" s="32" t="s">
        <v>2305</v>
      </c>
      <c r="R433" s="32" t="str">
        <f t="shared" si="2"/>
        <v>43. Morus</v>
      </c>
    </row>
    <row r="434" ht="14.25" customHeight="1">
      <c r="A434" s="68" t="s">
        <v>365</v>
      </c>
      <c r="B434" s="68">
        <v>43.0</v>
      </c>
      <c r="C434" s="10" t="s">
        <v>2257</v>
      </c>
      <c r="G434" s="32" t="s">
        <v>1791</v>
      </c>
      <c r="K434" s="32" t="s">
        <v>2310</v>
      </c>
      <c r="R434" s="32" t="str">
        <f t="shared" si="2"/>
        <v>43. Perebea</v>
      </c>
    </row>
    <row r="435" ht="14.25" customHeight="1">
      <c r="A435" s="68" t="s">
        <v>365</v>
      </c>
      <c r="B435" s="68">
        <v>43.0</v>
      </c>
      <c r="C435" s="10" t="s">
        <v>918</v>
      </c>
      <c r="G435" s="32" t="s">
        <v>1801</v>
      </c>
      <c r="K435" s="32" t="s">
        <v>2313</v>
      </c>
      <c r="R435" s="32" t="str">
        <f t="shared" si="2"/>
        <v>43. Sapotaceae</v>
      </c>
    </row>
    <row r="436" ht="14.25" customHeight="1">
      <c r="A436" s="68" t="s">
        <v>365</v>
      </c>
      <c r="B436" s="68">
        <v>43.0</v>
      </c>
      <c r="C436" s="10" t="s">
        <v>2992</v>
      </c>
      <c r="G436" s="32" t="s">
        <v>2531</v>
      </c>
      <c r="K436" s="32" t="s">
        <v>2319</v>
      </c>
      <c r="R436" s="32" t="str">
        <f t="shared" si="2"/>
        <v>43. Uribea</v>
      </c>
    </row>
    <row r="437" ht="14.25" customHeight="1">
      <c r="A437" s="68" t="s">
        <v>2069</v>
      </c>
      <c r="B437" s="68">
        <v>44.0</v>
      </c>
      <c r="C437" s="10" t="s">
        <v>2068</v>
      </c>
      <c r="F437" s="32" t="s">
        <v>1920</v>
      </c>
      <c r="K437" s="32" t="s">
        <v>2322</v>
      </c>
      <c r="R437" s="32" t="str">
        <f t="shared" si="2"/>
        <v>44. Moringa</v>
      </c>
    </row>
    <row r="438" ht="14.25" customHeight="1">
      <c r="A438" s="68" t="s">
        <v>2081</v>
      </c>
      <c r="B438" s="68">
        <v>45.0</v>
      </c>
      <c r="C438" s="10" t="s">
        <v>2082</v>
      </c>
      <c r="G438" s="32" t="s">
        <v>1921</v>
      </c>
      <c r="K438" s="32" t="s">
        <v>2328</v>
      </c>
      <c r="R438" s="32" t="str">
        <f t="shared" si="2"/>
        <v>45. Muntingia</v>
      </c>
    </row>
    <row r="439" ht="14.25" customHeight="1">
      <c r="A439" s="68" t="s">
        <v>2062</v>
      </c>
      <c r="B439" s="68">
        <v>46.0</v>
      </c>
      <c r="C439" s="10" t="s">
        <v>2063</v>
      </c>
      <c r="F439" s="32" t="s">
        <v>596</v>
      </c>
      <c r="K439" s="32" t="s">
        <v>2338</v>
      </c>
      <c r="R439" s="32" t="str">
        <f t="shared" si="2"/>
        <v>46. Morella</v>
      </c>
    </row>
    <row r="440" ht="14.25" customHeight="1">
      <c r="A440" s="68" t="s">
        <v>1049</v>
      </c>
      <c r="B440" s="68">
        <v>47.0</v>
      </c>
      <c r="C440" s="10" t="s">
        <v>1050</v>
      </c>
      <c r="G440" s="32" t="s">
        <v>597</v>
      </c>
      <c r="K440" s="32" t="s">
        <v>3267</v>
      </c>
      <c r="R440" s="32" t="str">
        <f t="shared" si="2"/>
        <v>47. Compsoneura</v>
      </c>
    </row>
    <row r="441" ht="14.25" customHeight="1">
      <c r="A441" s="68" t="s">
        <v>1049</v>
      </c>
      <c r="B441" s="68">
        <v>47.0</v>
      </c>
      <c r="C441" s="10" t="s">
        <v>2180</v>
      </c>
      <c r="G441" s="32" t="s">
        <v>615</v>
      </c>
      <c r="K441" s="32" t="s">
        <v>2349</v>
      </c>
      <c r="R441" s="32" t="str">
        <f t="shared" si="2"/>
        <v>47. Otoba</v>
      </c>
    </row>
    <row r="442" ht="14.25" customHeight="1">
      <c r="A442" s="68" t="s">
        <v>1049</v>
      </c>
      <c r="B442" s="68">
        <v>47.0</v>
      </c>
      <c r="C442" s="10" t="s">
        <v>3027</v>
      </c>
      <c r="G442" s="32" t="s">
        <v>1508</v>
      </c>
      <c r="K442" s="32" t="s">
        <v>2352</v>
      </c>
      <c r="R442" s="32" t="str">
        <f t="shared" si="2"/>
        <v>47. Virola</v>
      </c>
    </row>
    <row r="443" ht="14.25" customHeight="1">
      <c r="A443" s="68" t="s">
        <v>3550</v>
      </c>
      <c r="B443" s="68">
        <v>48.0</v>
      </c>
      <c r="C443" s="10" t="s">
        <v>1105</v>
      </c>
      <c r="G443" s="32" t="s">
        <v>1931</v>
      </c>
      <c r="K443" s="32" t="s">
        <v>2357</v>
      </c>
      <c r="R443" s="32" t="str">
        <f t="shared" si="2"/>
        <v>48. Rosaceae</v>
      </c>
    </row>
    <row r="444" ht="14.25" customHeight="1">
      <c r="A444" s="68" t="s">
        <v>95</v>
      </c>
      <c r="B444" s="68">
        <v>49.0</v>
      </c>
      <c r="C444" s="10" t="s">
        <v>96</v>
      </c>
      <c r="G444" s="32" t="s">
        <v>2739</v>
      </c>
      <c r="K444" s="32" t="s">
        <v>2366</v>
      </c>
      <c r="R444" s="32" t="str">
        <f t="shared" si="2"/>
        <v>49. Acca</v>
      </c>
    </row>
    <row r="445" ht="14.25" customHeight="1">
      <c r="A445" s="68" t="s">
        <v>95</v>
      </c>
      <c r="B445" s="68">
        <v>49.0</v>
      </c>
      <c r="C445" s="10" t="s">
        <v>697</v>
      </c>
      <c r="F445" s="32" t="s">
        <v>45</v>
      </c>
      <c r="K445" s="32" t="s">
        <v>2369</v>
      </c>
      <c r="R445" s="32" t="str">
        <f t="shared" si="2"/>
        <v>49. Calyptranthes</v>
      </c>
    </row>
    <row r="446" ht="14.25" customHeight="1">
      <c r="A446" s="68" t="s">
        <v>95</v>
      </c>
      <c r="B446" s="68">
        <v>49.0</v>
      </c>
      <c r="C446" s="10" t="s">
        <v>704</v>
      </c>
      <c r="G446" s="32" t="s">
        <v>48</v>
      </c>
      <c r="K446" s="32" t="s">
        <v>2374</v>
      </c>
      <c r="R446" s="32" t="str">
        <f t="shared" si="2"/>
        <v>49. Campomanesia</v>
      </c>
    </row>
    <row r="447" ht="14.25" customHeight="1">
      <c r="A447" s="68" t="s">
        <v>95</v>
      </c>
      <c r="B447" s="68">
        <v>49.0</v>
      </c>
      <c r="C447" s="10" t="s">
        <v>1098</v>
      </c>
      <c r="G447" s="32" t="s">
        <v>50</v>
      </c>
      <c r="K447" s="32" t="s">
        <v>592</v>
      </c>
      <c r="R447" s="32" t="str">
        <f t="shared" si="2"/>
        <v>49. Corymbia</v>
      </c>
    </row>
    <row r="448" ht="14.25" customHeight="1">
      <c r="A448" s="68" t="s">
        <v>95</v>
      </c>
      <c r="B448" s="68">
        <v>49.0</v>
      </c>
      <c r="C448" s="10" t="s">
        <v>1367</v>
      </c>
      <c r="G448" s="32" t="s">
        <v>314</v>
      </c>
      <c r="K448" s="32" t="s">
        <v>2377</v>
      </c>
      <c r="R448" s="32" t="str">
        <f t="shared" si="2"/>
        <v>49. Eucalyptus</v>
      </c>
    </row>
    <row r="449" ht="14.25" customHeight="1">
      <c r="A449" s="68" t="s">
        <v>95</v>
      </c>
      <c r="B449" s="68">
        <v>49.0</v>
      </c>
      <c r="C449" s="10" t="s">
        <v>1385</v>
      </c>
      <c r="G449" s="32" t="s">
        <v>510</v>
      </c>
      <c r="K449" s="32" t="s">
        <v>2379</v>
      </c>
      <c r="R449" s="32" t="str">
        <f t="shared" si="2"/>
        <v>49. Eugenia</v>
      </c>
    </row>
    <row r="450" ht="14.25" customHeight="1">
      <c r="A450" s="68" t="s">
        <v>95</v>
      </c>
      <c r="B450" s="68">
        <v>49.0</v>
      </c>
      <c r="C450" s="10" t="s">
        <v>1425</v>
      </c>
      <c r="G450" s="32" t="s">
        <v>798</v>
      </c>
      <c r="K450" s="32" t="s">
        <v>2383</v>
      </c>
      <c r="R450" s="32" t="str">
        <f t="shared" si="2"/>
        <v>49. Feijoa</v>
      </c>
    </row>
    <row r="451" ht="14.25" customHeight="1">
      <c r="A451" s="68" t="s">
        <v>95</v>
      </c>
      <c r="B451" s="68">
        <v>49.0</v>
      </c>
      <c r="C451" s="10" t="s">
        <v>1836</v>
      </c>
      <c r="G451" s="32" t="s">
        <v>829</v>
      </c>
      <c r="K451" s="32" t="s">
        <v>2111</v>
      </c>
      <c r="R451" s="32" t="str">
        <f t="shared" si="2"/>
        <v>49. Leptospermum</v>
      </c>
    </row>
    <row r="452" ht="14.25" customHeight="1">
      <c r="A452" s="68" t="s">
        <v>95</v>
      </c>
      <c r="B452" s="68">
        <v>49.0</v>
      </c>
      <c r="C452" s="10" t="s">
        <v>667</v>
      </c>
      <c r="G452" s="32" t="s">
        <v>1258</v>
      </c>
      <c r="K452" s="32" t="s">
        <v>2387</v>
      </c>
      <c r="R452" s="32" t="str">
        <f t="shared" si="2"/>
        <v>49. Melaleuca</v>
      </c>
    </row>
    <row r="453" ht="14.25" customHeight="1">
      <c r="A453" s="68" t="s">
        <v>95</v>
      </c>
      <c r="B453" s="68">
        <v>49.0</v>
      </c>
      <c r="C453" s="10" t="s">
        <v>2098</v>
      </c>
      <c r="G453" s="32" t="s">
        <v>1541</v>
      </c>
      <c r="K453" s="32" t="s">
        <v>2390</v>
      </c>
      <c r="R453" s="32" t="str">
        <f t="shared" si="2"/>
        <v>49. Myrcia</v>
      </c>
    </row>
    <row r="454" ht="14.25" customHeight="1">
      <c r="A454" s="68" t="s">
        <v>95</v>
      </c>
      <c r="B454" s="68">
        <v>49.0</v>
      </c>
      <c r="C454" s="10" t="s">
        <v>2108</v>
      </c>
      <c r="G454" s="32" t="s">
        <v>1570</v>
      </c>
      <c r="K454" s="32" t="s">
        <v>2400</v>
      </c>
      <c r="R454" s="32" t="str">
        <f t="shared" si="2"/>
        <v>49. Myrcianthes</v>
      </c>
    </row>
    <row r="455" ht="14.25" customHeight="1">
      <c r="A455" s="68" t="s">
        <v>95</v>
      </c>
      <c r="B455" s="68">
        <v>49.0</v>
      </c>
      <c r="C455" s="10" t="s">
        <v>2322</v>
      </c>
      <c r="G455" s="32" t="s">
        <v>1585</v>
      </c>
      <c r="K455" s="32" t="s">
        <v>2401</v>
      </c>
      <c r="R455" s="32" t="str">
        <f t="shared" si="2"/>
        <v>49. Pimenta</v>
      </c>
    </row>
    <row r="456" ht="14.25" customHeight="1">
      <c r="A456" s="68" t="s">
        <v>95</v>
      </c>
      <c r="B456" s="68">
        <v>49.0</v>
      </c>
      <c r="C456" s="10" t="s">
        <v>2111</v>
      </c>
      <c r="G456" s="32" t="s">
        <v>1603</v>
      </c>
      <c r="K456" s="32" t="s">
        <v>2410</v>
      </c>
      <c r="R456" s="32" t="str">
        <f t="shared" si="2"/>
        <v>49. Plinia</v>
      </c>
    </row>
    <row r="457" ht="14.25" customHeight="1">
      <c r="A457" s="68" t="s">
        <v>95</v>
      </c>
      <c r="B457" s="68">
        <v>49.0</v>
      </c>
      <c r="C457" s="10" t="s">
        <v>2501</v>
      </c>
      <c r="G457" s="32" t="s">
        <v>1612</v>
      </c>
      <c r="K457" s="32" t="s">
        <v>2413</v>
      </c>
      <c r="R457" s="32" t="str">
        <f t="shared" si="2"/>
        <v>49. Psidium</v>
      </c>
    </row>
    <row r="458" ht="14.25" customHeight="1">
      <c r="A458" s="68" t="s">
        <v>95</v>
      </c>
      <c r="B458" s="68">
        <v>49.0</v>
      </c>
      <c r="C458" s="10" t="s">
        <v>2804</v>
      </c>
      <c r="G458" s="32" t="s">
        <v>1618</v>
      </c>
      <c r="K458" s="32" t="s">
        <v>2419</v>
      </c>
      <c r="R458" s="32" t="str">
        <f t="shared" si="2"/>
        <v>49. Syzygium</v>
      </c>
    </row>
    <row r="459" ht="14.25" customHeight="1">
      <c r="A459" s="68" t="s">
        <v>6263</v>
      </c>
      <c r="B459" s="68">
        <v>49.0</v>
      </c>
      <c r="C459" s="10" t="s">
        <v>775</v>
      </c>
      <c r="G459" s="32" t="s">
        <v>1645</v>
      </c>
      <c r="K459" s="32" t="s">
        <v>2432</v>
      </c>
      <c r="R459" s="32" t="str">
        <f t="shared" si="2"/>
        <v>49. Cassia</v>
      </c>
    </row>
    <row r="460" ht="14.25" customHeight="1">
      <c r="A460" s="68" t="s">
        <v>516</v>
      </c>
      <c r="B460" s="68">
        <v>50.0</v>
      </c>
      <c r="C460" s="10" t="s">
        <v>517</v>
      </c>
      <c r="G460" s="32" t="s">
        <v>3111</v>
      </c>
      <c r="K460" s="32" t="s">
        <v>2435</v>
      </c>
      <c r="R460" s="32" t="str">
        <f t="shared" si="2"/>
        <v>50. Bougainvillea</v>
      </c>
    </row>
    <row r="461" ht="14.25" customHeight="1">
      <c r="A461" s="68" t="s">
        <v>516</v>
      </c>
      <c r="B461" s="68">
        <v>50.0</v>
      </c>
      <c r="C461" s="10" t="s">
        <v>2349</v>
      </c>
      <c r="G461" s="32" t="s">
        <v>1897</v>
      </c>
      <c r="K461" s="32" t="s">
        <v>2438</v>
      </c>
      <c r="R461" s="32" t="str">
        <f t="shared" si="2"/>
        <v>50. Pisonia</v>
      </c>
    </row>
    <row r="462" ht="14.25" customHeight="1">
      <c r="A462" s="68" t="s">
        <v>870</v>
      </c>
      <c r="B462" s="68">
        <v>51.0</v>
      </c>
      <c r="C462" s="10" t="s">
        <v>2140</v>
      </c>
      <c r="G462" s="32" t="s">
        <v>1942</v>
      </c>
      <c r="K462" s="32" t="s">
        <v>2441</v>
      </c>
      <c r="R462" s="32" t="str">
        <f t="shared" si="2"/>
        <v>51. Ochna</v>
      </c>
    </row>
    <row r="463" ht="14.25" customHeight="1">
      <c r="A463" s="68" t="s">
        <v>870</v>
      </c>
      <c r="B463" s="68">
        <v>51.0</v>
      </c>
      <c r="C463" s="10" t="s">
        <v>310</v>
      </c>
      <c r="G463" s="32" t="s">
        <v>1967</v>
      </c>
      <c r="K463" s="32" t="s">
        <v>2446</v>
      </c>
      <c r="R463" s="32" t="str">
        <f t="shared" si="2"/>
        <v>51. Rubiaceae</v>
      </c>
    </row>
    <row r="464" ht="14.25" customHeight="1">
      <c r="A464" s="68" t="s">
        <v>2055</v>
      </c>
      <c r="B464" s="68">
        <v>52.0</v>
      </c>
      <c r="C464" s="10" t="s">
        <v>2056</v>
      </c>
      <c r="G464" s="32" t="s">
        <v>2145</v>
      </c>
      <c r="K464" s="32" t="s">
        <v>2468</v>
      </c>
      <c r="R464" s="32" t="str">
        <f t="shared" si="2"/>
        <v>52. Minquartia</v>
      </c>
    </row>
    <row r="465" ht="14.25" customHeight="1">
      <c r="A465" s="68" t="s">
        <v>1496</v>
      </c>
      <c r="B465" s="68">
        <v>53.0</v>
      </c>
      <c r="C465" s="10" t="s">
        <v>1497</v>
      </c>
      <c r="G465" s="32" t="s">
        <v>2185</v>
      </c>
      <c r="K465" s="32" t="s">
        <v>2473</v>
      </c>
      <c r="R465" s="32" t="str">
        <f t="shared" si="2"/>
        <v>53. Fraxinus</v>
      </c>
    </row>
    <row r="466" ht="14.25" customHeight="1">
      <c r="A466" s="68" t="s">
        <v>1496</v>
      </c>
      <c r="B466" s="68">
        <v>53.0</v>
      </c>
      <c r="C466" s="10" t="s">
        <v>1726</v>
      </c>
      <c r="G466" s="32" t="s">
        <v>2238</v>
      </c>
      <c r="K466" s="32" t="s">
        <v>2476</v>
      </c>
      <c r="R466" s="32" t="str">
        <f t="shared" si="2"/>
        <v>53. Jasminum</v>
      </c>
    </row>
    <row r="467" ht="14.25" customHeight="1">
      <c r="A467" s="68" t="s">
        <v>1496</v>
      </c>
      <c r="B467" s="68">
        <v>53.0</v>
      </c>
      <c r="C467" s="10" t="s">
        <v>1860</v>
      </c>
      <c r="G467" s="32" t="s">
        <v>2495</v>
      </c>
      <c r="K467" s="32" t="s">
        <v>2479</v>
      </c>
      <c r="R467" s="32" t="str">
        <f t="shared" si="2"/>
        <v>53. Ligustrum</v>
      </c>
    </row>
    <row r="468" ht="14.25" customHeight="1">
      <c r="A468" s="68" t="s">
        <v>1503</v>
      </c>
      <c r="B468" s="68">
        <v>54.0</v>
      </c>
      <c r="C468" s="10" t="s">
        <v>1504</v>
      </c>
      <c r="G468" s="32" t="s">
        <v>2540</v>
      </c>
      <c r="K468" s="32" t="s">
        <v>2482</v>
      </c>
      <c r="R468" s="32" t="str">
        <f t="shared" si="2"/>
        <v>54. Fuchsia</v>
      </c>
    </row>
    <row r="469" ht="14.25" customHeight="1">
      <c r="A469" s="68" t="s">
        <v>1503</v>
      </c>
      <c r="B469" s="68">
        <v>54.0</v>
      </c>
      <c r="C469" s="10" t="s">
        <v>1894</v>
      </c>
      <c r="G469" s="32" t="s">
        <v>2693</v>
      </c>
      <c r="K469" s="32" t="s">
        <v>2485</v>
      </c>
      <c r="R469" s="32" t="str">
        <f t="shared" si="2"/>
        <v>54. Ludwigia</v>
      </c>
    </row>
    <row r="470" ht="14.25" customHeight="1">
      <c r="A470" s="68" t="s">
        <v>1362</v>
      </c>
      <c r="B470" s="68">
        <v>55.0</v>
      </c>
      <c r="C470" s="10" t="s">
        <v>1363</v>
      </c>
      <c r="G470" s="32" t="s">
        <v>103</v>
      </c>
      <c r="K470" s="32" t="s">
        <v>2492</v>
      </c>
      <c r="R470" s="32" t="str">
        <f t="shared" si="2"/>
        <v>55. Escobedia</v>
      </c>
    </row>
    <row r="471" ht="14.25" customHeight="1">
      <c r="A471" s="68" t="s">
        <v>407</v>
      </c>
      <c r="B471" s="68">
        <v>56.0</v>
      </c>
      <c r="C471" s="10" t="s">
        <v>408</v>
      </c>
      <c r="G471" s="32" t="s">
        <v>2745</v>
      </c>
      <c r="K471" s="32" t="s">
        <v>2495</v>
      </c>
      <c r="R471" s="32" t="str">
        <f t="shared" si="2"/>
        <v>56. Averrhoa</v>
      </c>
    </row>
    <row r="472" ht="14.25" customHeight="1">
      <c r="A472" s="68" t="s">
        <v>2211</v>
      </c>
      <c r="B472" s="68">
        <v>57.0</v>
      </c>
      <c r="C472" s="10" t="s">
        <v>2210</v>
      </c>
      <c r="G472" s="32" t="s">
        <v>2767</v>
      </c>
      <c r="K472" s="32" t="s">
        <v>2498</v>
      </c>
      <c r="R472" s="32" t="str">
        <f t="shared" si="2"/>
        <v>57. Pandanus</v>
      </c>
    </row>
    <row r="473" ht="14.25" customHeight="1">
      <c r="A473" s="68" t="s">
        <v>498</v>
      </c>
      <c r="B473" s="68">
        <v>58.0</v>
      </c>
      <c r="C473" s="10" t="s">
        <v>499</v>
      </c>
      <c r="G473" s="32" t="s">
        <v>2849</v>
      </c>
      <c r="K473" s="32" t="s">
        <v>2501</v>
      </c>
      <c r="R473" s="32" t="str">
        <f t="shared" si="2"/>
        <v>58. Bocconia</v>
      </c>
    </row>
    <row r="474" ht="14.25" customHeight="1">
      <c r="A474" s="68" t="s">
        <v>6264</v>
      </c>
      <c r="B474" s="68">
        <v>58.0</v>
      </c>
      <c r="C474" s="10" t="s">
        <v>939</v>
      </c>
      <c r="G474" s="32" t="s">
        <v>2893</v>
      </c>
      <c r="K474" s="32" t="s">
        <v>2514</v>
      </c>
      <c r="R474" s="32" t="str">
        <f t="shared" si="2"/>
        <v>58. Citrus</v>
      </c>
    </row>
    <row r="475" ht="14.25" customHeight="1">
      <c r="A475" s="68" t="s">
        <v>2226</v>
      </c>
      <c r="B475" s="68">
        <v>59.0</v>
      </c>
      <c r="C475" s="10" t="s">
        <v>2227</v>
      </c>
      <c r="G475" s="32" t="s">
        <v>2900</v>
      </c>
      <c r="K475" s="32" t="s">
        <v>2517</v>
      </c>
      <c r="R475" s="32" t="str">
        <f t="shared" si="2"/>
        <v>59. Passiflora</v>
      </c>
    </row>
    <row r="476" ht="14.25" customHeight="1">
      <c r="A476" s="68" t="s">
        <v>2226</v>
      </c>
      <c r="B476" s="68">
        <v>59.0</v>
      </c>
      <c r="C476" s="10" t="s">
        <v>2981</v>
      </c>
      <c r="G476" s="32" t="s">
        <v>2930</v>
      </c>
      <c r="K476" s="32" t="s">
        <v>2524</v>
      </c>
      <c r="R476" s="32" t="str">
        <f t="shared" si="2"/>
        <v>59. Turnera</v>
      </c>
    </row>
    <row r="477" ht="14.25" customHeight="1">
      <c r="A477" s="68" t="s">
        <v>2231</v>
      </c>
      <c r="B477" s="68">
        <v>60.0</v>
      </c>
      <c r="C477" s="10" t="s">
        <v>2230</v>
      </c>
      <c r="G477" s="32" t="s">
        <v>2969</v>
      </c>
      <c r="K477" s="32" t="s">
        <v>2528</v>
      </c>
      <c r="R477" s="32" t="str">
        <f t="shared" si="2"/>
        <v>60. Paulownia</v>
      </c>
    </row>
    <row r="478" ht="14.25" customHeight="1">
      <c r="A478" s="68" t="s">
        <v>3547</v>
      </c>
      <c r="B478" s="68">
        <v>61.0</v>
      </c>
      <c r="C478" s="10" t="s">
        <v>95</v>
      </c>
      <c r="G478" s="32" t="s">
        <v>3004</v>
      </c>
      <c r="K478" s="32" t="s">
        <v>2531</v>
      </c>
      <c r="R478" s="32" t="str">
        <f t="shared" si="2"/>
        <v>61. Myrtaceae</v>
      </c>
    </row>
    <row r="479" ht="14.25" customHeight="1">
      <c r="A479" s="68" t="s">
        <v>2253</v>
      </c>
      <c r="B479" s="68">
        <v>62.0</v>
      </c>
      <c r="C479" s="10" t="s">
        <v>2254</v>
      </c>
      <c r="G479" s="32" t="s">
        <v>227</v>
      </c>
      <c r="K479" s="32" t="s">
        <v>2534</v>
      </c>
      <c r="R479" s="32" t="str">
        <f t="shared" si="2"/>
        <v>62. Pera</v>
      </c>
    </row>
    <row r="480" ht="14.25" customHeight="1">
      <c r="A480" s="68" t="s">
        <v>2276</v>
      </c>
      <c r="B480" s="68">
        <v>63.0</v>
      </c>
      <c r="C480" s="10" t="s">
        <v>2277</v>
      </c>
      <c r="F480" s="32" t="s">
        <v>471</v>
      </c>
      <c r="K480" s="32" t="s">
        <v>2537</v>
      </c>
      <c r="R480" s="32" t="str">
        <f t="shared" si="2"/>
        <v>63. Petiveria</v>
      </c>
    </row>
    <row r="481" ht="14.25" customHeight="1">
      <c r="A481" s="68" t="s">
        <v>480</v>
      </c>
      <c r="B481" s="68">
        <v>64.0</v>
      </c>
      <c r="C481" s="10" t="s">
        <v>534</v>
      </c>
      <c r="G481" s="32" t="s">
        <v>472</v>
      </c>
      <c r="K481" s="32" t="s">
        <v>2540</v>
      </c>
      <c r="R481" s="32" t="str">
        <f t="shared" si="2"/>
        <v>64. Breynia</v>
      </c>
    </row>
    <row r="482" ht="14.25" customHeight="1">
      <c r="A482" s="68" t="s">
        <v>480</v>
      </c>
      <c r="B482" s="68">
        <v>64.0</v>
      </c>
      <c r="C482" s="10" t="s">
        <v>1638</v>
      </c>
      <c r="G482" s="32" t="s">
        <v>531</v>
      </c>
      <c r="K482" s="32" t="s">
        <v>2544</v>
      </c>
      <c r="R482" s="32" t="str">
        <f t="shared" si="2"/>
        <v>64. Hieronyma</v>
      </c>
    </row>
    <row r="483" ht="14.25" customHeight="1">
      <c r="A483" s="68" t="s">
        <v>480</v>
      </c>
      <c r="B483" s="68">
        <v>64.0</v>
      </c>
      <c r="C483" s="10" t="s">
        <v>1961</v>
      </c>
      <c r="G483" s="32" t="s">
        <v>871</v>
      </c>
      <c r="K483" s="32" t="s">
        <v>2549</v>
      </c>
      <c r="R483" s="32" t="str">
        <f t="shared" si="2"/>
        <v>64. Margaritaria</v>
      </c>
    </row>
    <row r="484" ht="14.25" customHeight="1">
      <c r="A484" s="68" t="s">
        <v>480</v>
      </c>
      <c r="B484" s="68">
        <v>64.0</v>
      </c>
      <c r="C484" s="10" t="s">
        <v>2305</v>
      </c>
      <c r="G484" s="32" t="s">
        <v>992</v>
      </c>
      <c r="K484" s="32" t="s">
        <v>2553</v>
      </c>
      <c r="R484" s="32" t="str">
        <f t="shared" si="2"/>
        <v>64. Phyllanthus</v>
      </c>
    </row>
    <row r="485" ht="14.25" customHeight="1">
      <c r="A485" s="68" t="s">
        <v>2318</v>
      </c>
      <c r="B485" s="68">
        <v>65.0</v>
      </c>
      <c r="C485" s="10" t="s">
        <v>2319</v>
      </c>
      <c r="G485" s="32" t="s">
        <v>1206</v>
      </c>
      <c r="K485" s="32" t="s">
        <v>2556</v>
      </c>
      <c r="R485" s="32" t="str">
        <f t="shared" si="2"/>
        <v>65. Phytolacca</v>
      </c>
    </row>
    <row r="486" ht="14.25" customHeight="1">
      <c r="A486" s="68" t="s">
        <v>2327</v>
      </c>
      <c r="B486" s="68">
        <v>66.0</v>
      </c>
      <c r="C486" s="10" t="s">
        <v>2328</v>
      </c>
      <c r="G486" s="32" t="s">
        <v>1983</v>
      </c>
      <c r="K486" s="32" t="s">
        <v>2559</v>
      </c>
      <c r="R486" s="32" t="str">
        <f t="shared" si="2"/>
        <v>66. Pinus</v>
      </c>
    </row>
    <row r="487" ht="14.25" customHeight="1">
      <c r="A487" s="68" t="s">
        <v>6271</v>
      </c>
      <c r="B487" s="68">
        <v>66.0</v>
      </c>
      <c r="C487" s="10" t="s">
        <v>2328</v>
      </c>
      <c r="G487" s="32" t="s">
        <v>2003</v>
      </c>
      <c r="K487" s="32" t="s">
        <v>2562</v>
      </c>
      <c r="R487" s="32" t="str">
        <f t="shared" si="2"/>
        <v>66. Pinus</v>
      </c>
    </row>
    <row r="488" ht="14.25" customHeight="1">
      <c r="A488" s="68" t="s">
        <v>2337</v>
      </c>
      <c r="B488" s="68">
        <v>67.0</v>
      </c>
      <c r="C488" s="10" t="s">
        <v>2338</v>
      </c>
      <c r="G488" s="32" t="s">
        <v>2010</v>
      </c>
      <c r="K488" s="32" t="s">
        <v>2565</v>
      </c>
      <c r="R488" s="32" t="str">
        <f t="shared" si="2"/>
        <v>67. Piper</v>
      </c>
    </row>
    <row r="489" ht="14.25" customHeight="1">
      <c r="A489" s="68" t="s">
        <v>2356</v>
      </c>
      <c r="B489" s="68">
        <v>68.0</v>
      </c>
      <c r="C489" s="10" t="s">
        <v>2357</v>
      </c>
      <c r="G489" s="32" t="s">
        <v>2919</v>
      </c>
      <c r="K489" s="32" t="s">
        <v>2568</v>
      </c>
      <c r="R489" s="32" t="str">
        <f t="shared" si="2"/>
        <v>68. Pittosporum</v>
      </c>
    </row>
    <row r="490" ht="14.25" customHeight="1">
      <c r="A490" s="68" t="s">
        <v>2386</v>
      </c>
      <c r="B490" s="68">
        <v>69.0</v>
      </c>
      <c r="C490" s="10" t="s">
        <v>2387</v>
      </c>
      <c r="F490" s="32" t="s">
        <v>411</v>
      </c>
      <c r="K490" s="32" t="s">
        <v>2571</v>
      </c>
      <c r="R490" s="32" t="str">
        <f t="shared" si="2"/>
        <v>69. Plumbago</v>
      </c>
    </row>
    <row r="491" ht="14.25" customHeight="1">
      <c r="A491" s="68" t="s">
        <v>431</v>
      </c>
      <c r="B491" s="68">
        <v>70.0</v>
      </c>
      <c r="C491" s="10" t="s">
        <v>433</v>
      </c>
      <c r="G491" s="32" t="s">
        <v>412</v>
      </c>
      <c r="K491" s="32" t="s">
        <v>2574</v>
      </c>
      <c r="R491" s="32" t="str">
        <f t="shared" si="2"/>
        <v>70. Bambusa</v>
      </c>
    </row>
    <row r="492" ht="14.25" customHeight="1">
      <c r="A492" s="68" t="s">
        <v>431</v>
      </c>
      <c r="B492" s="68">
        <v>70.0</v>
      </c>
      <c r="C492" s="10" t="s">
        <v>1554</v>
      </c>
      <c r="G492" s="32" t="s">
        <v>718</v>
      </c>
      <c r="K492" s="32" t="s">
        <v>2579</v>
      </c>
      <c r="R492" s="32" t="str">
        <f t="shared" si="2"/>
        <v>70. Guadua</v>
      </c>
    </row>
    <row r="493" ht="14.25" customHeight="1">
      <c r="A493" s="68" t="s">
        <v>2400</v>
      </c>
      <c r="B493" s="68">
        <v>71.0</v>
      </c>
      <c r="C493" s="10" t="s">
        <v>2401</v>
      </c>
      <c r="G493" s="32" t="s">
        <v>816</v>
      </c>
      <c r="K493" s="32" t="s">
        <v>2582</v>
      </c>
      <c r="R493" s="32" t="str">
        <f t="shared" si="2"/>
        <v>71. Podocarpus</v>
      </c>
    </row>
    <row r="494" ht="14.25" customHeight="1">
      <c r="A494" s="68" t="s">
        <v>2400</v>
      </c>
      <c r="B494" s="68">
        <v>71.0</v>
      </c>
      <c r="C494" s="10" t="s">
        <v>2559</v>
      </c>
      <c r="G494" s="32" t="s">
        <v>1297</v>
      </c>
      <c r="K494" s="32" t="s">
        <v>2585</v>
      </c>
      <c r="R494" s="32" t="str">
        <f t="shared" si="2"/>
        <v>71. Retrophyllum</v>
      </c>
    </row>
    <row r="495" ht="14.25" customHeight="1">
      <c r="A495" s="68" t="s">
        <v>3235</v>
      </c>
      <c r="B495" s="68">
        <v>72.0</v>
      </c>
      <c r="C495" s="10" t="s">
        <v>3236</v>
      </c>
      <c r="G495" s="32" t="s">
        <v>1562</v>
      </c>
      <c r="K495" s="32" t="s">
        <v>1105</v>
      </c>
      <c r="R495" s="32" t="str">
        <f t="shared" si="2"/>
        <v>72. Monnina</v>
      </c>
    </row>
    <row r="496" ht="14.25" customHeight="1">
      <c r="A496" s="68" t="s">
        <v>1015</v>
      </c>
      <c r="B496" s="68">
        <v>73.0</v>
      </c>
      <c r="C496" s="10" t="s">
        <v>1016</v>
      </c>
      <c r="G496" s="32" t="s">
        <v>1986</v>
      </c>
      <c r="K496" s="32" t="s">
        <v>3259</v>
      </c>
      <c r="R496" s="32" t="str">
        <f t="shared" si="2"/>
        <v>73. Coccoloba</v>
      </c>
    </row>
    <row r="497" ht="14.25" customHeight="1">
      <c r="A497" s="68" t="s">
        <v>1015</v>
      </c>
      <c r="B497" s="68">
        <v>73.0</v>
      </c>
      <c r="C497" s="10" t="s">
        <v>2975</v>
      </c>
      <c r="G497" s="32" t="s">
        <v>2600</v>
      </c>
      <c r="K497" s="32" t="s">
        <v>3264</v>
      </c>
      <c r="R497" s="32" t="str">
        <f t="shared" si="2"/>
        <v>73. Triplaris</v>
      </c>
    </row>
    <row r="498" ht="14.25" customHeight="1">
      <c r="A498" s="68" t="s">
        <v>132</v>
      </c>
      <c r="B498" s="68">
        <v>74.0</v>
      </c>
      <c r="C498" s="10" t="s">
        <v>133</v>
      </c>
      <c r="G498" s="32" t="s">
        <v>2785</v>
      </c>
      <c r="K498" s="32" t="s">
        <v>2595</v>
      </c>
      <c r="R498" s="32" t="str">
        <f t="shared" si="2"/>
        <v>74. Aegiceras</v>
      </c>
    </row>
    <row r="499" ht="14.25" customHeight="1">
      <c r="A499" s="68" t="s">
        <v>132</v>
      </c>
      <c r="B499" s="68">
        <v>74.0</v>
      </c>
      <c r="C499" s="10" t="s">
        <v>343</v>
      </c>
      <c r="G499" s="32" t="s">
        <v>2960</v>
      </c>
      <c r="K499" s="32" t="s">
        <v>2600</v>
      </c>
      <c r="R499" s="32" t="str">
        <f t="shared" si="2"/>
        <v>74. Ardisia</v>
      </c>
    </row>
    <row r="500" ht="14.25" customHeight="1">
      <c r="A500" s="68" t="s">
        <v>132</v>
      </c>
      <c r="B500" s="68">
        <v>74.0</v>
      </c>
      <c r="C500" s="10" t="s">
        <v>2117</v>
      </c>
      <c r="F500" s="32" t="s">
        <v>365</v>
      </c>
      <c r="K500" s="32" t="s">
        <v>310</v>
      </c>
      <c r="R500" s="32" t="str">
        <f t="shared" si="2"/>
        <v>74. Myrsine</v>
      </c>
    </row>
    <row r="501" ht="14.25" customHeight="1">
      <c r="A501" s="68" t="s">
        <v>132</v>
      </c>
      <c r="B501" s="68">
        <v>74.0</v>
      </c>
      <c r="C501" s="10" t="s">
        <v>3569</v>
      </c>
      <c r="G501" s="32" t="s">
        <v>366</v>
      </c>
      <c r="K501" s="32" t="s">
        <v>2603</v>
      </c>
      <c r="R501" s="32" t="str">
        <f t="shared" si="2"/>
        <v>74. Myrsine sp.</v>
      </c>
    </row>
    <row r="502" ht="14.25" customHeight="1">
      <c r="A502" s="68" t="s">
        <v>1549</v>
      </c>
      <c r="B502" s="68">
        <v>75.0</v>
      </c>
      <c r="C502" s="10" t="s">
        <v>1550</v>
      </c>
      <c r="G502" s="32" t="s">
        <v>537</v>
      </c>
      <c r="K502" s="32" t="s">
        <v>2607</v>
      </c>
      <c r="R502" s="32" t="str">
        <f t="shared" si="2"/>
        <v>75. Grevillea</v>
      </c>
    </row>
    <row r="503" ht="14.25" customHeight="1">
      <c r="A503" s="68" t="s">
        <v>1549</v>
      </c>
      <c r="B503" s="68">
        <v>75.0</v>
      </c>
      <c r="C503" s="10" t="s">
        <v>1902</v>
      </c>
      <c r="G503" s="32" t="s">
        <v>540</v>
      </c>
      <c r="K503" s="32" t="s">
        <v>2614</v>
      </c>
      <c r="R503" s="32" t="str">
        <f t="shared" si="2"/>
        <v>75. Macadamia</v>
      </c>
    </row>
    <row r="504" ht="14.25" customHeight="1">
      <c r="A504" s="68" t="s">
        <v>1549</v>
      </c>
      <c r="B504" s="68">
        <v>75.0</v>
      </c>
      <c r="C504" s="10" t="s">
        <v>3264</v>
      </c>
      <c r="G504" s="32" t="s">
        <v>785</v>
      </c>
      <c r="K504" s="32" t="s">
        <v>3287</v>
      </c>
      <c r="R504" s="32" t="str">
        <f t="shared" si="2"/>
        <v>75. Roupala</v>
      </c>
    </row>
    <row r="505" ht="14.25" customHeight="1">
      <c r="A505" s="68" t="s">
        <v>2548</v>
      </c>
      <c r="B505" s="68">
        <v>76.0</v>
      </c>
      <c r="C505" s="10" t="s">
        <v>2549</v>
      </c>
      <c r="G505" s="32" t="s">
        <v>968</v>
      </c>
      <c r="K505" s="32" t="s">
        <v>762</v>
      </c>
      <c r="R505" s="32" t="str">
        <f t="shared" si="2"/>
        <v>76. Quillaja</v>
      </c>
    </row>
    <row r="506" ht="14.25" customHeight="1">
      <c r="A506" s="68" t="s">
        <v>1045</v>
      </c>
      <c r="B506" s="68">
        <v>77.0</v>
      </c>
      <c r="C506" s="10" t="s">
        <v>1046</v>
      </c>
      <c r="G506" s="32" t="s">
        <v>1428</v>
      </c>
      <c r="K506" s="32" t="s">
        <v>2617</v>
      </c>
      <c r="R506" s="32" t="str">
        <f t="shared" si="2"/>
        <v>77. Colubrina</v>
      </c>
    </row>
    <row r="507" ht="14.25" customHeight="1">
      <c r="A507" s="68" t="s">
        <v>1045</v>
      </c>
      <c r="B507" s="68">
        <v>77.0</v>
      </c>
      <c r="C507" s="10" t="s">
        <v>1488</v>
      </c>
      <c r="G507" s="32" t="s">
        <v>158</v>
      </c>
      <c r="K507" s="32" t="s">
        <v>2624</v>
      </c>
      <c r="R507" s="32" t="str">
        <f t="shared" si="2"/>
        <v>77. Frangula</v>
      </c>
    </row>
    <row r="508" ht="14.25" customHeight="1">
      <c r="A508" s="68" t="s">
        <v>1045</v>
      </c>
      <c r="B508" s="68">
        <v>77.0</v>
      </c>
      <c r="C508" s="10" t="s">
        <v>3099</v>
      </c>
      <c r="G508" s="32" t="s">
        <v>1910</v>
      </c>
      <c r="K508" s="32" t="s">
        <v>2629</v>
      </c>
      <c r="R508" s="32" t="str">
        <f t="shared" si="2"/>
        <v>77. Ziziphus</v>
      </c>
    </row>
    <row r="509" ht="14.25" customHeight="1">
      <c r="A509" s="68" t="s">
        <v>1105</v>
      </c>
      <c r="B509" s="68">
        <v>78.0</v>
      </c>
      <c r="C509" s="10" t="s">
        <v>1106</v>
      </c>
      <c r="G509" s="32" t="s">
        <v>45</v>
      </c>
      <c r="K509" s="32" t="s">
        <v>2634</v>
      </c>
      <c r="R509" s="32" t="str">
        <f t="shared" si="2"/>
        <v>78. Cotoneaster</v>
      </c>
    </row>
    <row r="510" ht="14.25" customHeight="1">
      <c r="A510" s="68" t="s">
        <v>1105</v>
      </c>
      <c r="B510" s="68">
        <v>78.0</v>
      </c>
      <c r="C510" s="10" t="s">
        <v>1119</v>
      </c>
      <c r="G510" s="32" t="s">
        <v>2074</v>
      </c>
      <c r="K510" s="32" t="s">
        <v>2639</v>
      </c>
      <c r="R510" s="32" t="str">
        <f t="shared" si="2"/>
        <v>78. Crataegus</v>
      </c>
    </row>
    <row r="511" ht="14.25" customHeight="1">
      <c r="A511" s="68" t="s">
        <v>1105</v>
      </c>
      <c r="B511" s="68">
        <v>78.0</v>
      </c>
      <c r="C511" s="10" t="s">
        <v>1323</v>
      </c>
      <c r="G511" s="32" t="s">
        <v>2257</v>
      </c>
      <c r="K511" s="32" t="s">
        <v>2644</v>
      </c>
      <c r="R511" s="32" t="str">
        <f t="shared" si="2"/>
        <v>78. Eriobotrya</v>
      </c>
    </row>
    <row r="512" ht="14.25" customHeight="1">
      <c r="A512" s="68" t="s">
        <v>1105</v>
      </c>
      <c r="B512" s="68">
        <v>78.0</v>
      </c>
      <c r="C512" s="10" t="s">
        <v>1939</v>
      </c>
      <c r="G512" s="32" t="s">
        <v>918</v>
      </c>
      <c r="K512" s="32" t="s">
        <v>2647</v>
      </c>
      <c r="R512" s="32" t="str">
        <f t="shared" si="2"/>
        <v>78. Malus</v>
      </c>
    </row>
    <row r="513" ht="14.25" customHeight="1">
      <c r="A513" s="68" t="s">
        <v>1105</v>
      </c>
      <c r="B513" s="68">
        <v>78.0</v>
      </c>
      <c r="C513" s="10" t="s">
        <v>2302</v>
      </c>
      <c r="G513" s="32" t="s">
        <v>2992</v>
      </c>
      <c r="K513" s="32" t="s">
        <v>918</v>
      </c>
      <c r="R513" s="32" t="str">
        <f t="shared" si="2"/>
        <v>78. Photinia</v>
      </c>
    </row>
    <row r="514" ht="14.25" customHeight="1">
      <c r="A514" s="68" t="s">
        <v>1105</v>
      </c>
      <c r="B514" s="68">
        <v>78.0</v>
      </c>
      <c r="C514" s="10" t="s">
        <v>2310</v>
      </c>
      <c r="F514" s="32" t="s">
        <v>2069</v>
      </c>
      <c r="K514" s="32" t="s">
        <v>2653</v>
      </c>
      <c r="R514" s="32" t="str">
        <f t="shared" si="2"/>
        <v>78. Physocarpus</v>
      </c>
    </row>
    <row r="515" ht="14.25" customHeight="1">
      <c r="A515" s="68" t="s">
        <v>1105</v>
      </c>
      <c r="B515" s="68">
        <v>78.0</v>
      </c>
      <c r="C515" s="10" t="s">
        <v>2485</v>
      </c>
      <c r="G515" s="32" t="s">
        <v>2068</v>
      </c>
      <c r="K515" s="32" t="s">
        <v>2655</v>
      </c>
      <c r="R515" s="32" t="str">
        <f t="shared" si="2"/>
        <v>78. Prunus</v>
      </c>
    </row>
    <row r="516" ht="14.25" customHeight="1">
      <c r="A516" s="68" t="s">
        <v>1105</v>
      </c>
      <c r="B516" s="68">
        <v>78.0</v>
      </c>
      <c r="C516" s="10" t="s">
        <v>2534</v>
      </c>
      <c r="F516" s="32" t="s">
        <v>2081</v>
      </c>
      <c r="K516" s="32" t="s">
        <v>2662</v>
      </c>
      <c r="R516" s="32" t="str">
        <f t="shared" si="2"/>
        <v>78. Pyracantha</v>
      </c>
    </row>
    <row r="517" ht="14.25" customHeight="1">
      <c r="A517" s="68" t="s">
        <v>1105</v>
      </c>
      <c r="B517" s="68">
        <v>78.0</v>
      </c>
      <c r="C517" s="10" t="s">
        <v>2585</v>
      </c>
      <c r="G517" s="32" t="s">
        <v>2082</v>
      </c>
      <c r="K517" s="32" t="s">
        <v>2667</v>
      </c>
      <c r="R517" s="32" t="str">
        <f t="shared" si="2"/>
        <v>78. Rosa</v>
      </c>
    </row>
    <row r="518" ht="14.25" customHeight="1">
      <c r="A518" s="68" t="s">
        <v>6266</v>
      </c>
      <c r="B518" s="68">
        <v>78.0</v>
      </c>
      <c r="C518" s="10" t="s">
        <v>985</v>
      </c>
      <c r="F518" s="32" t="s">
        <v>2062</v>
      </c>
      <c r="K518" s="32" t="s">
        <v>782</v>
      </c>
      <c r="R518" s="32" t="str">
        <f t="shared" si="2"/>
        <v>78. Clethra</v>
      </c>
    </row>
    <row r="519" ht="14.25" customHeight="1">
      <c r="A519" s="68" t="s">
        <v>310</v>
      </c>
      <c r="B519" s="68">
        <v>79.0</v>
      </c>
      <c r="C519" s="10" t="s">
        <v>513</v>
      </c>
      <c r="G519" s="32" t="s">
        <v>2063</v>
      </c>
      <c r="K519" s="32" t="s">
        <v>2690</v>
      </c>
      <c r="R519" s="32" t="str">
        <f t="shared" si="2"/>
        <v>79. Alibertia</v>
      </c>
    </row>
    <row r="520" ht="14.25" customHeight="1">
      <c r="A520" s="68" t="s">
        <v>310</v>
      </c>
      <c r="B520" s="68">
        <v>79.0</v>
      </c>
      <c r="C520" s="10" t="s">
        <v>694</v>
      </c>
      <c r="F520" s="32" t="s">
        <v>1049</v>
      </c>
      <c r="K520" s="32" t="s">
        <v>2693</v>
      </c>
      <c r="R520" s="32" t="str">
        <f t="shared" si="2"/>
        <v>79. Calycophyllum</v>
      </c>
    </row>
    <row r="521" ht="14.25" customHeight="1">
      <c r="A521" s="68" t="s">
        <v>310</v>
      </c>
      <c r="B521" s="68">
        <v>79.0</v>
      </c>
      <c r="C521" s="10" t="s">
        <v>905</v>
      </c>
      <c r="G521" s="32" t="s">
        <v>1050</v>
      </c>
      <c r="K521" s="32" t="s">
        <v>2697</v>
      </c>
      <c r="R521" s="32" t="str">
        <f t="shared" si="2"/>
        <v>79. Cinchona</v>
      </c>
    </row>
    <row r="522" ht="14.25" customHeight="1">
      <c r="A522" s="68" t="s">
        <v>310</v>
      </c>
      <c r="B522" s="68">
        <v>79.0</v>
      </c>
      <c r="C522" s="10" t="s">
        <v>1000</v>
      </c>
      <c r="G522" s="32" t="s">
        <v>2180</v>
      </c>
      <c r="K522" s="32" t="s">
        <v>2701</v>
      </c>
      <c r="R522" s="32" t="str">
        <f t="shared" si="2"/>
        <v>79. Clusia</v>
      </c>
    </row>
    <row r="523" ht="14.25" customHeight="1">
      <c r="A523" s="68" t="s">
        <v>310</v>
      </c>
      <c r="B523" s="68">
        <v>79.0</v>
      </c>
      <c r="C523" s="10" t="s">
        <v>1037</v>
      </c>
      <c r="G523" s="32" t="s">
        <v>3027</v>
      </c>
      <c r="K523" s="32" t="s">
        <v>2704</v>
      </c>
      <c r="R523" s="32" t="str">
        <f t="shared" si="2"/>
        <v>79. Coffea</v>
      </c>
    </row>
    <row r="524" ht="14.25" customHeight="1">
      <c r="A524" s="68" t="s">
        <v>310</v>
      </c>
      <c r="B524" s="68">
        <v>79.0</v>
      </c>
      <c r="C524" s="10" t="s">
        <v>1053</v>
      </c>
      <c r="F524" s="32" t="s">
        <v>3550</v>
      </c>
      <c r="K524" s="32" t="s">
        <v>2707</v>
      </c>
      <c r="R524" s="32" t="str">
        <f t="shared" si="2"/>
        <v>79. Condaminea</v>
      </c>
    </row>
    <row r="525" ht="14.25" customHeight="1">
      <c r="A525" s="68" t="s">
        <v>310</v>
      </c>
      <c r="B525" s="68">
        <v>79.0</v>
      </c>
      <c r="C525" s="10" t="s">
        <v>1518</v>
      </c>
      <c r="G525" s="32" t="s">
        <v>1105</v>
      </c>
      <c r="K525" s="32" t="s">
        <v>103</v>
      </c>
      <c r="R525" s="32" t="str">
        <f t="shared" si="2"/>
        <v>79. Gardenia</v>
      </c>
    </row>
    <row r="526" ht="14.25" customHeight="1">
      <c r="A526" s="68" t="s">
        <v>310</v>
      </c>
      <c r="B526" s="68">
        <v>79.0</v>
      </c>
      <c r="C526" s="10" t="s">
        <v>1521</v>
      </c>
      <c r="F526" s="32" t="s">
        <v>95</v>
      </c>
      <c r="K526" s="32" t="s">
        <v>2709</v>
      </c>
      <c r="R526" s="32" t="str">
        <f t="shared" si="2"/>
        <v>79. Genipa</v>
      </c>
    </row>
    <row r="527" ht="14.25" customHeight="1">
      <c r="A527" s="68" t="s">
        <v>310</v>
      </c>
      <c r="B527" s="68">
        <v>79.0</v>
      </c>
      <c r="C527" s="10" t="s">
        <v>1582</v>
      </c>
      <c r="G527" s="32" t="s">
        <v>96</v>
      </c>
      <c r="K527" s="32" t="s">
        <v>2713</v>
      </c>
      <c r="R527" s="32" t="str">
        <f t="shared" si="2"/>
        <v>79. Hamelia</v>
      </c>
    </row>
    <row r="528" ht="14.25" customHeight="1">
      <c r="A528" s="68" t="s">
        <v>310</v>
      </c>
      <c r="B528" s="68">
        <v>79.0</v>
      </c>
      <c r="C528" s="10" t="s">
        <v>1709</v>
      </c>
      <c r="G528" s="32" t="s">
        <v>697</v>
      </c>
      <c r="K528" s="32" t="s">
        <v>2739</v>
      </c>
      <c r="R528" s="32" t="str">
        <f t="shared" si="2"/>
        <v>79. Ixora</v>
      </c>
    </row>
    <row r="529" ht="14.25" customHeight="1">
      <c r="A529" s="68" t="s">
        <v>310</v>
      </c>
      <c r="B529" s="68">
        <v>79.0</v>
      </c>
      <c r="C529" s="10" t="s">
        <v>2066</v>
      </c>
      <c r="G529" s="32" t="s">
        <v>704</v>
      </c>
      <c r="K529" s="32" t="s">
        <v>2742</v>
      </c>
      <c r="R529" s="32" t="str">
        <f t="shared" si="2"/>
        <v>79. Morinda</v>
      </c>
    </row>
    <row r="530" ht="14.25" customHeight="1">
      <c r="A530" s="68" t="s">
        <v>310</v>
      </c>
      <c r="B530" s="68">
        <v>79.0</v>
      </c>
      <c r="C530" s="10" t="s">
        <v>2091</v>
      </c>
      <c r="G530" s="32" t="s">
        <v>1098</v>
      </c>
      <c r="K530" s="32" t="s">
        <v>2745</v>
      </c>
      <c r="R530" s="32" t="str">
        <f t="shared" si="2"/>
        <v>79. Mussaenda</v>
      </c>
    </row>
    <row r="531" ht="14.25" customHeight="1">
      <c r="A531" s="68" t="s">
        <v>310</v>
      </c>
      <c r="B531" s="68">
        <v>79.0</v>
      </c>
      <c r="C531" s="10" t="s">
        <v>311</v>
      </c>
      <c r="G531" s="32" t="s">
        <v>1367</v>
      </c>
      <c r="K531" s="32" t="s">
        <v>2750</v>
      </c>
      <c r="R531" s="32" t="str">
        <f t="shared" si="2"/>
        <v>79. Neolamarckia</v>
      </c>
    </row>
    <row r="532" ht="14.25" customHeight="1">
      <c r="A532" s="68" t="s">
        <v>310</v>
      </c>
      <c r="B532" s="68">
        <v>79.0</v>
      </c>
      <c r="C532" s="10" t="s">
        <v>2201</v>
      </c>
      <c r="G532" s="32" t="s">
        <v>1385</v>
      </c>
      <c r="K532" s="32" t="s">
        <v>2757</v>
      </c>
      <c r="R532" s="32" t="str">
        <f t="shared" si="2"/>
        <v>79. Palicourea</v>
      </c>
    </row>
    <row r="533" ht="14.25" customHeight="1">
      <c r="A533" s="68" t="s">
        <v>310</v>
      </c>
      <c r="B533" s="68">
        <v>79.0</v>
      </c>
      <c r="C533" s="10" t="s">
        <v>2250</v>
      </c>
      <c r="G533" s="32" t="s">
        <v>1425</v>
      </c>
      <c r="K533" s="32" t="s">
        <v>2764</v>
      </c>
      <c r="R533" s="32" t="str">
        <f t="shared" si="2"/>
        <v>79. Pentagonia</v>
      </c>
    </row>
    <row r="534" ht="14.25" customHeight="1">
      <c r="A534" s="68" t="s">
        <v>310</v>
      </c>
      <c r="B534" s="68">
        <v>79.0</v>
      </c>
      <c r="C534" s="10" t="s">
        <v>2413</v>
      </c>
      <c r="G534" s="32" t="s">
        <v>1836</v>
      </c>
      <c r="K534" s="32" t="s">
        <v>2767</v>
      </c>
      <c r="R534" s="32" t="str">
        <f t="shared" si="2"/>
        <v>79. Pogonopus</v>
      </c>
    </row>
    <row r="535" ht="14.25" customHeight="1">
      <c r="A535" s="68" t="s">
        <v>310</v>
      </c>
      <c r="B535" s="68">
        <v>79.0</v>
      </c>
      <c r="C535" s="10" t="s">
        <v>2438</v>
      </c>
      <c r="G535" s="32" t="s">
        <v>667</v>
      </c>
      <c r="K535" s="32" t="s">
        <v>2770</v>
      </c>
      <c r="R535" s="32" t="str">
        <f t="shared" si="2"/>
        <v>79. Posoqueria</v>
      </c>
    </row>
    <row r="536" ht="14.25" customHeight="1">
      <c r="A536" s="68" t="s">
        <v>310</v>
      </c>
      <c r="B536" s="68">
        <v>79.0</v>
      </c>
      <c r="C536" s="10" t="s">
        <v>2514</v>
      </c>
      <c r="G536" s="32" t="s">
        <v>2098</v>
      </c>
      <c r="K536" s="32" t="s">
        <v>2773</v>
      </c>
      <c r="R536" s="32" t="str">
        <f t="shared" si="2"/>
        <v>79. Psychotria</v>
      </c>
    </row>
    <row r="537" ht="14.25" customHeight="1">
      <c r="A537" s="68" t="s">
        <v>310</v>
      </c>
      <c r="B537" s="68">
        <v>79.0</v>
      </c>
      <c r="C537" s="10" t="s">
        <v>2773</v>
      </c>
      <c r="G537" s="32" t="s">
        <v>2108</v>
      </c>
      <c r="K537" s="32" t="s">
        <v>2776</v>
      </c>
      <c r="R537" s="32" t="str">
        <f t="shared" si="2"/>
        <v>79. Stylogyne</v>
      </c>
    </row>
    <row r="538" ht="14.25" customHeight="1">
      <c r="A538" s="68" t="s">
        <v>769</v>
      </c>
      <c r="B538" s="68">
        <v>80.0</v>
      </c>
      <c r="C538" s="10" t="s">
        <v>126</v>
      </c>
      <c r="G538" s="32" t="s">
        <v>2322</v>
      </c>
      <c r="K538" s="32" t="s">
        <v>2785</v>
      </c>
      <c r="R538" s="32" t="str">
        <f t="shared" si="2"/>
        <v>80. Adenaria</v>
      </c>
    </row>
    <row r="539" ht="14.25" customHeight="1">
      <c r="A539" s="68" t="s">
        <v>769</v>
      </c>
      <c r="B539" s="68">
        <v>80.0</v>
      </c>
      <c r="C539" s="10" t="s">
        <v>2085</v>
      </c>
      <c r="G539" s="32" t="s">
        <v>2111</v>
      </c>
      <c r="K539" s="32" t="s">
        <v>2790</v>
      </c>
      <c r="R539" s="32" t="str">
        <f t="shared" si="2"/>
        <v>80. Bergera</v>
      </c>
    </row>
    <row r="540" ht="14.25" customHeight="1">
      <c r="A540" s="68" t="s">
        <v>769</v>
      </c>
      <c r="B540" s="68">
        <v>80.0</v>
      </c>
      <c r="C540" s="10" t="s">
        <v>770</v>
      </c>
      <c r="G540" s="32" t="s">
        <v>2501</v>
      </c>
      <c r="K540" s="32" t="s">
        <v>2793</v>
      </c>
      <c r="R540" s="32" t="str">
        <f t="shared" si="2"/>
        <v>80. Casimiroa</v>
      </c>
    </row>
    <row r="541" ht="14.25" customHeight="1">
      <c r="A541" s="68" t="s">
        <v>769</v>
      </c>
      <c r="B541" s="68">
        <v>80.0</v>
      </c>
      <c r="C541" s="10" t="s">
        <v>939</v>
      </c>
      <c r="G541" s="32" t="s">
        <v>2804</v>
      </c>
      <c r="K541" s="32" t="s">
        <v>2798</v>
      </c>
      <c r="R541" s="32" t="str">
        <f t="shared" si="2"/>
        <v>80. Citrus</v>
      </c>
    </row>
    <row r="542" ht="14.25" customHeight="1">
      <c r="A542" s="68" t="s">
        <v>769</v>
      </c>
      <c r="B542" s="68">
        <v>80.0</v>
      </c>
      <c r="C542" s="10" t="s">
        <v>1230</v>
      </c>
      <c r="F542" s="32" t="s">
        <v>6263</v>
      </c>
      <c r="K542" s="32" t="s">
        <v>2801</v>
      </c>
      <c r="R542" s="32" t="str">
        <f t="shared" si="2"/>
        <v>80. Dilodendron</v>
      </c>
    </row>
    <row r="543" ht="14.25" customHeight="1">
      <c r="A543" s="68" t="s">
        <v>769</v>
      </c>
      <c r="B543" s="68">
        <v>80.0</v>
      </c>
      <c r="C543" s="10" t="s">
        <v>2088</v>
      </c>
      <c r="G543" s="32" t="s">
        <v>775</v>
      </c>
      <c r="K543" s="32" t="s">
        <v>2804</v>
      </c>
      <c r="R543" s="32" t="str">
        <f t="shared" si="2"/>
        <v>80. Murraya</v>
      </c>
    </row>
    <row r="544" ht="14.25" customHeight="1">
      <c r="A544" s="68" t="s">
        <v>769</v>
      </c>
      <c r="B544" s="68">
        <v>80.0</v>
      </c>
      <c r="C544" s="10" t="s">
        <v>2790</v>
      </c>
      <c r="F544" s="32" t="s">
        <v>516</v>
      </c>
      <c r="K544" s="32" t="s">
        <v>2814</v>
      </c>
      <c r="R544" s="32" t="str">
        <f t="shared" si="2"/>
        <v>80. Swinglea</v>
      </c>
    </row>
    <row r="545" ht="14.25" customHeight="1">
      <c r="A545" s="68" t="s">
        <v>769</v>
      </c>
      <c r="B545" s="68">
        <v>80.0</v>
      </c>
      <c r="C545" s="10" t="s">
        <v>2932</v>
      </c>
      <c r="G545" s="32" t="s">
        <v>517</v>
      </c>
      <c r="K545" s="32" t="s">
        <v>2833</v>
      </c>
      <c r="R545" s="32" t="str">
        <f t="shared" si="2"/>
        <v>80. Toddalia</v>
      </c>
    </row>
    <row r="546" ht="14.25" customHeight="1">
      <c r="A546" s="68" t="s">
        <v>769</v>
      </c>
      <c r="B546" s="68">
        <v>80.0</v>
      </c>
      <c r="C546" s="10" t="s">
        <v>2972</v>
      </c>
      <c r="G546" s="32" t="s">
        <v>2349</v>
      </c>
      <c r="K546" s="32" t="s">
        <v>2846</v>
      </c>
      <c r="R546" s="32" t="str">
        <f t="shared" si="2"/>
        <v>80. Triphasia</v>
      </c>
    </row>
    <row r="547" ht="14.25" customHeight="1">
      <c r="A547" s="68" t="s">
        <v>769</v>
      </c>
      <c r="B547" s="68">
        <v>80.0</v>
      </c>
      <c r="C547" s="10" t="s">
        <v>3094</v>
      </c>
      <c r="F547" s="32" t="s">
        <v>870</v>
      </c>
      <c r="K547" s="32" t="s">
        <v>2849</v>
      </c>
      <c r="R547" s="32" t="str">
        <f t="shared" si="2"/>
        <v>80. Zanthoxylum</v>
      </c>
    </row>
    <row r="548" ht="14.25" customHeight="1">
      <c r="A548" s="68" t="s">
        <v>1997</v>
      </c>
      <c r="B548" s="68">
        <v>81.0</v>
      </c>
      <c r="C548" s="10" t="s">
        <v>1998</v>
      </c>
      <c r="G548" s="32" t="s">
        <v>2140</v>
      </c>
      <c r="K548" s="32" t="s">
        <v>2852</v>
      </c>
      <c r="R548" s="32" t="str">
        <f t="shared" si="2"/>
        <v>81. Meliosma</v>
      </c>
    </row>
    <row r="549" ht="14.25" customHeight="1">
      <c r="A549" s="68" t="s">
        <v>762</v>
      </c>
      <c r="B549" s="68">
        <v>82.0</v>
      </c>
      <c r="C549" s="10" t="s">
        <v>3132</v>
      </c>
      <c r="G549" s="32" t="s">
        <v>310</v>
      </c>
      <c r="K549" s="32" t="s">
        <v>2855</v>
      </c>
      <c r="R549" s="32" t="str">
        <f t="shared" si="2"/>
        <v>82. Abatia</v>
      </c>
    </row>
    <row r="550" ht="14.25" customHeight="1">
      <c r="A550" s="68" t="s">
        <v>762</v>
      </c>
      <c r="B550" s="68">
        <v>82.0</v>
      </c>
      <c r="C550" s="10" t="s">
        <v>763</v>
      </c>
      <c r="F550" s="32" t="s">
        <v>2055</v>
      </c>
      <c r="K550" s="32" t="s">
        <v>2858</v>
      </c>
      <c r="R550" s="32" t="str">
        <f t="shared" si="2"/>
        <v>82. Casearia</v>
      </c>
    </row>
    <row r="551" ht="14.25" customHeight="1">
      <c r="A551" s="68" t="s">
        <v>762</v>
      </c>
      <c r="B551" s="68">
        <v>82.0</v>
      </c>
      <c r="C551" s="10" t="s">
        <v>1000</v>
      </c>
      <c r="G551" s="32" t="s">
        <v>2056</v>
      </c>
      <c r="K551" s="32" t="s">
        <v>637</v>
      </c>
      <c r="R551" s="32" t="str">
        <f t="shared" si="2"/>
        <v>82. Clusia</v>
      </c>
    </row>
    <row r="552" ht="14.25" customHeight="1">
      <c r="A552" s="68" t="s">
        <v>762</v>
      </c>
      <c r="B552" s="68">
        <v>82.0</v>
      </c>
      <c r="C552" s="10" t="s">
        <v>1260</v>
      </c>
      <c r="F552" s="32" t="s">
        <v>1496</v>
      </c>
      <c r="K552" s="32" t="s">
        <v>2861</v>
      </c>
      <c r="R552" s="32" t="str">
        <f t="shared" si="2"/>
        <v>82. Dovyalis</v>
      </c>
    </row>
    <row r="553" ht="14.25" customHeight="1">
      <c r="A553" s="68" t="s">
        <v>762</v>
      </c>
      <c r="B553" s="68">
        <v>82.0</v>
      </c>
      <c r="C553" s="10" t="s">
        <v>1485</v>
      </c>
      <c r="G553" s="32" t="s">
        <v>1497</v>
      </c>
      <c r="K553" s="32" t="s">
        <v>2864</v>
      </c>
      <c r="R553" s="32" t="str">
        <f t="shared" si="2"/>
        <v>82. Flacourtia</v>
      </c>
    </row>
    <row r="554" ht="14.25" customHeight="1">
      <c r="A554" s="68" t="s">
        <v>762</v>
      </c>
      <c r="B554" s="68">
        <v>82.0</v>
      </c>
      <c r="C554" s="10" t="s">
        <v>1600</v>
      </c>
      <c r="G554" s="32" t="s">
        <v>1726</v>
      </c>
      <c r="K554" s="32" t="s">
        <v>2869</v>
      </c>
      <c r="R554" s="32" t="str">
        <f t="shared" si="2"/>
        <v>82. Hasseltia</v>
      </c>
    </row>
    <row r="555" ht="14.25" customHeight="1">
      <c r="A555" s="68" t="s">
        <v>762</v>
      </c>
      <c r="B555" s="68">
        <v>82.0</v>
      </c>
      <c r="C555" s="10" t="s">
        <v>1788</v>
      </c>
      <c r="G555" s="32" t="s">
        <v>1860</v>
      </c>
      <c r="K555" s="32" t="s">
        <v>575</v>
      </c>
      <c r="R555" s="32" t="str">
        <f t="shared" si="2"/>
        <v>82. Laetia</v>
      </c>
    </row>
    <row r="556" ht="14.25" customHeight="1">
      <c r="A556" s="68" t="s">
        <v>762</v>
      </c>
      <c r="B556" s="68">
        <v>82.0</v>
      </c>
      <c r="C556" s="10" t="s">
        <v>2435</v>
      </c>
      <c r="F556" s="32" t="s">
        <v>1503</v>
      </c>
      <c r="K556" s="32" t="s">
        <v>2887</v>
      </c>
      <c r="R556" s="32" t="str">
        <f t="shared" si="2"/>
        <v>82. Populus</v>
      </c>
    </row>
    <row r="557" ht="14.25" customHeight="1">
      <c r="A557" s="68" t="s">
        <v>762</v>
      </c>
      <c r="B557" s="68">
        <v>82.0</v>
      </c>
      <c r="C557" s="10" t="s">
        <v>2617</v>
      </c>
      <c r="G557" s="32" t="s">
        <v>1504</v>
      </c>
      <c r="K557" s="32" t="s">
        <v>2890</v>
      </c>
      <c r="R557" s="32" t="str">
        <f t="shared" si="2"/>
        <v>82. Salix</v>
      </c>
    </row>
    <row r="558" ht="14.25" customHeight="1">
      <c r="A558" s="68" t="s">
        <v>762</v>
      </c>
      <c r="B558" s="68">
        <v>82.0</v>
      </c>
      <c r="C558" s="10" t="s">
        <v>3307</v>
      </c>
      <c r="G558" s="32" t="s">
        <v>1894</v>
      </c>
      <c r="K558" s="32" t="s">
        <v>2893</v>
      </c>
      <c r="R558" s="32" t="str">
        <f t="shared" si="2"/>
        <v>82. Xylosma</v>
      </c>
    </row>
    <row r="559" ht="14.25" customHeight="1">
      <c r="A559" s="68" t="s">
        <v>3032</v>
      </c>
      <c r="B559" s="68">
        <v>83.0</v>
      </c>
      <c r="C559" s="10" t="s">
        <v>3033</v>
      </c>
      <c r="F559" s="32" t="s">
        <v>1362</v>
      </c>
      <c r="K559" s="32" t="s">
        <v>2900</v>
      </c>
      <c r="R559" s="32" t="str">
        <f t="shared" si="2"/>
        <v>83. Viscum</v>
      </c>
    </row>
    <row r="560" ht="14.25" customHeight="1">
      <c r="A560" s="68" t="s">
        <v>214</v>
      </c>
      <c r="B560" s="68">
        <v>84.0</v>
      </c>
      <c r="C560" s="10" t="s">
        <v>215</v>
      </c>
      <c r="G560" s="32" t="s">
        <v>1363</v>
      </c>
      <c r="K560" s="32" t="s">
        <v>2903</v>
      </c>
      <c r="R560" s="32" t="str">
        <f t="shared" si="2"/>
        <v>84. Allophylus</v>
      </c>
    </row>
    <row r="561" ht="14.25" customHeight="1">
      <c r="A561" s="68" t="s">
        <v>214</v>
      </c>
      <c r="B561" s="68">
        <v>84.0</v>
      </c>
      <c r="C561" s="10" t="s">
        <v>476</v>
      </c>
      <c r="F561" s="32" t="s">
        <v>407</v>
      </c>
      <c r="K561" s="32" t="s">
        <v>2911</v>
      </c>
      <c r="R561" s="32" t="str">
        <f t="shared" si="2"/>
        <v>84. Billia</v>
      </c>
    </row>
    <row r="562" ht="14.25" customHeight="1">
      <c r="A562" s="68" t="s">
        <v>214</v>
      </c>
      <c r="B562" s="68">
        <v>84.0</v>
      </c>
      <c r="C562" s="10" t="s">
        <v>495</v>
      </c>
      <c r="G562" s="32" t="s">
        <v>408</v>
      </c>
      <c r="K562" s="32" t="s">
        <v>2914</v>
      </c>
      <c r="R562" s="32" t="str">
        <f t="shared" si="2"/>
        <v>84. Blighia</v>
      </c>
    </row>
    <row r="563" ht="14.25" customHeight="1">
      <c r="A563" s="68" t="s">
        <v>214</v>
      </c>
      <c r="B563" s="68">
        <v>84.0</v>
      </c>
      <c r="C563" s="10" t="s">
        <v>1143</v>
      </c>
      <c r="F563" s="32" t="s">
        <v>2211</v>
      </c>
      <c r="K563" s="32" t="s">
        <v>2919</v>
      </c>
      <c r="R563" s="32" t="str">
        <f t="shared" si="2"/>
        <v>84. Cunonia</v>
      </c>
    </row>
    <row r="564" ht="14.25" customHeight="1">
      <c r="A564" s="68" t="s">
        <v>214</v>
      </c>
      <c r="B564" s="68">
        <v>84.0</v>
      </c>
      <c r="C564" s="10" t="s">
        <v>1146</v>
      </c>
      <c r="G564" s="32" t="s">
        <v>2210</v>
      </c>
      <c r="K564" s="32" t="s">
        <v>2930</v>
      </c>
      <c r="R564" s="32" t="str">
        <f t="shared" si="2"/>
        <v>84. Cupania</v>
      </c>
    </row>
    <row r="565" ht="14.25" customHeight="1">
      <c r="A565" s="68" t="s">
        <v>214</v>
      </c>
      <c r="B565" s="68">
        <v>84.0</v>
      </c>
      <c r="C565" s="10" t="s">
        <v>1233</v>
      </c>
      <c r="F565" s="32" t="s">
        <v>498</v>
      </c>
      <c r="K565" s="32" t="s">
        <v>2908</v>
      </c>
      <c r="R565" s="32" t="str">
        <f t="shared" si="2"/>
        <v>84. Dimocarpus</v>
      </c>
    </row>
    <row r="566" ht="14.25" customHeight="1">
      <c r="A566" s="68" t="s">
        <v>214</v>
      </c>
      <c r="B566" s="68">
        <v>84.0</v>
      </c>
      <c r="C566" s="10" t="s">
        <v>1255</v>
      </c>
      <c r="G566" s="32" t="s">
        <v>499</v>
      </c>
      <c r="K566" s="32" t="s">
        <v>2932</v>
      </c>
      <c r="R566" s="32" t="str">
        <f t="shared" si="2"/>
        <v>84. Dodonaea</v>
      </c>
    </row>
    <row r="567" ht="14.25" customHeight="1">
      <c r="A567" s="68" t="s">
        <v>214</v>
      </c>
      <c r="B567" s="68">
        <v>84.0</v>
      </c>
      <c r="C567" s="10" t="s">
        <v>1597</v>
      </c>
      <c r="F567" s="32" t="s">
        <v>6264</v>
      </c>
      <c r="K567" s="32" t="s">
        <v>3282</v>
      </c>
      <c r="R567" s="32" t="str">
        <f t="shared" si="2"/>
        <v>84. Harpullia</v>
      </c>
    </row>
    <row r="568" ht="14.25" customHeight="1">
      <c r="A568" s="68" t="s">
        <v>214</v>
      </c>
      <c r="B568" s="68">
        <v>84.0</v>
      </c>
      <c r="C568" s="10" t="s">
        <v>1770</v>
      </c>
      <c r="G568" s="32" t="s">
        <v>939</v>
      </c>
      <c r="K568" s="32" t="s">
        <v>2935</v>
      </c>
      <c r="R568" s="32" t="str">
        <f t="shared" si="2"/>
        <v>84. Koelreuteria</v>
      </c>
    </row>
    <row r="569" ht="14.25" customHeight="1">
      <c r="A569" s="68" t="s">
        <v>214</v>
      </c>
      <c r="B569" s="68">
        <v>84.0</v>
      </c>
      <c r="C569" s="10" t="s">
        <v>1876</v>
      </c>
      <c r="F569" s="32" t="s">
        <v>2226</v>
      </c>
      <c r="K569" s="32" t="s">
        <v>2938</v>
      </c>
      <c r="R569" s="32" t="str">
        <f t="shared" si="2"/>
        <v>84. Litchi</v>
      </c>
    </row>
    <row r="570" ht="14.25" customHeight="1">
      <c r="A570" s="68" t="s">
        <v>214</v>
      </c>
      <c r="B570" s="68">
        <v>84.0</v>
      </c>
      <c r="C570" s="10" t="s">
        <v>1964</v>
      </c>
      <c r="G570" s="32" t="s">
        <v>2227</v>
      </c>
      <c r="K570" s="32" t="s">
        <v>2941</v>
      </c>
      <c r="R570" s="32" t="str">
        <f t="shared" si="2"/>
        <v>84. Matayba</v>
      </c>
    </row>
    <row r="571" ht="14.25" customHeight="1">
      <c r="A571" s="68" t="s">
        <v>214</v>
      </c>
      <c r="B571" s="68">
        <v>84.0</v>
      </c>
      <c r="C571" s="10" t="s">
        <v>1989</v>
      </c>
      <c r="G571" s="32" t="s">
        <v>2981</v>
      </c>
      <c r="K571" s="32" t="s">
        <v>2945</v>
      </c>
      <c r="R571" s="32" t="str">
        <f t="shared" si="2"/>
        <v>84. Melicoccus</v>
      </c>
    </row>
    <row r="572" ht="14.25" customHeight="1">
      <c r="A572" s="68" t="s">
        <v>214</v>
      </c>
      <c r="B572" s="68">
        <v>84.0</v>
      </c>
      <c r="C572" s="10" t="s">
        <v>2128</v>
      </c>
      <c r="F572" s="32" t="s">
        <v>2231</v>
      </c>
      <c r="K572" s="32" t="s">
        <v>2950</v>
      </c>
      <c r="R572" s="32" t="str">
        <f t="shared" si="2"/>
        <v>84. Nephelium</v>
      </c>
    </row>
    <row r="573" ht="14.25" customHeight="1">
      <c r="A573" s="68" t="s">
        <v>214</v>
      </c>
      <c r="B573" s="68">
        <v>84.0</v>
      </c>
      <c r="C573" s="10" t="s">
        <v>2644</v>
      </c>
      <c r="G573" s="32" t="s">
        <v>2230</v>
      </c>
      <c r="K573" s="32" t="s">
        <v>2954</v>
      </c>
      <c r="R573" s="32" t="str">
        <f t="shared" si="2"/>
        <v>84. Sapindus</v>
      </c>
    </row>
    <row r="574" ht="14.25" customHeight="1">
      <c r="A574" s="68" t="s">
        <v>214</v>
      </c>
      <c r="B574" s="68">
        <v>84.0</v>
      </c>
      <c r="C574" s="10" t="s">
        <v>2852</v>
      </c>
      <c r="F574" s="32" t="s">
        <v>3547</v>
      </c>
      <c r="K574" s="32" t="s">
        <v>2957</v>
      </c>
      <c r="R574" s="32" t="str">
        <f t="shared" si="2"/>
        <v>84. Talisia</v>
      </c>
    </row>
    <row r="575" ht="14.25" customHeight="1">
      <c r="A575" s="68" t="s">
        <v>918</v>
      </c>
      <c r="B575" s="68">
        <v>85.0</v>
      </c>
      <c r="C575" s="10" t="s">
        <v>919</v>
      </c>
      <c r="G575" s="32" t="s">
        <v>95</v>
      </c>
      <c r="K575" s="32" t="s">
        <v>2960</v>
      </c>
      <c r="R575" s="32" t="str">
        <f t="shared" si="2"/>
        <v>85. Chrysophyllum</v>
      </c>
    </row>
    <row r="576" ht="14.25" customHeight="1">
      <c r="A576" s="68" t="s">
        <v>918</v>
      </c>
      <c r="B576" s="68">
        <v>85.0</v>
      </c>
      <c r="C576" s="10" t="s">
        <v>1654</v>
      </c>
      <c r="F576" s="32" t="s">
        <v>2253</v>
      </c>
      <c r="K576" s="32" t="s">
        <v>2969</v>
      </c>
      <c r="R576" s="32" t="str">
        <f t="shared" si="2"/>
        <v>85. Huberodendron</v>
      </c>
    </row>
    <row r="577" ht="14.25" customHeight="1">
      <c r="A577" s="68" t="s">
        <v>918</v>
      </c>
      <c r="B577" s="68">
        <v>85.0</v>
      </c>
      <c r="C577" s="10" t="s">
        <v>1956</v>
      </c>
      <c r="G577" s="32" t="s">
        <v>2254</v>
      </c>
      <c r="K577" s="32" t="s">
        <v>2972</v>
      </c>
      <c r="R577" s="32" t="str">
        <f t="shared" si="2"/>
        <v>85. Manilkara</v>
      </c>
    </row>
    <row r="578" ht="14.25" customHeight="1">
      <c r="A578" s="68" t="s">
        <v>918</v>
      </c>
      <c r="B578" s="68">
        <v>85.0</v>
      </c>
      <c r="C578" s="10" t="s">
        <v>2446</v>
      </c>
      <c r="F578" s="32" t="s">
        <v>2276</v>
      </c>
      <c r="K578" s="32" t="s">
        <v>2975</v>
      </c>
      <c r="R578" s="32" t="str">
        <f t="shared" si="2"/>
        <v>85. Pouteria</v>
      </c>
    </row>
    <row r="579" ht="14.25" customHeight="1">
      <c r="A579" s="68" t="s">
        <v>918</v>
      </c>
      <c r="B579" s="68">
        <v>85.0</v>
      </c>
      <c r="C579" s="10" t="s">
        <v>2801</v>
      </c>
      <c r="G579" s="32" t="s">
        <v>2277</v>
      </c>
      <c r="K579" s="32" t="s">
        <v>2978</v>
      </c>
      <c r="R579" s="32" t="str">
        <f t="shared" si="2"/>
        <v>85. Synsepalum</v>
      </c>
    </row>
    <row r="580" ht="14.25" customHeight="1">
      <c r="A580" s="68" t="s">
        <v>918</v>
      </c>
      <c r="B580" s="68">
        <v>85.0</v>
      </c>
      <c r="C580" s="10" t="s">
        <v>3304</v>
      </c>
      <c r="F580" s="32" t="s">
        <v>480</v>
      </c>
      <c r="K580" s="32" t="s">
        <v>2981</v>
      </c>
      <c r="R580" s="32" t="str">
        <f t="shared" si="2"/>
        <v>85. Vitellaria</v>
      </c>
    </row>
    <row r="581" ht="14.25" customHeight="1">
      <c r="A581" s="68" t="s">
        <v>6267</v>
      </c>
      <c r="B581" s="68">
        <v>85.0</v>
      </c>
      <c r="C581" s="10" t="s">
        <v>1037</v>
      </c>
      <c r="G581" s="32" t="s">
        <v>534</v>
      </c>
      <c r="K581" s="32" t="s">
        <v>3277</v>
      </c>
      <c r="R581" s="32" t="str">
        <f t="shared" si="2"/>
        <v>85. Coffea</v>
      </c>
    </row>
    <row r="582" ht="14.25" customHeight="1">
      <c r="A582" s="68" t="s">
        <v>584</v>
      </c>
      <c r="B582" s="68">
        <v>86.0</v>
      </c>
      <c r="C582" s="10" t="s">
        <v>585</v>
      </c>
      <c r="G582" s="32" t="s">
        <v>1638</v>
      </c>
      <c r="K582" s="32" t="s">
        <v>2985</v>
      </c>
      <c r="R582" s="32" t="str">
        <f t="shared" si="2"/>
        <v>86. Buddleja</v>
      </c>
    </row>
    <row r="583" ht="14.25" customHeight="1">
      <c r="A583" s="68" t="s">
        <v>2696</v>
      </c>
      <c r="B583" s="68">
        <v>87.0</v>
      </c>
      <c r="C583" s="10" t="s">
        <v>3127</v>
      </c>
      <c r="G583" s="32" t="s">
        <v>1961</v>
      </c>
      <c r="K583" s="32" t="s">
        <v>2987</v>
      </c>
      <c r="R583" s="32" t="str">
        <f t="shared" si="2"/>
        <v>87. Ailanthus</v>
      </c>
    </row>
    <row r="584" ht="14.25" customHeight="1">
      <c r="A584" s="68" t="s">
        <v>2696</v>
      </c>
      <c r="B584" s="68">
        <v>87.0</v>
      </c>
      <c r="C584" s="10" t="s">
        <v>2697</v>
      </c>
      <c r="G584" s="32" t="s">
        <v>2305</v>
      </c>
      <c r="K584" s="32" t="s">
        <v>2992</v>
      </c>
      <c r="R584" s="32" t="str">
        <f t="shared" si="2"/>
        <v>87. Simarouba</v>
      </c>
    </row>
    <row r="585" ht="14.25" customHeight="1">
      <c r="A585" s="68" t="s">
        <v>2700</v>
      </c>
      <c r="B585" s="68">
        <v>88.0</v>
      </c>
      <c r="C585" s="10" t="s">
        <v>2701</v>
      </c>
      <c r="F585" s="32" t="s">
        <v>2318</v>
      </c>
      <c r="K585" s="32" t="s">
        <v>2995</v>
      </c>
      <c r="R585" s="32" t="str">
        <f t="shared" si="2"/>
        <v>88. Siparuna</v>
      </c>
    </row>
    <row r="586" ht="14.25" customHeight="1">
      <c r="A586" s="68" t="s">
        <v>103</v>
      </c>
      <c r="B586" s="68">
        <v>89.0</v>
      </c>
      <c r="C586" s="10" t="s">
        <v>104</v>
      </c>
      <c r="G586" s="32" t="s">
        <v>2319</v>
      </c>
      <c r="K586" s="32" t="s">
        <v>3001</v>
      </c>
      <c r="R586" s="32" t="str">
        <f t="shared" si="2"/>
        <v>89. Acnistus</v>
      </c>
    </row>
    <row r="587" ht="14.25" customHeight="1">
      <c r="A587" s="68" t="s">
        <v>103</v>
      </c>
      <c r="B587" s="68">
        <v>89.0</v>
      </c>
      <c r="C587" s="10" t="s">
        <v>558</v>
      </c>
      <c r="F587" s="32" t="s">
        <v>2327</v>
      </c>
      <c r="K587" s="32" t="s">
        <v>3004</v>
      </c>
      <c r="R587" s="32" t="str">
        <f t="shared" si="2"/>
        <v>89. Brugmansia</v>
      </c>
    </row>
    <row r="588" ht="14.25" customHeight="1">
      <c r="A588" s="68" t="s">
        <v>103</v>
      </c>
      <c r="B588" s="68">
        <v>89.0</v>
      </c>
      <c r="C588" s="10" t="s">
        <v>563</v>
      </c>
      <c r="G588" s="32" t="s">
        <v>2328</v>
      </c>
      <c r="K588" s="32" t="s">
        <v>3007</v>
      </c>
      <c r="R588" s="32" t="str">
        <f t="shared" si="2"/>
        <v>89. Brunfelsia</v>
      </c>
    </row>
    <row r="589" ht="14.25" customHeight="1">
      <c r="A589" s="68" t="s">
        <v>103</v>
      </c>
      <c r="B589" s="68">
        <v>89.0</v>
      </c>
      <c r="C589" s="10" t="s">
        <v>714</v>
      </c>
      <c r="F589" s="32" t="s">
        <v>2337</v>
      </c>
      <c r="K589" s="32" t="s">
        <v>227</v>
      </c>
      <c r="R589" s="32" t="str">
        <f t="shared" si="2"/>
        <v>89. Capsicum</v>
      </c>
    </row>
    <row r="590" ht="14.25" customHeight="1">
      <c r="A590" s="68" t="s">
        <v>103</v>
      </c>
      <c r="B590" s="68">
        <v>89.0</v>
      </c>
      <c r="C590" s="10" t="s">
        <v>874</v>
      </c>
      <c r="G590" s="32" t="s">
        <v>2338</v>
      </c>
      <c r="K590" s="32" t="s">
        <v>3012</v>
      </c>
      <c r="R590" s="32" t="str">
        <f t="shared" si="2"/>
        <v>89. Cestrum</v>
      </c>
    </row>
    <row r="591" ht="14.25" customHeight="1">
      <c r="A591" s="68" t="s">
        <v>103</v>
      </c>
      <c r="B591" s="68">
        <v>89.0</v>
      </c>
      <c r="C591" s="10" t="s">
        <v>1193</v>
      </c>
      <c r="F591" s="32" t="s">
        <v>2356</v>
      </c>
      <c r="K591" s="32" t="s">
        <v>3018</v>
      </c>
      <c r="R591" s="32" t="str">
        <f t="shared" si="2"/>
        <v>89. Cyphomandra</v>
      </c>
    </row>
    <row r="592" ht="14.25" customHeight="1">
      <c r="A592" s="68" t="s">
        <v>103</v>
      </c>
      <c r="B592" s="68">
        <v>89.0</v>
      </c>
      <c r="C592" s="10" t="s">
        <v>2709</v>
      </c>
      <c r="G592" s="32" t="s">
        <v>2357</v>
      </c>
      <c r="K592" s="32" t="s">
        <v>3015</v>
      </c>
      <c r="R592" s="32" t="str">
        <f t="shared" si="2"/>
        <v>89. Solandra</v>
      </c>
    </row>
    <row r="593" ht="14.25" customHeight="1">
      <c r="A593" s="68" t="s">
        <v>103</v>
      </c>
      <c r="B593" s="68">
        <v>89.0</v>
      </c>
      <c r="C593" s="10" t="s">
        <v>2713</v>
      </c>
      <c r="F593" s="32" t="s">
        <v>2386</v>
      </c>
      <c r="K593" s="32" t="s">
        <v>3021</v>
      </c>
      <c r="R593" s="32" t="str">
        <f t="shared" si="2"/>
        <v>89. Solanum</v>
      </c>
    </row>
    <row r="594" ht="14.25" customHeight="1">
      <c r="A594" s="68" t="s">
        <v>6268</v>
      </c>
      <c r="B594" s="68">
        <v>89.0</v>
      </c>
      <c r="C594" s="10" t="s">
        <v>3169</v>
      </c>
      <c r="G594" s="32" t="s">
        <v>2387</v>
      </c>
      <c r="K594" s="32" t="s">
        <v>3027</v>
      </c>
      <c r="R594" s="32" t="str">
        <f t="shared" si="2"/>
        <v>89. Crotalaria</v>
      </c>
    </row>
    <row r="595" ht="14.25" customHeight="1">
      <c r="A595" s="68" t="s">
        <v>3276</v>
      </c>
      <c r="B595" s="68">
        <v>90.0</v>
      </c>
      <c r="C595" s="10" t="s">
        <v>3277</v>
      </c>
      <c r="F595" s="32" t="s">
        <v>431</v>
      </c>
      <c r="K595" s="32" t="s">
        <v>3033</v>
      </c>
      <c r="R595" s="32" t="str">
        <f t="shared" si="2"/>
        <v>90. Turpinia</v>
      </c>
    </row>
    <row r="596" ht="14.25" customHeight="1">
      <c r="A596" s="68" t="s">
        <v>2552</v>
      </c>
      <c r="B596" s="68">
        <v>91.0</v>
      </c>
      <c r="C596" s="10" t="s">
        <v>2553</v>
      </c>
      <c r="G596" s="32" t="s">
        <v>433</v>
      </c>
      <c r="K596" s="32" t="s">
        <v>3037</v>
      </c>
      <c r="R596" s="32" t="str">
        <f t="shared" si="2"/>
        <v>91. Ravenala</v>
      </c>
    </row>
    <row r="597" ht="14.25" customHeight="1">
      <c r="A597" s="68" t="s">
        <v>700</v>
      </c>
      <c r="B597" s="68">
        <v>92.0</v>
      </c>
      <c r="C597" s="10" t="s">
        <v>699</v>
      </c>
      <c r="G597" s="32" t="s">
        <v>1554</v>
      </c>
      <c r="K597" s="32" t="s">
        <v>3304</v>
      </c>
      <c r="R597" s="32" t="str">
        <f t="shared" si="2"/>
        <v>92. Camelia</v>
      </c>
    </row>
    <row r="598" ht="14.25" customHeight="1">
      <c r="A598" s="68" t="s">
        <v>3176</v>
      </c>
      <c r="B598" s="68">
        <v>93.0</v>
      </c>
      <c r="C598" s="10" t="s">
        <v>3177</v>
      </c>
      <c r="F598" s="32" t="s">
        <v>2400</v>
      </c>
      <c r="K598" s="32" t="s">
        <v>3042</v>
      </c>
      <c r="R598" s="32" t="str">
        <f t="shared" si="2"/>
        <v>93. Daphnopsis</v>
      </c>
    </row>
    <row r="599" ht="14.25" customHeight="1">
      <c r="A599" s="68" t="s">
        <v>2984</v>
      </c>
      <c r="B599" s="68">
        <v>94.0</v>
      </c>
      <c r="C599" s="10" t="s">
        <v>245</v>
      </c>
      <c r="G599" s="32" t="s">
        <v>2401</v>
      </c>
      <c r="K599" s="32" t="s">
        <v>3052</v>
      </c>
      <c r="R599" s="32" t="str">
        <f t="shared" si="2"/>
        <v>94. Ampelocera</v>
      </c>
    </row>
    <row r="600" ht="14.25" customHeight="1">
      <c r="A600" s="68" t="s">
        <v>2984</v>
      </c>
      <c r="B600" s="68">
        <v>94.0</v>
      </c>
      <c r="C600" s="10" t="s">
        <v>2985</v>
      </c>
      <c r="G600" s="32" t="s">
        <v>2559</v>
      </c>
      <c r="K600" s="32" t="s">
        <v>3057</v>
      </c>
      <c r="R600" s="32" t="str">
        <f t="shared" si="2"/>
        <v>94. Ulmus</v>
      </c>
    </row>
    <row r="601" ht="14.25" customHeight="1">
      <c r="A601" s="68" t="s">
        <v>502</v>
      </c>
      <c r="B601" s="68">
        <v>95.0</v>
      </c>
      <c r="C601" s="10" t="s">
        <v>503</v>
      </c>
      <c r="F601" s="32" t="s">
        <v>3235</v>
      </c>
      <c r="K601" s="32" t="s">
        <v>3063</v>
      </c>
      <c r="R601" s="32" t="str">
        <f t="shared" si="2"/>
        <v>95. Boehmeria</v>
      </c>
    </row>
    <row r="602" ht="14.25" customHeight="1">
      <c r="A602" s="68" t="s">
        <v>502</v>
      </c>
      <c r="B602" s="68">
        <v>95.0</v>
      </c>
      <c r="C602" s="10" t="s">
        <v>809</v>
      </c>
      <c r="G602" s="32" t="s">
        <v>3236</v>
      </c>
      <c r="K602" s="32" t="s">
        <v>3068</v>
      </c>
      <c r="R602" s="32" t="str">
        <f t="shared" si="2"/>
        <v>95. Cecropia</v>
      </c>
    </row>
    <row r="603" ht="14.25" customHeight="1">
      <c r="A603" s="68" t="s">
        <v>502</v>
      </c>
      <c r="B603" s="68">
        <v>95.0</v>
      </c>
      <c r="C603" s="10" t="s">
        <v>1211</v>
      </c>
      <c r="F603" s="32" t="s">
        <v>1015</v>
      </c>
      <c r="K603" s="32" t="s">
        <v>3071</v>
      </c>
      <c r="R603" s="32" t="str">
        <f t="shared" si="2"/>
        <v>95. Dendrocnide</v>
      </c>
    </row>
    <row r="604" ht="14.25" customHeight="1">
      <c r="A604" s="68" t="s">
        <v>502</v>
      </c>
      <c r="B604" s="68">
        <v>95.0</v>
      </c>
      <c r="C604" s="10" t="s">
        <v>2441</v>
      </c>
      <c r="G604" s="32" t="s">
        <v>1016</v>
      </c>
      <c r="K604" s="32" t="s">
        <v>3076</v>
      </c>
      <c r="R604" s="32" t="str">
        <f t="shared" si="2"/>
        <v>95. Pourouma</v>
      </c>
    </row>
    <row r="605" ht="14.25" customHeight="1">
      <c r="A605" s="68" t="s">
        <v>502</v>
      </c>
      <c r="B605" s="68">
        <v>95.0</v>
      </c>
      <c r="C605" s="10" t="s">
        <v>2987</v>
      </c>
      <c r="G605" s="32" t="s">
        <v>2975</v>
      </c>
      <c r="K605" s="32" t="s">
        <v>3079</v>
      </c>
      <c r="R605" s="32" t="str">
        <f t="shared" si="2"/>
        <v>95. Urera</v>
      </c>
    </row>
    <row r="606" ht="14.25" customHeight="1">
      <c r="A606" s="68" t="s">
        <v>227</v>
      </c>
      <c r="B606" s="68">
        <v>96.0</v>
      </c>
      <c r="C606" s="10" t="s">
        <v>228</v>
      </c>
      <c r="F606" s="32" t="s">
        <v>132</v>
      </c>
      <c r="K606" s="32" t="s">
        <v>3082</v>
      </c>
      <c r="R606" s="32" t="str">
        <f t="shared" si="2"/>
        <v>96. Aloysia</v>
      </c>
    </row>
    <row r="607" ht="14.25" customHeight="1">
      <c r="A607" s="68" t="s">
        <v>227</v>
      </c>
      <c r="B607" s="68">
        <v>96.0</v>
      </c>
      <c r="C607" s="10" t="s">
        <v>929</v>
      </c>
      <c r="G607" s="32" t="s">
        <v>133</v>
      </c>
      <c r="K607" s="32" t="s">
        <v>3307</v>
      </c>
      <c r="R607" s="32" t="str">
        <f t="shared" si="2"/>
        <v>96. Citharexylum</v>
      </c>
    </row>
    <row r="608" ht="14.25" customHeight="1">
      <c r="A608" s="68" t="s">
        <v>227</v>
      </c>
      <c r="B608" s="68">
        <v>96.0</v>
      </c>
      <c r="C608" s="10" t="s">
        <v>1284</v>
      </c>
      <c r="G608" s="32" t="s">
        <v>343</v>
      </c>
      <c r="K608" s="32" t="s">
        <v>3085</v>
      </c>
      <c r="R608" s="32" t="str">
        <f t="shared" si="2"/>
        <v>96. Duranta</v>
      </c>
    </row>
    <row r="609" ht="14.25" customHeight="1">
      <c r="A609" s="68" t="s">
        <v>227</v>
      </c>
      <c r="B609" s="68">
        <v>96.0</v>
      </c>
      <c r="C609" s="10" t="s">
        <v>1806</v>
      </c>
      <c r="G609" s="32" t="s">
        <v>2117</v>
      </c>
      <c r="K609" s="32" t="s">
        <v>3094</v>
      </c>
      <c r="R609" s="32" t="str">
        <f t="shared" si="2"/>
        <v>96. Lantana</v>
      </c>
    </row>
    <row r="610" ht="14.25" customHeight="1">
      <c r="A610" s="68" t="s">
        <v>227</v>
      </c>
      <c r="B610" s="68">
        <v>96.0</v>
      </c>
      <c r="C610" s="10" t="s">
        <v>3114</v>
      </c>
      <c r="G610" s="32" t="s">
        <v>3569</v>
      </c>
      <c r="K610" s="32" t="s">
        <v>3099</v>
      </c>
      <c r="R610" s="32" t="str">
        <f t="shared" si="2"/>
        <v>96. Lippia</v>
      </c>
    </row>
    <row r="611" ht="14.25" customHeight="1">
      <c r="A611" s="68" t="s">
        <v>227</v>
      </c>
      <c r="B611" s="68">
        <v>96.0</v>
      </c>
      <c r="C611" s="10" t="s">
        <v>2280</v>
      </c>
      <c r="F611" s="32" t="s">
        <v>1549</v>
      </c>
      <c r="K611" s="32" t="s">
        <v>3104</v>
      </c>
      <c r="R611" s="32" t="str">
        <f t="shared" si="2"/>
        <v>96. Petrea</v>
      </c>
    </row>
    <row r="612" ht="14.25" customHeight="1">
      <c r="A612" s="68" t="s">
        <v>227</v>
      </c>
      <c r="B612" s="68">
        <v>96.0</v>
      </c>
      <c r="C612" s="10" t="s">
        <v>2757</v>
      </c>
      <c r="G612" s="32" t="s">
        <v>1550</v>
      </c>
      <c r="R612" s="32" t="str">
        <f t="shared" si="2"/>
        <v>96. Stachytarpheta</v>
      </c>
    </row>
    <row r="613" ht="14.25" customHeight="1">
      <c r="A613" s="68" t="s">
        <v>6269</v>
      </c>
      <c r="B613" s="68">
        <v>96.0</v>
      </c>
      <c r="C613" s="10" t="s">
        <v>1151</v>
      </c>
      <c r="G613" s="32" t="s">
        <v>1902</v>
      </c>
      <c r="R613" s="32" t="str">
        <f t="shared" si="2"/>
        <v>96. Cupressus</v>
      </c>
    </row>
    <row r="614" ht="14.25" customHeight="1">
      <c r="A614" s="68" t="s">
        <v>1830</v>
      </c>
      <c r="B614" s="68">
        <v>97.0</v>
      </c>
      <c r="C614" s="10" t="s">
        <v>1831</v>
      </c>
      <c r="G614" s="32" t="s">
        <v>3264</v>
      </c>
      <c r="R614" s="32" t="str">
        <f t="shared" si="2"/>
        <v>97. Leea</v>
      </c>
    </row>
    <row r="615" ht="14.25" customHeight="1">
      <c r="A615" s="68" t="s">
        <v>3051</v>
      </c>
      <c r="B615" s="68">
        <v>98.0</v>
      </c>
      <c r="C615" s="10" t="s">
        <v>3052</v>
      </c>
      <c r="F615" s="32" t="s">
        <v>2548</v>
      </c>
      <c r="R615" s="32" t="str">
        <f t="shared" si="2"/>
        <v>98. Vochysia</v>
      </c>
    </row>
    <row r="616" ht="14.25" customHeight="1">
      <c r="A616" s="68" t="s">
        <v>3181</v>
      </c>
      <c r="B616" s="68">
        <v>99.0</v>
      </c>
      <c r="C616" s="10" t="s">
        <v>3182</v>
      </c>
      <c r="G616" s="32" t="s">
        <v>2549</v>
      </c>
      <c r="R616" s="32" t="str">
        <f t="shared" si="2"/>
        <v>99. Drimys</v>
      </c>
    </row>
    <row r="617" ht="14.25" customHeight="1">
      <c r="A617" s="68" t="s">
        <v>851</v>
      </c>
      <c r="B617" s="68">
        <v>100.0</v>
      </c>
      <c r="C617" s="10" t="s">
        <v>852</v>
      </c>
      <c r="F617" s="32" t="s">
        <v>1045</v>
      </c>
      <c r="R617" s="32" t="str">
        <f t="shared" si="2"/>
        <v>100. Ceratozamia</v>
      </c>
    </row>
    <row r="618" ht="14.25" customHeight="1">
      <c r="A618" s="68" t="s">
        <v>232</v>
      </c>
      <c r="B618" s="68">
        <v>101.0</v>
      </c>
      <c r="C618" s="10" t="s">
        <v>233</v>
      </c>
      <c r="G618" s="32" t="s">
        <v>1046</v>
      </c>
      <c r="R618" s="32" t="str">
        <f t="shared" si="2"/>
        <v>101. Alpinia</v>
      </c>
    </row>
    <row r="619" ht="14.25" customHeight="1">
      <c r="A619" s="68" t="s">
        <v>232</v>
      </c>
      <c r="B619" s="68">
        <v>101.0</v>
      </c>
      <c r="C619" s="10" t="s">
        <v>2798</v>
      </c>
      <c r="G619" s="32" t="s">
        <v>1488</v>
      </c>
      <c r="R619" s="32" t="str">
        <f t="shared" si="2"/>
        <v>101. Synechanthus</v>
      </c>
    </row>
    <row r="620" ht="14.25" customHeight="1">
      <c r="A620" s="68" t="s">
        <v>588</v>
      </c>
      <c r="B620" s="68">
        <v>102.0</v>
      </c>
      <c r="C620" s="10" t="s">
        <v>589</v>
      </c>
      <c r="G620" s="32" t="s">
        <v>3099</v>
      </c>
      <c r="R620" s="32" t="str">
        <f t="shared" si="2"/>
        <v>102. Bulnesia</v>
      </c>
    </row>
    <row r="621" ht="14.25" customHeight="1">
      <c r="A621" s="68" t="s">
        <v>588</v>
      </c>
      <c r="B621" s="68">
        <v>102.0</v>
      </c>
      <c r="C621" s="10" t="s">
        <v>1557</v>
      </c>
      <c r="F621" s="32" t="s">
        <v>1105</v>
      </c>
      <c r="R621" s="32" t="str">
        <f t="shared" si="2"/>
        <v>102. Guaiacum</v>
      </c>
    </row>
    <row r="622" ht="14.25" customHeight="1">
      <c r="A622" s="68" t="s">
        <v>588</v>
      </c>
      <c r="B622" s="68">
        <v>102.0</v>
      </c>
      <c r="C622" s="10" t="s">
        <v>592</v>
      </c>
      <c r="G622" s="32" t="s">
        <v>1106</v>
      </c>
      <c r="R622" s="32" t="str">
        <f t="shared" si="2"/>
        <v>102. Plectrocarpa</v>
      </c>
    </row>
    <row r="623" ht="14.25" customHeight="1">
      <c r="A623" s="68" t="s">
        <v>95</v>
      </c>
      <c r="B623" s="68">
        <v>49.0</v>
      </c>
      <c r="C623" s="10" t="s">
        <v>2108</v>
      </c>
      <c r="G623" s="32" t="s">
        <v>1119</v>
      </c>
      <c r="R623" s="32" t="str">
        <f t="shared" si="2"/>
        <v>49. Myrcianthes</v>
      </c>
    </row>
    <row r="624" ht="14.25" customHeight="1">
      <c r="G624" s="32" t="s">
        <v>1323</v>
      </c>
    </row>
    <row r="625" ht="14.25" customHeight="1">
      <c r="G625" s="32" t="s">
        <v>1939</v>
      </c>
    </row>
    <row r="626" ht="14.25" customHeight="1">
      <c r="G626" s="32" t="s">
        <v>2302</v>
      </c>
    </row>
    <row r="627" ht="14.25" customHeight="1">
      <c r="G627" s="32" t="s">
        <v>2310</v>
      </c>
    </row>
    <row r="628" ht="14.25" customHeight="1">
      <c r="G628" s="32" t="s">
        <v>2485</v>
      </c>
    </row>
    <row r="629" ht="14.25" customHeight="1">
      <c r="G629" s="32" t="s">
        <v>2534</v>
      </c>
    </row>
    <row r="630" ht="14.25" customHeight="1">
      <c r="G630" s="32" t="s">
        <v>2585</v>
      </c>
    </row>
    <row r="631" ht="14.25" customHeight="1">
      <c r="F631" s="32" t="s">
        <v>6266</v>
      </c>
    </row>
    <row r="632" ht="14.25" customHeight="1">
      <c r="G632" s="32" t="s">
        <v>985</v>
      </c>
    </row>
    <row r="633" ht="14.25" customHeight="1">
      <c r="F633" s="32" t="s">
        <v>310</v>
      </c>
    </row>
    <row r="634" ht="14.25" customHeight="1">
      <c r="G634" s="32" t="s">
        <v>513</v>
      </c>
    </row>
    <row r="635" ht="14.25" customHeight="1">
      <c r="G635" s="32" t="s">
        <v>694</v>
      </c>
    </row>
    <row r="636" ht="14.25" customHeight="1">
      <c r="G636" s="32" t="s">
        <v>905</v>
      </c>
    </row>
    <row r="637" ht="14.25" customHeight="1">
      <c r="G637" s="32" t="s">
        <v>1000</v>
      </c>
    </row>
    <row r="638" ht="14.25" customHeight="1">
      <c r="G638" s="32" t="s">
        <v>1037</v>
      </c>
    </row>
    <row r="639" ht="14.25" customHeight="1">
      <c r="G639" s="32" t="s">
        <v>1053</v>
      </c>
    </row>
    <row r="640" ht="14.25" customHeight="1">
      <c r="G640" s="32" t="s">
        <v>1518</v>
      </c>
    </row>
    <row r="641" ht="14.25" customHeight="1">
      <c r="G641" s="32" t="s">
        <v>1521</v>
      </c>
    </row>
    <row r="642" ht="14.25" customHeight="1">
      <c r="G642" s="32" t="s">
        <v>1582</v>
      </c>
    </row>
    <row r="643" ht="14.25" customHeight="1">
      <c r="G643" s="32" t="s">
        <v>1709</v>
      </c>
    </row>
    <row r="644" ht="14.25" customHeight="1">
      <c r="G644" s="32" t="s">
        <v>2066</v>
      </c>
    </row>
    <row r="645" ht="14.25" customHeight="1">
      <c r="G645" s="32" t="s">
        <v>2091</v>
      </c>
    </row>
    <row r="646" ht="14.25" customHeight="1">
      <c r="G646" s="32" t="s">
        <v>311</v>
      </c>
    </row>
    <row r="647" ht="14.25" customHeight="1">
      <c r="G647" s="32" t="s">
        <v>2201</v>
      </c>
    </row>
    <row r="648" ht="14.25" customHeight="1">
      <c r="G648" s="32" t="s">
        <v>2250</v>
      </c>
    </row>
    <row r="649" ht="14.25" customHeight="1">
      <c r="G649" s="32" t="s">
        <v>2413</v>
      </c>
    </row>
    <row r="650" ht="14.25" customHeight="1">
      <c r="G650" s="32" t="s">
        <v>2438</v>
      </c>
    </row>
    <row r="651" ht="14.25" customHeight="1">
      <c r="G651" s="32" t="s">
        <v>2514</v>
      </c>
    </row>
    <row r="652" ht="14.25" customHeight="1">
      <c r="G652" s="32" t="s">
        <v>2773</v>
      </c>
    </row>
    <row r="653" ht="14.25" customHeight="1">
      <c r="F653" s="32" t="s">
        <v>769</v>
      </c>
    </row>
    <row r="654" ht="14.25" customHeight="1">
      <c r="G654" s="32" t="s">
        <v>126</v>
      </c>
    </row>
    <row r="655" ht="14.25" customHeight="1">
      <c r="G655" s="32" t="s">
        <v>2085</v>
      </c>
    </row>
    <row r="656" ht="14.25" customHeight="1">
      <c r="G656" s="32" t="s">
        <v>770</v>
      </c>
    </row>
    <row r="657" ht="14.25" customHeight="1">
      <c r="G657" s="32" t="s">
        <v>939</v>
      </c>
    </row>
    <row r="658" ht="14.25" customHeight="1">
      <c r="G658" s="32" t="s">
        <v>1230</v>
      </c>
    </row>
    <row r="659" ht="14.25" customHeight="1">
      <c r="G659" s="32" t="s">
        <v>2088</v>
      </c>
    </row>
    <row r="660" ht="14.25" customHeight="1">
      <c r="G660" s="32" t="s">
        <v>2790</v>
      </c>
    </row>
    <row r="661" ht="14.25" customHeight="1">
      <c r="G661" s="32" t="s">
        <v>2932</v>
      </c>
    </row>
    <row r="662" ht="14.25" customHeight="1">
      <c r="G662" s="32" t="s">
        <v>2972</v>
      </c>
    </row>
    <row r="663" ht="14.25" customHeight="1">
      <c r="G663" s="32" t="s">
        <v>3094</v>
      </c>
    </row>
    <row r="664" ht="14.25" customHeight="1">
      <c r="F664" s="32" t="s">
        <v>1997</v>
      </c>
    </row>
    <row r="665" ht="14.25" customHeight="1">
      <c r="G665" s="32" t="s">
        <v>1998</v>
      </c>
    </row>
    <row r="666" ht="14.25" customHeight="1">
      <c r="F666" s="32" t="s">
        <v>762</v>
      </c>
    </row>
    <row r="667" ht="14.25" customHeight="1">
      <c r="G667" s="32" t="s">
        <v>3132</v>
      </c>
    </row>
    <row r="668" ht="14.25" customHeight="1">
      <c r="G668" s="32" t="s">
        <v>763</v>
      </c>
    </row>
    <row r="669" ht="14.25" customHeight="1">
      <c r="G669" s="32" t="s">
        <v>1000</v>
      </c>
    </row>
    <row r="670" ht="14.25" customHeight="1">
      <c r="G670" s="32" t="s">
        <v>1260</v>
      </c>
    </row>
    <row r="671" ht="14.25" customHeight="1">
      <c r="G671" s="32" t="s">
        <v>1485</v>
      </c>
    </row>
    <row r="672" ht="14.25" customHeight="1">
      <c r="G672" s="32" t="s">
        <v>1600</v>
      </c>
    </row>
    <row r="673" ht="14.25" customHeight="1">
      <c r="G673" s="32" t="s">
        <v>1788</v>
      </c>
    </row>
    <row r="674" ht="14.25" customHeight="1">
      <c r="G674" s="32" t="s">
        <v>2435</v>
      </c>
    </row>
    <row r="675" ht="14.25" customHeight="1">
      <c r="G675" s="32" t="s">
        <v>2617</v>
      </c>
    </row>
    <row r="676" ht="14.25" customHeight="1">
      <c r="G676" s="32" t="s">
        <v>3307</v>
      </c>
    </row>
    <row r="677" ht="14.25" customHeight="1">
      <c r="F677" s="32" t="s">
        <v>3032</v>
      </c>
    </row>
    <row r="678" ht="14.25" customHeight="1">
      <c r="G678" s="32" t="s">
        <v>3033</v>
      </c>
    </row>
    <row r="679" ht="14.25" customHeight="1">
      <c r="F679" s="32" t="s">
        <v>214</v>
      </c>
    </row>
    <row r="680" ht="14.25" customHeight="1">
      <c r="G680" s="32" t="s">
        <v>215</v>
      </c>
    </row>
    <row r="681" ht="14.25" customHeight="1">
      <c r="G681" s="32" t="s">
        <v>476</v>
      </c>
    </row>
    <row r="682" ht="14.25" customHeight="1">
      <c r="G682" s="32" t="s">
        <v>495</v>
      </c>
    </row>
    <row r="683" ht="14.25" customHeight="1">
      <c r="G683" s="32" t="s">
        <v>1143</v>
      </c>
    </row>
    <row r="684" ht="14.25" customHeight="1">
      <c r="G684" s="32" t="s">
        <v>1146</v>
      </c>
    </row>
    <row r="685" ht="14.25" customHeight="1">
      <c r="G685" s="32" t="s">
        <v>1233</v>
      </c>
    </row>
    <row r="686" ht="14.25" customHeight="1">
      <c r="G686" s="32" t="s">
        <v>1255</v>
      </c>
    </row>
    <row r="687" ht="14.25" customHeight="1">
      <c r="G687" s="32" t="s">
        <v>1597</v>
      </c>
    </row>
    <row r="688" ht="14.25" customHeight="1">
      <c r="G688" s="32" t="s">
        <v>1770</v>
      </c>
    </row>
    <row r="689" ht="14.25" customHeight="1">
      <c r="G689" s="32" t="s">
        <v>1876</v>
      </c>
    </row>
    <row r="690" ht="14.25" customHeight="1">
      <c r="G690" s="32" t="s">
        <v>1964</v>
      </c>
    </row>
    <row r="691" ht="14.25" customHeight="1">
      <c r="G691" s="32" t="s">
        <v>1989</v>
      </c>
    </row>
    <row r="692" ht="14.25" customHeight="1">
      <c r="G692" s="32" t="s">
        <v>2128</v>
      </c>
    </row>
    <row r="693" ht="14.25" customHeight="1">
      <c r="G693" s="32" t="s">
        <v>2644</v>
      </c>
    </row>
    <row r="694" ht="14.25" customHeight="1">
      <c r="G694" s="32" t="s">
        <v>2852</v>
      </c>
    </row>
    <row r="695" ht="14.25" customHeight="1">
      <c r="F695" s="32" t="s">
        <v>918</v>
      </c>
    </row>
    <row r="696" ht="14.25" customHeight="1">
      <c r="G696" s="32" t="s">
        <v>919</v>
      </c>
    </row>
    <row r="697" ht="14.25" customHeight="1">
      <c r="G697" s="32" t="s">
        <v>1654</v>
      </c>
    </row>
    <row r="698" ht="14.25" customHeight="1">
      <c r="G698" s="32" t="s">
        <v>1956</v>
      </c>
    </row>
    <row r="699" ht="14.25" customHeight="1">
      <c r="G699" s="32" t="s">
        <v>2446</v>
      </c>
    </row>
    <row r="700" ht="14.25" customHeight="1">
      <c r="G700" s="32" t="s">
        <v>2801</v>
      </c>
    </row>
    <row r="701" ht="14.25" customHeight="1">
      <c r="G701" s="32" t="s">
        <v>3304</v>
      </c>
    </row>
    <row r="702" ht="14.25" customHeight="1">
      <c r="F702" s="32" t="s">
        <v>6267</v>
      </c>
    </row>
    <row r="703" ht="14.25" customHeight="1">
      <c r="G703" s="32" t="s">
        <v>1037</v>
      </c>
    </row>
    <row r="704" ht="14.25" customHeight="1">
      <c r="F704" s="32" t="s">
        <v>584</v>
      </c>
    </row>
    <row r="705" ht="14.25" customHeight="1">
      <c r="G705" s="32" t="s">
        <v>585</v>
      </c>
    </row>
    <row r="706" ht="14.25" customHeight="1">
      <c r="F706" s="32" t="s">
        <v>2696</v>
      </c>
    </row>
    <row r="707" ht="14.25" customHeight="1">
      <c r="G707" s="32" t="s">
        <v>3127</v>
      </c>
    </row>
    <row r="708" ht="14.25" customHeight="1">
      <c r="G708" s="32" t="s">
        <v>2697</v>
      </c>
    </row>
    <row r="709" ht="14.25" customHeight="1">
      <c r="F709" s="32" t="s">
        <v>2700</v>
      </c>
    </row>
    <row r="710" ht="14.25" customHeight="1">
      <c r="G710" s="32" t="s">
        <v>2701</v>
      </c>
    </row>
    <row r="711" ht="14.25" customHeight="1">
      <c r="F711" s="32" t="s">
        <v>103</v>
      </c>
    </row>
    <row r="712" ht="14.25" customHeight="1">
      <c r="G712" s="32" t="s">
        <v>104</v>
      </c>
    </row>
    <row r="713" ht="14.25" customHeight="1">
      <c r="G713" s="32" t="s">
        <v>558</v>
      </c>
    </row>
    <row r="714" ht="14.25" customHeight="1">
      <c r="G714" s="32" t="s">
        <v>563</v>
      </c>
    </row>
    <row r="715" ht="14.25" customHeight="1">
      <c r="G715" s="32" t="s">
        <v>714</v>
      </c>
    </row>
    <row r="716" ht="14.25" customHeight="1">
      <c r="G716" s="32" t="s">
        <v>874</v>
      </c>
    </row>
    <row r="717" ht="14.25" customHeight="1">
      <c r="G717" s="32" t="s">
        <v>1193</v>
      </c>
    </row>
    <row r="718" ht="14.25" customHeight="1">
      <c r="G718" s="32" t="s">
        <v>2709</v>
      </c>
    </row>
    <row r="719" ht="14.25" customHeight="1">
      <c r="G719" s="32" t="s">
        <v>2713</v>
      </c>
    </row>
    <row r="720" ht="14.25" customHeight="1">
      <c r="F720" s="32" t="s">
        <v>6268</v>
      </c>
    </row>
    <row r="721" ht="14.25" customHeight="1">
      <c r="G721" s="32" t="s">
        <v>3169</v>
      </c>
    </row>
    <row r="722" ht="14.25" customHeight="1">
      <c r="F722" s="32" t="s">
        <v>3276</v>
      </c>
    </row>
    <row r="723" ht="14.25" customHeight="1">
      <c r="G723" s="32" t="s">
        <v>3277</v>
      </c>
    </row>
    <row r="724" ht="14.25" customHeight="1">
      <c r="F724" s="32" t="s">
        <v>2552</v>
      </c>
    </row>
    <row r="725" ht="14.25" customHeight="1">
      <c r="G725" s="32" t="s">
        <v>2553</v>
      </c>
    </row>
    <row r="726" ht="14.25" customHeight="1">
      <c r="F726" s="32" t="s">
        <v>700</v>
      </c>
    </row>
    <row r="727" ht="14.25" customHeight="1">
      <c r="G727" s="32" t="s">
        <v>699</v>
      </c>
    </row>
    <row r="728" ht="14.25" customHeight="1">
      <c r="F728" s="32" t="s">
        <v>3176</v>
      </c>
    </row>
    <row r="729" ht="14.25" customHeight="1">
      <c r="G729" s="32" t="s">
        <v>3177</v>
      </c>
    </row>
    <row r="730" ht="14.25" customHeight="1">
      <c r="F730" s="32" t="s">
        <v>2984</v>
      </c>
    </row>
    <row r="731" ht="14.25" customHeight="1">
      <c r="G731" s="32" t="s">
        <v>245</v>
      </c>
    </row>
    <row r="732" ht="14.25" customHeight="1">
      <c r="G732" s="32" t="s">
        <v>2985</v>
      </c>
    </row>
    <row r="733" ht="14.25" customHeight="1">
      <c r="F733" s="32" t="s">
        <v>502</v>
      </c>
    </row>
    <row r="734" ht="14.25" customHeight="1">
      <c r="G734" s="32" t="s">
        <v>503</v>
      </c>
    </row>
    <row r="735" ht="14.25" customHeight="1">
      <c r="G735" s="32" t="s">
        <v>809</v>
      </c>
    </row>
    <row r="736" ht="14.25" customHeight="1">
      <c r="G736" s="32" t="s">
        <v>1211</v>
      </c>
    </row>
    <row r="737" ht="14.25" customHeight="1">
      <c r="G737" s="32" t="s">
        <v>2441</v>
      </c>
    </row>
    <row r="738" ht="14.25" customHeight="1">
      <c r="G738" s="32" t="s">
        <v>2987</v>
      </c>
    </row>
    <row r="739" ht="14.25" customHeight="1">
      <c r="F739" s="32" t="s">
        <v>227</v>
      </c>
    </row>
    <row r="740" ht="14.25" customHeight="1">
      <c r="G740" s="32" t="s">
        <v>228</v>
      </c>
    </row>
    <row r="741" ht="14.25" customHeight="1">
      <c r="G741" s="32" t="s">
        <v>929</v>
      </c>
    </row>
    <row r="742" ht="14.25" customHeight="1">
      <c r="G742" s="32" t="s">
        <v>1284</v>
      </c>
    </row>
    <row r="743" ht="14.25" customHeight="1">
      <c r="G743" s="32" t="s">
        <v>1806</v>
      </c>
    </row>
    <row r="744" ht="14.25" customHeight="1">
      <c r="G744" s="32" t="s">
        <v>3114</v>
      </c>
    </row>
    <row r="745" ht="14.25" customHeight="1">
      <c r="G745" s="32" t="s">
        <v>2280</v>
      </c>
    </row>
    <row r="746" ht="14.25" customHeight="1">
      <c r="G746" s="32" t="s">
        <v>2757</v>
      </c>
    </row>
    <row r="747" ht="14.25" customHeight="1">
      <c r="F747" s="32" t="s">
        <v>6269</v>
      </c>
    </row>
    <row r="748" ht="14.25" customHeight="1">
      <c r="G748" s="32" t="s">
        <v>1151</v>
      </c>
    </row>
    <row r="749" ht="14.25" customHeight="1">
      <c r="F749" s="32" t="s">
        <v>1830</v>
      </c>
    </row>
    <row r="750" ht="14.25" customHeight="1">
      <c r="G750" s="32" t="s">
        <v>1831</v>
      </c>
    </row>
    <row r="751" ht="14.25" customHeight="1">
      <c r="F751" s="32" t="s">
        <v>3051</v>
      </c>
    </row>
    <row r="752" ht="14.25" customHeight="1">
      <c r="G752" s="32" t="s">
        <v>3052</v>
      </c>
    </row>
    <row r="753" ht="14.25" customHeight="1">
      <c r="F753" s="32" t="s">
        <v>3181</v>
      </c>
    </row>
    <row r="754" ht="14.25" customHeight="1">
      <c r="G754" s="32" t="s">
        <v>3182</v>
      </c>
    </row>
    <row r="755" ht="14.25" customHeight="1">
      <c r="F755" s="32" t="s">
        <v>851</v>
      </c>
    </row>
    <row r="756" ht="14.25" customHeight="1">
      <c r="G756" s="32" t="s">
        <v>852</v>
      </c>
    </row>
    <row r="757" ht="14.25" customHeight="1">
      <c r="F757" s="32" t="s">
        <v>232</v>
      </c>
    </row>
    <row r="758" ht="14.25" customHeight="1">
      <c r="G758" s="32" t="s">
        <v>233</v>
      </c>
    </row>
    <row r="759" ht="14.25" customHeight="1">
      <c r="G759" s="32" t="s">
        <v>2798</v>
      </c>
    </row>
    <row r="760" ht="14.25" customHeight="1">
      <c r="F760" s="32" t="s">
        <v>588</v>
      </c>
    </row>
    <row r="761" ht="14.25" customHeight="1">
      <c r="G761" s="32" t="s">
        <v>589</v>
      </c>
    </row>
    <row r="762" ht="14.25" customHeight="1">
      <c r="G762" s="32" t="s">
        <v>1557</v>
      </c>
    </row>
    <row r="763" ht="14.25" customHeight="1">
      <c r="G763" s="32" t="s">
        <v>592</v>
      </c>
    </row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6.57"/>
    <col customWidth="1" min="4" max="4" width="102.29"/>
    <col customWidth="1" min="5" max="6" width="10.71"/>
  </cols>
  <sheetData>
    <row r="1" ht="14.2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2"/>
      <c r="B2" s="32"/>
      <c r="C2" s="69" t="s">
        <v>6272</v>
      </c>
      <c r="D2" s="70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2"/>
      <c r="B3" s="32"/>
      <c r="C3" s="68" t="s">
        <v>6273</v>
      </c>
      <c r="D3" s="68" t="s">
        <v>6274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2"/>
      <c r="B4" s="32"/>
      <c r="C4" s="10" t="s">
        <v>47</v>
      </c>
      <c r="D4" s="71" t="s">
        <v>6275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/>
      <c r="B5" s="32"/>
      <c r="C5" s="10" t="s">
        <v>37</v>
      </c>
      <c r="D5" s="72" t="s">
        <v>6276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/>
      <c r="B6" s="32"/>
      <c r="C6" s="10" t="s">
        <v>117</v>
      </c>
      <c r="D6" s="71" t="s">
        <v>6277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/>
      <c r="B7" s="32"/>
      <c r="C7" s="10" t="s">
        <v>6278</v>
      </c>
      <c r="D7" s="71" t="s">
        <v>6279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/>
      <c r="B8" s="32"/>
      <c r="C8" s="10" t="s">
        <v>6280</v>
      </c>
      <c r="D8" s="71" t="s">
        <v>6281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/>
      <c r="B9" s="32"/>
      <c r="C9" s="10" t="s">
        <v>392</v>
      </c>
      <c r="D9" s="71" t="s">
        <v>6282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/>
      <c r="B10" s="32"/>
      <c r="C10" s="10" t="s">
        <v>149</v>
      </c>
      <c r="D10" s="71" t="s">
        <v>6283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2"/>
      <c r="C11" s="10" t="s">
        <v>6284</v>
      </c>
      <c r="D11" s="71" t="s">
        <v>6285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/>
      <c r="C12" s="10" t="s">
        <v>6286</v>
      </c>
      <c r="D12" s="71" t="s">
        <v>6287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/>
      <c r="B13" s="32"/>
      <c r="C13" s="10" t="s">
        <v>6288</v>
      </c>
      <c r="D13" s="71" t="s">
        <v>6289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/>
      <c r="B14" s="32"/>
      <c r="C14" s="10" t="s">
        <v>6290</v>
      </c>
      <c r="D14" s="10" t="s">
        <v>6291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/>
      <c r="C15" s="10" t="s">
        <v>6292</v>
      </c>
      <c r="D15" s="10" t="s">
        <v>6293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/>
      <c r="B16" s="32"/>
      <c r="C16" s="10" t="s">
        <v>6294</v>
      </c>
      <c r="D16" s="10" t="s">
        <v>6295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/>
      <c r="C17" s="10" t="s">
        <v>6296</v>
      </c>
      <c r="D17" s="10" t="s">
        <v>6297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/>
      <c r="C18" s="10" t="s">
        <v>6298</v>
      </c>
      <c r="D18" s="10" t="s">
        <v>6299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/>
      <c r="B19" s="32"/>
      <c r="C19" s="10" t="s">
        <v>524</v>
      </c>
      <c r="D19" s="10" t="s">
        <v>6300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/>
      <c r="B20" s="32"/>
      <c r="C20" s="10" t="s">
        <v>6301</v>
      </c>
      <c r="D20" s="10" t="s">
        <v>6302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/>
      <c r="B21" s="32"/>
      <c r="C21" s="10" t="s">
        <v>432</v>
      </c>
      <c r="D21" s="10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/>
      <c r="C22" s="10" t="s">
        <v>3135</v>
      </c>
      <c r="D22" s="10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/>
      <c r="C23" s="10"/>
      <c r="D23" s="10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/>
      <c r="C24" s="68" t="s">
        <v>12</v>
      </c>
      <c r="D24" s="10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/>
      <c r="B25" s="32"/>
      <c r="C25" s="10" t="s">
        <v>35</v>
      </c>
      <c r="D25" s="10" t="s">
        <v>6303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/>
      <c r="B26" s="32"/>
      <c r="C26" s="10" t="s">
        <v>46</v>
      </c>
      <c r="D26" s="10" t="s">
        <v>6304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/>
      <c r="B27" s="32"/>
      <c r="C27" s="10" t="s">
        <v>797</v>
      </c>
      <c r="D27" s="10" t="s">
        <v>6305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/>
      <c r="C28" s="10" t="s">
        <v>3135</v>
      </c>
      <c r="D28" s="10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/>
      <c r="C29" s="68" t="s">
        <v>6306</v>
      </c>
      <c r="D29" s="10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/>
      <c r="C30" s="10" t="s">
        <v>6307</v>
      </c>
      <c r="D30" s="1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/>
      <c r="C31" s="10" t="s">
        <v>31</v>
      </c>
      <c r="D31" s="10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/>
      <c r="B32" s="32"/>
      <c r="C32" s="10" t="s">
        <v>6308</v>
      </c>
      <c r="D32" s="10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/>
      <c r="B33" s="32"/>
      <c r="C33" s="10" t="s">
        <v>6309</v>
      </c>
      <c r="D33" s="10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D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64.57"/>
    <col customWidth="1" min="3" max="3" width="62.71"/>
    <col customWidth="1" min="4" max="6" width="10.71"/>
  </cols>
  <sheetData>
    <row r="1" ht="14.2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2"/>
      <c r="B2" s="32" t="s">
        <v>6310</v>
      </c>
      <c r="C2" s="32" t="s">
        <v>6311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2" t="s">
        <v>6312</v>
      </c>
      <c r="B3" s="73" t="s">
        <v>6313</v>
      </c>
      <c r="C3" s="74" t="s">
        <v>6314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2" t="s">
        <v>6315</v>
      </c>
      <c r="B4" s="74" t="s">
        <v>6316</v>
      </c>
      <c r="C4" s="74" t="s">
        <v>6317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 t="s">
        <v>6318</v>
      </c>
      <c r="B5" s="73" t="s">
        <v>6319</v>
      </c>
      <c r="C5" s="74" t="s">
        <v>6320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/>
      <c r="B9" s="32" t="s">
        <v>36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/>
      <c r="B10" s="32" t="s">
        <v>28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2" t="s">
        <v>6321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75" t="s">
        <v>39</v>
      </c>
      <c r="B36" s="75" t="s">
        <v>6322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75" t="s">
        <v>39</v>
      </c>
      <c r="B38" s="75" t="s">
        <v>6323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19" t="s">
        <v>53</v>
      </c>
      <c r="B40" s="32" t="s">
        <v>6324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75" t="s">
        <v>66</v>
      </c>
      <c r="B41" s="75" t="s">
        <v>6325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 t="s">
        <v>6326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15"/>
      <c r="B44" s="76" t="s">
        <v>6327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 t="s">
        <v>6328</v>
      </c>
      <c r="B48" s="32" t="s">
        <v>6329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14" t="s">
        <v>417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 t="s">
        <v>1338</v>
      </c>
      <c r="B50" s="32" t="s">
        <v>6330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6:A37"/>
    <mergeCell ref="B36:B37"/>
    <mergeCell ref="A38:A39"/>
    <mergeCell ref="B38:B39"/>
    <mergeCell ref="A41:A42"/>
    <mergeCell ref="B41:B42"/>
    <mergeCell ref="A44:A47"/>
    <mergeCell ref="B44:B47"/>
  </mergeCells>
  <hyperlinks>
    <hyperlink r:id="rId1" ref="B3"/>
    <hyperlink r:id="rId2" ref="C3"/>
    <hyperlink r:id="rId3" ref="B4"/>
    <hyperlink r:id="rId4" ref="C4"/>
    <hyperlink r:id="rId5" ref="B5"/>
    <hyperlink r:id="rId6" ref="C5"/>
  </hyperlinks>
  <printOptions/>
  <pageMargins bottom="0.75" footer="0.0" header="0.0" left="0.7" right="0.7" top="0.75"/>
  <pageSetup orientation="landscape"/>
  <drawing r:id="rId7"/>
</worksheet>
</file>